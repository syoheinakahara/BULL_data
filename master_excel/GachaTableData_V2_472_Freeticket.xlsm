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72010" sheetId="157" r:id="rId4"/>
    <sheet name="tables_472010" sheetId="158" r:id="rId5"/>
    <sheet name="input_472011" sheetId="159" r:id="rId6"/>
    <sheet name="tables_472011" sheetId="160" r:id="rId7"/>
    <sheet name="input_472012" sheetId="161" r:id="rId8"/>
    <sheet name="tables_472012" sheetId="162" r:id="rId9"/>
    <sheet name="input_472013" sheetId="163" r:id="rId10"/>
    <sheet name="tables_472013" sheetId="164" r:id="rId11"/>
    <sheet name="gacha_bonus_tables" sheetId="98" r:id="rId12"/>
    <sheet name="R6追加前" sheetId="111" r:id="rId13"/>
    <sheet name="R6開放" sheetId="112" r:id="rId14"/>
  </sheets>
  <externalReferences>
    <externalReference r:id="rId15"/>
  </externalReferences>
  <definedNames>
    <definedName name="_xlnm._FilterDatabase" localSheetId="11" hidden="1">gacha_bonus_tables!$A$1:$F$1</definedName>
    <definedName name="_xlnm._FilterDatabase" localSheetId="4" hidden="1">tables_472010!$A$1:$V$294</definedName>
    <definedName name="_xlnm._FilterDatabase" localSheetId="6" hidden="1">tables_472011!$A$1:$V$294</definedName>
    <definedName name="_xlnm._FilterDatabase" localSheetId="8" hidden="1">tables_472012!$A$1:$V$294</definedName>
    <definedName name="_xlnm._FilterDatabase" localSheetId="10" hidden="1">tables_472013!$A$1:$V$294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64" l="1"/>
  <c r="G3" i="164"/>
  <c r="K4" i="164"/>
  <c r="G4" i="164"/>
  <c r="K5" i="164"/>
  <c r="G5" i="164"/>
  <c r="K6" i="164"/>
  <c r="G6" i="164"/>
  <c r="K7" i="164"/>
  <c r="G7" i="164"/>
  <c r="K8" i="164"/>
  <c r="G8" i="164"/>
  <c r="K9" i="164"/>
  <c r="G9" i="164"/>
  <c r="K10" i="164"/>
  <c r="G10" i="164"/>
  <c r="K11" i="164"/>
  <c r="G11" i="164"/>
  <c r="K12" i="164"/>
  <c r="G12" i="164"/>
  <c r="K13" i="164"/>
  <c r="G13" i="164"/>
  <c r="K14" i="164"/>
  <c r="G14" i="164"/>
  <c r="K15" i="164"/>
  <c r="G15" i="164"/>
  <c r="K16" i="164"/>
  <c r="G16" i="164"/>
  <c r="K17" i="164"/>
  <c r="G17" i="164"/>
  <c r="K18" i="164"/>
  <c r="G18" i="164"/>
  <c r="K19" i="164"/>
  <c r="G19" i="164"/>
  <c r="K20" i="164"/>
  <c r="G20" i="164"/>
  <c r="K21" i="164"/>
  <c r="G21" i="164"/>
  <c r="K22" i="164"/>
  <c r="G22" i="164"/>
  <c r="K23" i="164"/>
  <c r="G23" i="164"/>
  <c r="K24" i="164"/>
  <c r="G24" i="164"/>
  <c r="K25" i="164"/>
  <c r="G25" i="164"/>
  <c r="K26" i="164"/>
  <c r="G26" i="164"/>
  <c r="K27" i="164"/>
  <c r="G27" i="164"/>
  <c r="K28" i="164"/>
  <c r="G28" i="164"/>
  <c r="K29" i="164"/>
  <c r="G29" i="164"/>
  <c r="K30" i="164"/>
  <c r="G30" i="164"/>
  <c r="K31" i="164"/>
  <c r="G31" i="164"/>
  <c r="K32" i="164"/>
  <c r="G32" i="164"/>
  <c r="K33" i="164"/>
  <c r="G33" i="164"/>
  <c r="K34" i="164"/>
  <c r="G34" i="164"/>
  <c r="K35" i="164"/>
  <c r="G35" i="164"/>
  <c r="K36" i="164"/>
  <c r="G36" i="164"/>
  <c r="K37" i="164"/>
  <c r="G37" i="164"/>
  <c r="K38" i="164"/>
  <c r="G38" i="164"/>
  <c r="K39" i="164"/>
  <c r="G39" i="164"/>
  <c r="K40" i="164"/>
  <c r="G40" i="164"/>
  <c r="K41" i="164"/>
  <c r="G41" i="164"/>
  <c r="K42" i="164"/>
  <c r="G42" i="164"/>
  <c r="K43" i="164"/>
  <c r="G43" i="164"/>
  <c r="K44" i="164"/>
  <c r="G44" i="164"/>
  <c r="K45" i="164"/>
  <c r="G45" i="164"/>
  <c r="K46" i="164"/>
  <c r="G46" i="164"/>
  <c r="K47" i="164"/>
  <c r="G47" i="164"/>
  <c r="K48" i="164"/>
  <c r="G48" i="164"/>
  <c r="K49" i="164"/>
  <c r="G49" i="164"/>
  <c r="K50" i="164"/>
  <c r="G50" i="164"/>
  <c r="K51" i="164"/>
  <c r="G51" i="164"/>
  <c r="K52" i="164"/>
  <c r="G52" i="164"/>
  <c r="K53" i="164"/>
  <c r="G53" i="164"/>
  <c r="K54" i="164"/>
  <c r="G54" i="164"/>
  <c r="K55" i="164"/>
  <c r="G55" i="164"/>
  <c r="K56" i="164"/>
  <c r="G56" i="164"/>
  <c r="K57" i="164"/>
  <c r="G57" i="164"/>
  <c r="K58" i="164"/>
  <c r="G58" i="164"/>
  <c r="K59" i="164"/>
  <c r="G59" i="164"/>
  <c r="K60" i="164"/>
  <c r="G60" i="164"/>
  <c r="K61" i="164"/>
  <c r="G61" i="164"/>
  <c r="K62" i="164"/>
  <c r="G62" i="164"/>
  <c r="K63" i="164"/>
  <c r="G63" i="164"/>
  <c r="K64" i="164"/>
  <c r="G64" i="164"/>
  <c r="K65" i="164"/>
  <c r="G65" i="164"/>
  <c r="K66" i="164"/>
  <c r="G66" i="164"/>
  <c r="K67" i="164"/>
  <c r="G67" i="164"/>
  <c r="K68" i="164"/>
  <c r="G68" i="164"/>
  <c r="K69" i="164"/>
  <c r="G69" i="164"/>
  <c r="K70" i="164"/>
  <c r="G70" i="164"/>
  <c r="K71" i="164"/>
  <c r="G71" i="164"/>
  <c r="K72" i="164"/>
  <c r="G72" i="164"/>
  <c r="K73" i="164"/>
  <c r="G73" i="164"/>
  <c r="K74" i="164"/>
  <c r="G74" i="164"/>
  <c r="K75" i="164"/>
  <c r="G75" i="164"/>
  <c r="K76" i="164"/>
  <c r="G76" i="164"/>
  <c r="K77" i="164"/>
  <c r="G77" i="164"/>
  <c r="K78" i="164"/>
  <c r="G78" i="164"/>
  <c r="K79" i="164"/>
  <c r="G79" i="164"/>
  <c r="K80" i="164"/>
  <c r="G80" i="164"/>
  <c r="K81" i="164"/>
  <c r="G81" i="164"/>
  <c r="K82" i="164"/>
  <c r="G82" i="164"/>
  <c r="K83" i="164"/>
  <c r="G83" i="164"/>
  <c r="K84" i="164"/>
  <c r="G84" i="164"/>
  <c r="K85" i="164"/>
  <c r="G85" i="164"/>
  <c r="K86" i="164"/>
  <c r="G86" i="164"/>
  <c r="K87" i="164"/>
  <c r="G87" i="164"/>
  <c r="K88" i="164"/>
  <c r="G88" i="164"/>
  <c r="K89" i="164"/>
  <c r="G89" i="164"/>
  <c r="K90" i="164"/>
  <c r="G90" i="164"/>
  <c r="K91" i="164"/>
  <c r="G91" i="164"/>
  <c r="K92" i="164"/>
  <c r="G92" i="164"/>
  <c r="K93" i="164"/>
  <c r="G93" i="164"/>
  <c r="K94" i="164"/>
  <c r="G94" i="164"/>
  <c r="K95" i="164"/>
  <c r="G95" i="164"/>
  <c r="K96" i="164"/>
  <c r="G96" i="164"/>
  <c r="K97" i="164"/>
  <c r="G97" i="164"/>
  <c r="K98" i="164"/>
  <c r="G98" i="164"/>
  <c r="K99" i="164"/>
  <c r="G99" i="164"/>
  <c r="K100" i="164"/>
  <c r="G100" i="164"/>
  <c r="K101" i="164"/>
  <c r="G101" i="164"/>
  <c r="K102" i="164"/>
  <c r="G102" i="164"/>
  <c r="K103" i="164"/>
  <c r="G103" i="164"/>
  <c r="K104" i="164"/>
  <c r="G104" i="164"/>
  <c r="K105" i="164"/>
  <c r="G105" i="164"/>
  <c r="K106" i="164"/>
  <c r="G106" i="164"/>
  <c r="K107" i="164"/>
  <c r="G107" i="164"/>
  <c r="K108" i="164"/>
  <c r="G108" i="164"/>
  <c r="K109" i="164"/>
  <c r="G109" i="164"/>
  <c r="K110" i="164"/>
  <c r="G110" i="164"/>
  <c r="K111" i="164"/>
  <c r="G111" i="164"/>
  <c r="K112" i="164"/>
  <c r="G112" i="164"/>
  <c r="K113" i="164"/>
  <c r="G113" i="164"/>
  <c r="K114" i="164"/>
  <c r="G114" i="164"/>
  <c r="K115" i="164"/>
  <c r="G115" i="164"/>
  <c r="K116" i="164"/>
  <c r="G116" i="164"/>
  <c r="K117" i="164"/>
  <c r="G117" i="164"/>
  <c r="K118" i="164"/>
  <c r="G118" i="164"/>
  <c r="K119" i="164"/>
  <c r="G119" i="164"/>
  <c r="K120" i="164"/>
  <c r="G120" i="164"/>
  <c r="K121" i="164"/>
  <c r="G121" i="164"/>
  <c r="K122" i="164"/>
  <c r="G122" i="164"/>
  <c r="K123" i="164"/>
  <c r="G123" i="164"/>
  <c r="K124" i="164"/>
  <c r="G124" i="164"/>
  <c r="K125" i="164"/>
  <c r="G125" i="164"/>
  <c r="K126" i="164"/>
  <c r="G126" i="164"/>
  <c r="K127" i="164"/>
  <c r="G127" i="164"/>
  <c r="K128" i="164"/>
  <c r="G128" i="164"/>
  <c r="K129" i="164"/>
  <c r="G129" i="164"/>
  <c r="K130" i="164"/>
  <c r="G130" i="164"/>
  <c r="K131" i="164"/>
  <c r="G131" i="164"/>
  <c r="K132" i="164"/>
  <c r="G132" i="164"/>
  <c r="K133" i="164"/>
  <c r="G133" i="164"/>
  <c r="K134" i="164"/>
  <c r="G134" i="164"/>
  <c r="K135" i="164"/>
  <c r="G135" i="164"/>
  <c r="K136" i="164"/>
  <c r="G136" i="164"/>
  <c r="K137" i="164"/>
  <c r="G137" i="164"/>
  <c r="K138" i="164"/>
  <c r="G138" i="164"/>
  <c r="K139" i="164"/>
  <c r="G139" i="164"/>
  <c r="K140" i="164"/>
  <c r="G140" i="164"/>
  <c r="K141" i="164"/>
  <c r="G141" i="164"/>
  <c r="K142" i="164"/>
  <c r="G142" i="164"/>
  <c r="K143" i="164"/>
  <c r="G143" i="164"/>
  <c r="K144" i="164"/>
  <c r="G144" i="164"/>
  <c r="K145" i="164"/>
  <c r="G145" i="164"/>
  <c r="K146" i="164"/>
  <c r="G146" i="164"/>
  <c r="K147" i="164"/>
  <c r="G147" i="164"/>
  <c r="K148" i="164"/>
  <c r="G148" i="164"/>
  <c r="K149" i="164"/>
  <c r="G149" i="164"/>
  <c r="K150" i="164"/>
  <c r="G150" i="164"/>
  <c r="K151" i="164"/>
  <c r="G151" i="164"/>
  <c r="K152" i="164"/>
  <c r="G152" i="164"/>
  <c r="K153" i="164"/>
  <c r="G153" i="164"/>
  <c r="K154" i="164"/>
  <c r="G154" i="164"/>
  <c r="K155" i="164"/>
  <c r="G155" i="164"/>
  <c r="K156" i="164"/>
  <c r="G156" i="164"/>
  <c r="K157" i="164"/>
  <c r="G157" i="164"/>
  <c r="K158" i="164"/>
  <c r="G158" i="164"/>
  <c r="K159" i="164"/>
  <c r="G159" i="164"/>
  <c r="K160" i="164"/>
  <c r="G160" i="164"/>
  <c r="K161" i="164"/>
  <c r="G161" i="164"/>
  <c r="K162" i="164"/>
  <c r="G162" i="164"/>
  <c r="K163" i="164"/>
  <c r="G163" i="164"/>
  <c r="K164" i="164"/>
  <c r="G164" i="164"/>
  <c r="K165" i="164"/>
  <c r="G165" i="164"/>
  <c r="K166" i="164"/>
  <c r="G166" i="164"/>
  <c r="K167" i="164"/>
  <c r="G167" i="164"/>
  <c r="K168" i="164"/>
  <c r="G168" i="164"/>
  <c r="K169" i="164"/>
  <c r="G169" i="164"/>
  <c r="K170" i="164"/>
  <c r="G170" i="164"/>
  <c r="K171" i="164"/>
  <c r="G171" i="164"/>
  <c r="K172" i="164"/>
  <c r="G172" i="164"/>
  <c r="K173" i="164"/>
  <c r="G173" i="164"/>
  <c r="K174" i="164"/>
  <c r="G174" i="164"/>
  <c r="K175" i="164"/>
  <c r="G175" i="164"/>
  <c r="K176" i="164"/>
  <c r="G176" i="164"/>
  <c r="K177" i="164"/>
  <c r="G177" i="164"/>
  <c r="K178" i="164"/>
  <c r="G178" i="164"/>
  <c r="K179" i="164"/>
  <c r="G179" i="164"/>
  <c r="K180" i="164"/>
  <c r="G180" i="164"/>
  <c r="K181" i="164"/>
  <c r="G181" i="164"/>
  <c r="K182" i="164"/>
  <c r="G182" i="164"/>
  <c r="K183" i="164"/>
  <c r="G183" i="164"/>
  <c r="K184" i="164"/>
  <c r="G184" i="164"/>
  <c r="K185" i="164"/>
  <c r="G185" i="164"/>
  <c r="K186" i="164"/>
  <c r="G186" i="164"/>
  <c r="K187" i="164"/>
  <c r="G187" i="164"/>
  <c r="K188" i="164"/>
  <c r="G188" i="164"/>
  <c r="K189" i="164"/>
  <c r="G189" i="164"/>
  <c r="K190" i="164"/>
  <c r="G190" i="164"/>
  <c r="K191" i="164"/>
  <c r="G191" i="164"/>
  <c r="K192" i="164"/>
  <c r="G192" i="164"/>
  <c r="K193" i="164"/>
  <c r="G193" i="164"/>
  <c r="K194" i="164"/>
  <c r="G194" i="164"/>
  <c r="K195" i="164"/>
  <c r="G195" i="164"/>
  <c r="K196" i="164"/>
  <c r="G196" i="164"/>
  <c r="K197" i="164"/>
  <c r="G197" i="164"/>
  <c r="K198" i="164"/>
  <c r="G198" i="164"/>
  <c r="K199" i="164"/>
  <c r="G199" i="164"/>
  <c r="K200" i="164"/>
  <c r="G200" i="164"/>
  <c r="K201" i="164"/>
  <c r="G201" i="164"/>
  <c r="K202" i="164"/>
  <c r="G202" i="164"/>
  <c r="K203" i="164"/>
  <c r="G203" i="164"/>
  <c r="K204" i="164"/>
  <c r="G204" i="164"/>
  <c r="K205" i="164"/>
  <c r="G205" i="164"/>
  <c r="K206" i="164"/>
  <c r="G206" i="164"/>
  <c r="K207" i="164"/>
  <c r="G207" i="164"/>
  <c r="K208" i="164"/>
  <c r="G208" i="164"/>
  <c r="K209" i="164"/>
  <c r="G209" i="164"/>
  <c r="K210" i="164"/>
  <c r="G210" i="164"/>
  <c r="K211" i="164"/>
  <c r="G211" i="164"/>
  <c r="K212" i="164"/>
  <c r="G212" i="164"/>
  <c r="K213" i="164"/>
  <c r="G213" i="164"/>
  <c r="K214" i="164"/>
  <c r="G214" i="164"/>
  <c r="K215" i="164"/>
  <c r="G215" i="164"/>
  <c r="K216" i="164"/>
  <c r="G216" i="164"/>
  <c r="K217" i="164"/>
  <c r="G217" i="164"/>
  <c r="K218" i="164"/>
  <c r="G218" i="164"/>
  <c r="K219" i="164"/>
  <c r="G219" i="164"/>
  <c r="K220" i="164"/>
  <c r="G220" i="164"/>
  <c r="K221" i="164"/>
  <c r="G221" i="164"/>
  <c r="K222" i="164"/>
  <c r="G222" i="164"/>
  <c r="K223" i="164"/>
  <c r="G223" i="164"/>
  <c r="K224" i="164"/>
  <c r="G224" i="164"/>
  <c r="K225" i="164"/>
  <c r="G225" i="164"/>
  <c r="K226" i="164"/>
  <c r="G226" i="164"/>
  <c r="K227" i="164"/>
  <c r="G227" i="164"/>
  <c r="K228" i="164"/>
  <c r="G228" i="164"/>
  <c r="K229" i="164"/>
  <c r="G229" i="164"/>
  <c r="K230" i="164"/>
  <c r="G230" i="164"/>
  <c r="K231" i="164"/>
  <c r="G231" i="164"/>
  <c r="K232" i="164"/>
  <c r="G232" i="164"/>
  <c r="K233" i="164"/>
  <c r="G233" i="164"/>
  <c r="K234" i="164"/>
  <c r="G234" i="164"/>
  <c r="K235" i="164"/>
  <c r="G235" i="164"/>
  <c r="K236" i="164"/>
  <c r="G236" i="164"/>
  <c r="K237" i="164"/>
  <c r="G237" i="164"/>
  <c r="K238" i="164"/>
  <c r="G238" i="164"/>
  <c r="K239" i="164"/>
  <c r="G239" i="164"/>
  <c r="K240" i="164"/>
  <c r="G240" i="164"/>
  <c r="K241" i="164"/>
  <c r="G241" i="164"/>
  <c r="K242" i="164"/>
  <c r="G242" i="164"/>
  <c r="K243" i="164"/>
  <c r="G243" i="164"/>
  <c r="K244" i="164"/>
  <c r="G244" i="164"/>
  <c r="K245" i="164"/>
  <c r="G245" i="164"/>
  <c r="K246" i="164"/>
  <c r="G246" i="164"/>
  <c r="K247" i="164"/>
  <c r="G247" i="164"/>
  <c r="K248" i="164"/>
  <c r="G248" i="164"/>
  <c r="K249" i="164"/>
  <c r="G249" i="164"/>
  <c r="K250" i="164"/>
  <c r="G250" i="164"/>
  <c r="K251" i="164"/>
  <c r="G251" i="164"/>
  <c r="K252" i="164"/>
  <c r="G252" i="164"/>
  <c r="K253" i="164"/>
  <c r="G253" i="164"/>
  <c r="K254" i="164"/>
  <c r="G254" i="164"/>
  <c r="K255" i="164"/>
  <c r="G255" i="164"/>
  <c r="K256" i="164"/>
  <c r="G256" i="164"/>
  <c r="K257" i="164"/>
  <c r="G257" i="164"/>
  <c r="K258" i="164"/>
  <c r="G258" i="164"/>
  <c r="K259" i="164"/>
  <c r="G259" i="164"/>
  <c r="K260" i="164"/>
  <c r="G260" i="164"/>
  <c r="K261" i="164"/>
  <c r="G261" i="164"/>
  <c r="K262" i="164"/>
  <c r="G262" i="164"/>
  <c r="K263" i="164"/>
  <c r="G263" i="164"/>
  <c r="K264" i="164"/>
  <c r="G264" i="164"/>
  <c r="K265" i="164"/>
  <c r="G265" i="164"/>
  <c r="K266" i="164"/>
  <c r="G266" i="164"/>
  <c r="K267" i="164"/>
  <c r="G267" i="164"/>
  <c r="K268" i="164"/>
  <c r="G268" i="164"/>
  <c r="K269" i="164"/>
  <c r="G269" i="164"/>
  <c r="K270" i="164"/>
  <c r="G270" i="164"/>
  <c r="K271" i="164"/>
  <c r="G271" i="164"/>
  <c r="K272" i="164"/>
  <c r="G272" i="164"/>
  <c r="K273" i="164"/>
  <c r="G273" i="164"/>
  <c r="K274" i="164"/>
  <c r="G274" i="164"/>
  <c r="K275" i="164"/>
  <c r="G275" i="164"/>
  <c r="K276" i="164"/>
  <c r="G276" i="164"/>
  <c r="K277" i="164"/>
  <c r="G277" i="164"/>
  <c r="K278" i="164"/>
  <c r="G278" i="164"/>
  <c r="K279" i="164"/>
  <c r="G279" i="164"/>
  <c r="K280" i="164"/>
  <c r="G280" i="164"/>
  <c r="K281" i="164"/>
  <c r="G281" i="164"/>
  <c r="K282" i="164"/>
  <c r="G282" i="164"/>
  <c r="K283" i="164"/>
  <c r="G283" i="164"/>
  <c r="K284" i="164"/>
  <c r="G284" i="164"/>
  <c r="K285" i="164"/>
  <c r="G285" i="164"/>
  <c r="K286" i="164"/>
  <c r="G286" i="164"/>
  <c r="K287" i="164"/>
  <c r="G287" i="164"/>
  <c r="K288" i="164"/>
  <c r="G288" i="164"/>
  <c r="K289" i="164"/>
  <c r="G289" i="164"/>
  <c r="K290" i="164"/>
  <c r="G290" i="164"/>
  <c r="K291" i="164"/>
  <c r="G291" i="164"/>
  <c r="K292" i="164"/>
  <c r="G292" i="164"/>
  <c r="K293" i="164"/>
  <c r="G293" i="164"/>
  <c r="K294" i="164"/>
  <c r="G294" i="164"/>
  <c r="K295" i="164"/>
  <c r="G295" i="164"/>
  <c r="K296" i="164"/>
  <c r="G296" i="164"/>
  <c r="K297" i="164"/>
  <c r="G297" i="164"/>
  <c r="K298" i="164"/>
  <c r="G298" i="164"/>
  <c r="K299" i="164"/>
  <c r="G299" i="164"/>
  <c r="K300" i="164"/>
  <c r="G300" i="164"/>
  <c r="K301" i="164"/>
  <c r="G301" i="164"/>
  <c r="K302" i="164"/>
  <c r="G302" i="164"/>
  <c r="K303" i="164"/>
  <c r="G303" i="164"/>
  <c r="K304" i="164"/>
  <c r="G304" i="164"/>
  <c r="K305" i="164"/>
  <c r="G305" i="164"/>
  <c r="K306" i="164"/>
  <c r="G306" i="164"/>
  <c r="K307" i="164"/>
  <c r="G307" i="164"/>
  <c r="K308" i="164"/>
  <c r="G308" i="164"/>
  <c r="K309" i="164"/>
  <c r="G309" i="164"/>
  <c r="K310" i="164"/>
  <c r="G310" i="164"/>
  <c r="K311" i="164"/>
  <c r="G311" i="164"/>
  <c r="K312" i="164"/>
  <c r="G312" i="164"/>
  <c r="K313" i="164"/>
  <c r="G313" i="164"/>
  <c r="K314" i="164"/>
  <c r="G314" i="164"/>
  <c r="K315" i="164"/>
  <c r="G315" i="164"/>
  <c r="K316" i="164"/>
  <c r="G316" i="164"/>
  <c r="K317" i="164"/>
  <c r="G317" i="164"/>
  <c r="K318" i="164"/>
  <c r="G318" i="164"/>
  <c r="K319" i="164"/>
  <c r="G319" i="164"/>
  <c r="K320" i="164"/>
  <c r="G320" i="164"/>
  <c r="K321" i="164"/>
  <c r="G321" i="164"/>
  <c r="K322" i="164"/>
  <c r="G322" i="164"/>
  <c r="K323" i="164"/>
  <c r="G323" i="164"/>
  <c r="K324" i="164"/>
  <c r="G324" i="164"/>
  <c r="K325" i="164"/>
  <c r="G325" i="164"/>
  <c r="K326" i="164"/>
  <c r="G326" i="164"/>
  <c r="K327" i="164"/>
  <c r="G327" i="164"/>
  <c r="K328" i="164"/>
  <c r="G328" i="164"/>
  <c r="K329" i="164"/>
  <c r="G329" i="164"/>
  <c r="K330" i="164"/>
  <c r="G330" i="164"/>
  <c r="K331" i="164"/>
  <c r="G331" i="164"/>
  <c r="K332" i="164"/>
  <c r="G332" i="164"/>
  <c r="K333" i="164"/>
  <c r="G333" i="164"/>
  <c r="K334" i="164"/>
  <c r="G334" i="164"/>
  <c r="K335" i="164"/>
  <c r="G335" i="164"/>
  <c r="K336" i="164"/>
  <c r="G336" i="164"/>
  <c r="K337" i="164"/>
  <c r="G337" i="164"/>
  <c r="K338" i="164"/>
  <c r="G338" i="164"/>
  <c r="K339" i="164"/>
  <c r="G339" i="164"/>
  <c r="K340" i="164"/>
  <c r="G340" i="164"/>
  <c r="O3" i="164"/>
  <c r="O4" i="164"/>
  <c r="O5" i="164"/>
  <c r="O6" i="164"/>
  <c r="O7" i="164"/>
  <c r="I8" i="164"/>
  <c r="J8" i="164"/>
  <c r="D8" i="164"/>
  <c r="E8" i="164"/>
  <c r="C8" i="164"/>
  <c r="A2" i="163"/>
  <c r="I3" i="164"/>
  <c r="J3" i="164"/>
  <c r="D3" i="164"/>
  <c r="E3" i="164"/>
  <c r="C3" i="164"/>
  <c r="I4" i="164"/>
  <c r="J4" i="164"/>
  <c r="D4" i="164"/>
  <c r="E4" i="164"/>
  <c r="C4" i="164"/>
  <c r="I5" i="164"/>
  <c r="J5" i="164"/>
  <c r="D5" i="164"/>
  <c r="E5" i="164"/>
  <c r="C5" i="164"/>
  <c r="I6" i="164"/>
  <c r="J6" i="164"/>
  <c r="D6" i="164"/>
  <c r="E6" i="164"/>
  <c r="C6" i="164"/>
  <c r="I7" i="164"/>
  <c r="J7" i="164"/>
  <c r="D7" i="164"/>
  <c r="E7" i="164"/>
  <c r="C7" i="164"/>
  <c r="I9" i="164"/>
  <c r="J9" i="164"/>
  <c r="D9" i="164"/>
  <c r="E9" i="164"/>
  <c r="C9" i="164"/>
  <c r="I10" i="164"/>
  <c r="J10" i="164"/>
  <c r="D10" i="164"/>
  <c r="E10" i="164"/>
  <c r="C10" i="164"/>
  <c r="I11" i="164"/>
  <c r="J11" i="164"/>
  <c r="D11" i="164"/>
  <c r="E11" i="164"/>
  <c r="C11" i="164"/>
  <c r="I12" i="164"/>
  <c r="J12" i="164"/>
  <c r="D12" i="164"/>
  <c r="E12" i="164"/>
  <c r="C12" i="164"/>
  <c r="I13" i="164"/>
  <c r="J13" i="164"/>
  <c r="D13" i="164"/>
  <c r="E13" i="164"/>
  <c r="C13" i="164"/>
  <c r="I14" i="164"/>
  <c r="J14" i="164"/>
  <c r="D14" i="164"/>
  <c r="E14" i="164"/>
  <c r="C14" i="164"/>
  <c r="I15" i="164"/>
  <c r="J15" i="164"/>
  <c r="D15" i="164"/>
  <c r="E15" i="164"/>
  <c r="C15" i="164"/>
  <c r="I16" i="164"/>
  <c r="J16" i="164"/>
  <c r="D16" i="164"/>
  <c r="E16" i="164"/>
  <c r="C16" i="164"/>
  <c r="I17" i="164"/>
  <c r="J17" i="164"/>
  <c r="D17" i="164"/>
  <c r="E17" i="164"/>
  <c r="C17" i="164"/>
  <c r="I18" i="164"/>
  <c r="J18" i="164"/>
  <c r="D18" i="164"/>
  <c r="E18" i="164"/>
  <c r="C18" i="164"/>
  <c r="I19" i="164"/>
  <c r="J19" i="164"/>
  <c r="D19" i="164"/>
  <c r="E19" i="164"/>
  <c r="C19" i="164"/>
  <c r="I20" i="164"/>
  <c r="J20" i="164"/>
  <c r="D20" i="164"/>
  <c r="E20" i="164"/>
  <c r="C20" i="164"/>
  <c r="I21" i="164"/>
  <c r="J21" i="164"/>
  <c r="D21" i="164"/>
  <c r="E21" i="164"/>
  <c r="C21" i="164"/>
  <c r="I22" i="164"/>
  <c r="J22" i="164"/>
  <c r="D22" i="164"/>
  <c r="E22" i="164"/>
  <c r="C22" i="164"/>
  <c r="I23" i="164"/>
  <c r="J23" i="164"/>
  <c r="D23" i="164"/>
  <c r="E23" i="164"/>
  <c r="C23" i="164"/>
  <c r="I24" i="164"/>
  <c r="J24" i="164"/>
  <c r="D24" i="164"/>
  <c r="E24" i="164"/>
  <c r="C24" i="164"/>
  <c r="I25" i="164"/>
  <c r="J25" i="164"/>
  <c r="D25" i="164"/>
  <c r="E25" i="164"/>
  <c r="C25" i="164"/>
  <c r="I26" i="164"/>
  <c r="J26" i="164"/>
  <c r="D26" i="164"/>
  <c r="E26" i="164"/>
  <c r="C26" i="164"/>
  <c r="I27" i="164"/>
  <c r="J27" i="164"/>
  <c r="D27" i="164"/>
  <c r="E27" i="164"/>
  <c r="C27" i="164"/>
  <c r="I28" i="164"/>
  <c r="J28" i="164"/>
  <c r="D28" i="164"/>
  <c r="E28" i="164"/>
  <c r="C28" i="164"/>
  <c r="I29" i="164"/>
  <c r="J29" i="164"/>
  <c r="D29" i="164"/>
  <c r="E29" i="164"/>
  <c r="C29" i="164"/>
  <c r="I30" i="164"/>
  <c r="J30" i="164"/>
  <c r="D30" i="164"/>
  <c r="E30" i="164"/>
  <c r="C30" i="164"/>
  <c r="I31" i="164"/>
  <c r="J31" i="164"/>
  <c r="D31" i="164"/>
  <c r="E31" i="164"/>
  <c r="C31" i="164"/>
  <c r="I32" i="164"/>
  <c r="J32" i="164"/>
  <c r="D32" i="164"/>
  <c r="E32" i="164"/>
  <c r="C32" i="164"/>
  <c r="I33" i="164"/>
  <c r="J33" i="164"/>
  <c r="D33" i="164"/>
  <c r="E33" i="164"/>
  <c r="C33" i="164"/>
  <c r="I34" i="164"/>
  <c r="J34" i="164"/>
  <c r="D34" i="164"/>
  <c r="E34" i="164"/>
  <c r="C34" i="164"/>
  <c r="I35" i="164"/>
  <c r="J35" i="164"/>
  <c r="D35" i="164"/>
  <c r="E35" i="164"/>
  <c r="C35" i="164"/>
  <c r="I36" i="164"/>
  <c r="J36" i="164"/>
  <c r="D36" i="164"/>
  <c r="E36" i="164"/>
  <c r="C36" i="164"/>
  <c r="I37" i="164"/>
  <c r="J37" i="164"/>
  <c r="D37" i="164"/>
  <c r="E37" i="164"/>
  <c r="C37" i="164"/>
  <c r="I38" i="164"/>
  <c r="J38" i="164"/>
  <c r="D38" i="164"/>
  <c r="E38" i="164"/>
  <c r="C38" i="164"/>
  <c r="I39" i="164"/>
  <c r="J39" i="164"/>
  <c r="D39" i="164"/>
  <c r="E39" i="164"/>
  <c r="C39" i="164"/>
  <c r="I40" i="164"/>
  <c r="J40" i="164"/>
  <c r="D40" i="164"/>
  <c r="E40" i="164"/>
  <c r="C40" i="164"/>
  <c r="I41" i="164"/>
  <c r="J41" i="164"/>
  <c r="D41" i="164"/>
  <c r="E41" i="164"/>
  <c r="C41" i="164"/>
  <c r="I42" i="164"/>
  <c r="D42" i="164"/>
  <c r="J42" i="164"/>
  <c r="E42" i="164"/>
  <c r="C42" i="164"/>
  <c r="I43" i="164"/>
  <c r="D43" i="164"/>
  <c r="J43" i="164"/>
  <c r="E43" i="164"/>
  <c r="C43" i="164"/>
  <c r="I44" i="164"/>
  <c r="D44" i="164"/>
  <c r="J44" i="164"/>
  <c r="E44" i="164"/>
  <c r="C44" i="164"/>
  <c r="I45" i="164"/>
  <c r="D45" i="164"/>
  <c r="J45" i="164"/>
  <c r="E45" i="164"/>
  <c r="C45" i="164"/>
  <c r="I46" i="164"/>
  <c r="D46" i="164"/>
  <c r="J46" i="164"/>
  <c r="E46" i="164"/>
  <c r="C46" i="164"/>
  <c r="I47" i="164"/>
  <c r="D47" i="164"/>
  <c r="J47" i="164"/>
  <c r="E47" i="164"/>
  <c r="C47" i="164"/>
  <c r="I48" i="164"/>
  <c r="D48" i="164"/>
  <c r="J48" i="164"/>
  <c r="E48" i="164"/>
  <c r="C48" i="164"/>
  <c r="I49" i="164"/>
  <c r="D49" i="164"/>
  <c r="J49" i="164"/>
  <c r="E49" i="164"/>
  <c r="C49" i="164"/>
  <c r="I50" i="164"/>
  <c r="D50" i="164"/>
  <c r="J50" i="164"/>
  <c r="E50" i="164"/>
  <c r="C50" i="164"/>
  <c r="I51" i="164"/>
  <c r="D51" i="164"/>
  <c r="J51" i="164"/>
  <c r="E51" i="164"/>
  <c r="C51" i="164"/>
  <c r="I52" i="164"/>
  <c r="D52" i="164"/>
  <c r="J52" i="164"/>
  <c r="E52" i="164"/>
  <c r="C52" i="164"/>
  <c r="I53" i="164"/>
  <c r="D53" i="164"/>
  <c r="J53" i="164"/>
  <c r="E53" i="164"/>
  <c r="C53" i="164"/>
  <c r="I54" i="164"/>
  <c r="D54" i="164"/>
  <c r="J54" i="164"/>
  <c r="E54" i="164"/>
  <c r="C54" i="164"/>
  <c r="I55" i="164"/>
  <c r="D55" i="164"/>
  <c r="J55" i="164"/>
  <c r="E55" i="164"/>
  <c r="C55" i="164"/>
  <c r="I56" i="164"/>
  <c r="D56" i="164"/>
  <c r="J56" i="164"/>
  <c r="E56" i="164"/>
  <c r="C56" i="164"/>
  <c r="I57" i="164"/>
  <c r="D57" i="164"/>
  <c r="J57" i="164"/>
  <c r="E57" i="164"/>
  <c r="C57" i="164"/>
  <c r="I58" i="164"/>
  <c r="D58" i="164"/>
  <c r="J58" i="164"/>
  <c r="E58" i="164"/>
  <c r="C58" i="164"/>
  <c r="I59" i="164"/>
  <c r="D59" i="164"/>
  <c r="J59" i="164"/>
  <c r="E59" i="164"/>
  <c r="C59" i="164"/>
  <c r="I60" i="164"/>
  <c r="D60" i="164"/>
  <c r="J60" i="164"/>
  <c r="E60" i="164"/>
  <c r="C60" i="164"/>
  <c r="I61" i="164"/>
  <c r="D61" i="164"/>
  <c r="J61" i="164"/>
  <c r="E61" i="164"/>
  <c r="C61" i="164"/>
  <c r="I62" i="164"/>
  <c r="D62" i="164"/>
  <c r="J62" i="164"/>
  <c r="E62" i="164"/>
  <c r="C62" i="164"/>
  <c r="I63" i="164"/>
  <c r="D63" i="164"/>
  <c r="J63" i="164"/>
  <c r="E63" i="164"/>
  <c r="C63" i="164"/>
  <c r="I64" i="164"/>
  <c r="D64" i="164"/>
  <c r="J64" i="164"/>
  <c r="E64" i="164"/>
  <c r="C64" i="164"/>
  <c r="I65" i="164"/>
  <c r="D65" i="164"/>
  <c r="J65" i="164"/>
  <c r="E65" i="164"/>
  <c r="C65" i="164"/>
  <c r="I66" i="164"/>
  <c r="D66" i="164"/>
  <c r="J66" i="164"/>
  <c r="E66" i="164"/>
  <c r="C66" i="164"/>
  <c r="I67" i="164"/>
  <c r="D67" i="164"/>
  <c r="J67" i="164"/>
  <c r="E67" i="164"/>
  <c r="C67" i="164"/>
  <c r="I68" i="164"/>
  <c r="D68" i="164"/>
  <c r="J68" i="164"/>
  <c r="E68" i="164"/>
  <c r="C68" i="164"/>
  <c r="I69" i="164"/>
  <c r="D69" i="164"/>
  <c r="J69" i="164"/>
  <c r="E69" i="164"/>
  <c r="C69" i="164"/>
  <c r="I70" i="164"/>
  <c r="D70" i="164"/>
  <c r="J70" i="164"/>
  <c r="E70" i="164"/>
  <c r="C70" i="164"/>
  <c r="I71" i="164"/>
  <c r="D71" i="164"/>
  <c r="J71" i="164"/>
  <c r="E71" i="164"/>
  <c r="C71" i="164"/>
  <c r="I72" i="164"/>
  <c r="D72" i="164"/>
  <c r="J72" i="164"/>
  <c r="E72" i="164"/>
  <c r="C72" i="164"/>
  <c r="I73" i="164"/>
  <c r="D73" i="164"/>
  <c r="J73" i="164"/>
  <c r="E73" i="164"/>
  <c r="C73" i="164"/>
  <c r="I74" i="164"/>
  <c r="D74" i="164"/>
  <c r="J74" i="164"/>
  <c r="E74" i="164"/>
  <c r="C74" i="164"/>
  <c r="I75" i="164"/>
  <c r="D75" i="164"/>
  <c r="J75" i="164"/>
  <c r="E75" i="164"/>
  <c r="C75" i="164"/>
  <c r="I76" i="164"/>
  <c r="D76" i="164"/>
  <c r="J76" i="164"/>
  <c r="E76" i="164"/>
  <c r="C76" i="164"/>
  <c r="I77" i="164"/>
  <c r="D77" i="164"/>
  <c r="J77" i="164"/>
  <c r="E77" i="164"/>
  <c r="C77" i="164"/>
  <c r="I78" i="164"/>
  <c r="D78" i="164"/>
  <c r="J78" i="164"/>
  <c r="E78" i="164"/>
  <c r="C78" i="164"/>
  <c r="I79" i="164"/>
  <c r="D79" i="164"/>
  <c r="J79" i="164"/>
  <c r="E79" i="164"/>
  <c r="C79" i="164"/>
  <c r="I80" i="164"/>
  <c r="D80" i="164"/>
  <c r="J80" i="164"/>
  <c r="E80" i="164"/>
  <c r="C80" i="164"/>
  <c r="I81" i="164"/>
  <c r="D81" i="164"/>
  <c r="J81" i="164"/>
  <c r="E81" i="164"/>
  <c r="C81" i="164"/>
  <c r="I82" i="164"/>
  <c r="D82" i="164"/>
  <c r="J82" i="164"/>
  <c r="E82" i="164"/>
  <c r="C82" i="164"/>
  <c r="I83" i="164"/>
  <c r="D83" i="164"/>
  <c r="J83" i="164"/>
  <c r="E83" i="164"/>
  <c r="C83" i="164"/>
  <c r="I84" i="164"/>
  <c r="D84" i="164"/>
  <c r="J84" i="164"/>
  <c r="E84" i="164"/>
  <c r="C84" i="164"/>
  <c r="I85" i="164"/>
  <c r="D85" i="164"/>
  <c r="J85" i="164"/>
  <c r="E85" i="164"/>
  <c r="C85" i="164"/>
  <c r="I86" i="164"/>
  <c r="D86" i="164"/>
  <c r="J86" i="164"/>
  <c r="E86" i="164"/>
  <c r="C86" i="164"/>
  <c r="I87" i="164"/>
  <c r="D87" i="164"/>
  <c r="J87" i="164"/>
  <c r="E87" i="164"/>
  <c r="C87" i="164"/>
  <c r="I88" i="164"/>
  <c r="D88" i="164"/>
  <c r="J88" i="164"/>
  <c r="E88" i="164"/>
  <c r="C88" i="164"/>
  <c r="I89" i="164"/>
  <c r="D89" i="164"/>
  <c r="J89" i="164"/>
  <c r="E89" i="164"/>
  <c r="C89" i="164"/>
  <c r="I90" i="164"/>
  <c r="D90" i="164"/>
  <c r="J90" i="164"/>
  <c r="E90" i="164"/>
  <c r="C90" i="164"/>
  <c r="I91" i="164"/>
  <c r="D91" i="164"/>
  <c r="J91" i="164"/>
  <c r="E91" i="164"/>
  <c r="C91" i="164"/>
  <c r="I92" i="164"/>
  <c r="D92" i="164"/>
  <c r="J92" i="164"/>
  <c r="E92" i="164"/>
  <c r="C92" i="164"/>
  <c r="I93" i="164"/>
  <c r="D93" i="164"/>
  <c r="J93" i="164"/>
  <c r="E93" i="164"/>
  <c r="C93" i="164"/>
  <c r="I94" i="164"/>
  <c r="D94" i="164"/>
  <c r="J94" i="164"/>
  <c r="E94" i="164"/>
  <c r="C94" i="164"/>
  <c r="I95" i="164"/>
  <c r="D95" i="164"/>
  <c r="J95" i="164"/>
  <c r="E95" i="164"/>
  <c r="C95" i="164"/>
  <c r="I96" i="164"/>
  <c r="D96" i="164"/>
  <c r="J96" i="164"/>
  <c r="E96" i="164"/>
  <c r="C96" i="164"/>
  <c r="I97" i="164"/>
  <c r="D97" i="164"/>
  <c r="J97" i="164"/>
  <c r="E97" i="164"/>
  <c r="C97" i="164"/>
  <c r="I98" i="164"/>
  <c r="D98" i="164"/>
  <c r="J98" i="164"/>
  <c r="E98" i="164"/>
  <c r="C98" i="164"/>
  <c r="I99" i="164"/>
  <c r="D99" i="164"/>
  <c r="J99" i="164"/>
  <c r="E99" i="164"/>
  <c r="C99" i="164"/>
  <c r="I100" i="164"/>
  <c r="D100" i="164"/>
  <c r="J100" i="164"/>
  <c r="E100" i="164"/>
  <c r="C100" i="164"/>
  <c r="I101" i="164"/>
  <c r="D101" i="164"/>
  <c r="J101" i="164"/>
  <c r="E101" i="164"/>
  <c r="C101" i="164"/>
  <c r="I102" i="164"/>
  <c r="D102" i="164"/>
  <c r="J102" i="164"/>
  <c r="E102" i="164"/>
  <c r="C102" i="164"/>
  <c r="I103" i="164"/>
  <c r="D103" i="164"/>
  <c r="J103" i="164"/>
  <c r="E103" i="164"/>
  <c r="C103" i="164"/>
  <c r="I104" i="164"/>
  <c r="D104" i="164"/>
  <c r="J104" i="164"/>
  <c r="E104" i="164"/>
  <c r="C104" i="164"/>
  <c r="I105" i="164"/>
  <c r="D105" i="164"/>
  <c r="J105" i="164"/>
  <c r="E105" i="164"/>
  <c r="C105" i="164"/>
  <c r="I106" i="164"/>
  <c r="D106" i="164"/>
  <c r="J106" i="164"/>
  <c r="E106" i="164"/>
  <c r="C106" i="164"/>
  <c r="I107" i="164"/>
  <c r="D107" i="164"/>
  <c r="J107" i="164"/>
  <c r="E107" i="164"/>
  <c r="C107" i="164"/>
  <c r="I108" i="164"/>
  <c r="D108" i="164"/>
  <c r="J108" i="164"/>
  <c r="E108" i="164"/>
  <c r="C108" i="164"/>
  <c r="I109" i="164"/>
  <c r="D109" i="164"/>
  <c r="J109" i="164"/>
  <c r="E109" i="164"/>
  <c r="C109" i="164"/>
  <c r="I110" i="164"/>
  <c r="D110" i="164"/>
  <c r="J110" i="164"/>
  <c r="E110" i="164"/>
  <c r="C110" i="164"/>
  <c r="I111" i="164"/>
  <c r="D111" i="164"/>
  <c r="J111" i="164"/>
  <c r="E111" i="164"/>
  <c r="C111" i="164"/>
  <c r="I112" i="164"/>
  <c r="D112" i="164"/>
  <c r="J112" i="164"/>
  <c r="E112" i="164"/>
  <c r="C112" i="164"/>
  <c r="I113" i="164"/>
  <c r="D113" i="164"/>
  <c r="J113" i="164"/>
  <c r="E113" i="164"/>
  <c r="C113" i="164"/>
  <c r="I114" i="164"/>
  <c r="D114" i="164"/>
  <c r="J114" i="164"/>
  <c r="E114" i="164"/>
  <c r="C114" i="164"/>
  <c r="I115" i="164"/>
  <c r="D115" i="164"/>
  <c r="J115" i="164"/>
  <c r="E115" i="164"/>
  <c r="C115" i="164"/>
  <c r="I116" i="164"/>
  <c r="D116" i="164"/>
  <c r="J116" i="164"/>
  <c r="E116" i="164"/>
  <c r="C116" i="164"/>
  <c r="I117" i="164"/>
  <c r="D117" i="164"/>
  <c r="J117" i="164"/>
  <c r="E117" i="164"/>
  <c r="C117" i="164"/>
  <c r="I118" i="164"/>
  <c r="D118" i="164"/>
  <c r="J118" i="164"/>
  <c r="E118" i="164"/>
  <c r="C118" i="164"/>
  <c r="I119" i="164"/>
  <c r="D119" i="164"/>
  <c r="J119" i="164"/>
  <c r="E119" i="164"/>
  <c r="C119" i="164"/>
  <c r="I120" i="164"/>
  <c r="D120" i="164"/>
  <c r="J120" i="164"/>
  <c r="E120" i="164"/>
  <c r="C120" i="164"/>
  <c r="I121" i="164"/>
  <c r="D121" i="164"/>
  <c r="J121" i="164"/>
  <c r="E121" i="164"/>
  <c r="C121" i="164"/>
  <c r="I122" i="164"/>
  <c r="D122" i="164"/>
  <c r="J122" i="164"/>
  <c r="E122" i="164"/>
  <c r="C122" i="164"/>
  <c r="I123" i="164"/>
  <c r="D123" i="164"/>
  <c r="J123" i="164"/>
  <c r="E123" i="164"/>
  <c r="C123" i="164"/>
  <c r="I124" i="164"/>
  <c r="D124" i="164"/>
  <c r="J124" i="164"/>
  <c r="E124" i="164"/>
  <c r="C124" i="164"/>
  <c r="I125" i="164"/>
  <c r="D125" i="164"/>
  <c r="J125" i="164"/>
  <c r="E125" i="164"/>
  <c r="C125" i="164"/>
  <c r="I126" i="164"/>
  <c r="D126" i="164"/>
  <c r="J126" i="164"/>
  <c r="E126" i="164"/>
  <c r="C126" i="164"/>
  <c r="I127" i="164"/>
  <c r="D127" i="164"/>
  <c r="J127" i="164"/>
  <c r="E127" i="164"/>
  <c r="C127" i="164"/>
  <c r="I128" i="164"/>
  <c r="D128" i="164"/>
  <c r="J128" i="164"/>
  <c r="E128" i="164"/>
  <c r="C128" i="164"/>
  <c r="I129" i="164"/>
  <c r="D129" i="164"/>
  <c r="J129" i="164"/>
  <c r="E129" i="164"/>
  <c r="C129" i="164"/>
  <c r="I130" i="164"/>
  <c r="D130" i="164"/>
  <c r="J130" i="164"/>
  <c r="E130" i="164"/>
  <c r="C130" i="164"/>
  <c r="I131" i="164"/>
  <c r="D131" i="164"/>
  <c r="J131" i="164"/>
  <c r="E131" i="164"/>
  <c r="C131" i="164"/>
  <c r="I132" i="164"/>
  <c r="D132" i="164"/>
  <c r="J132" i="164"/>
  <c r="E132" i="164"/>
  <c r="C132" i="164"/>
  <c r="I133" i="164"/>
  <c r="D133" i="164"/>
  <c r="J133" i="164"/>
  <c r="E133" i="164"/>
  <c r="C133" i="164"/>
  <c r="I134" i="164"/>
  <c r="D134" i="164"/>
  <c r="J134" i="164"/>
  <c r="E134" i="164"/>
  <c r="C134" i="164"/>
  <c r="I135" i="164"/>
  <c r="D135" i="164"/>
  <c r="J135" i="164"/>
  <c r="E135" i="164"/>
  <c r="C135" i="164"/>
  <c r="I136" i="164"/>
  <c r="D136" i="164"/>
  <c r="J136" i="164"/>
  <c r="E136" i="164"/>
  <c r="C136" i="164"/>
  <c r="I137" i="164"/>
  <c r="D137" i="164"/>
  <c r="J137" i="164"/>
  <c r="E137" i="164"/>
  <c r="C137" i="164"/>
  <c r="I138" i="164"/>
  <c r="D138" i="164"/>
  <c r="J138" i="164"/>
  <c r="E138" i="164"/>
  <c r="C138" i="164"/>
  <c r="I139" i="164"/>
  <c r="D139" i="164"/>
  <c r="J139" i="164"/>
  <c r="E139" i="164"/>
  <c r="C139" i="164"/>
  <c r="I140" i="164"/>
  <c r="D140" i="164"/>
  <c r="J140" i="164"/>
  <c r="E140" i="164"/>
  <c r="C140" i="164"/>
  <c r="I141" i="164"/>
  <c r="D141" i="164"/>
  <c r="J141" i="164"/>
  <c r="E141" i="164"/>
  <c r="C141" i="164"/>
  <c r="I142" i="164"/>
  <c r="D142" i="164"/>
  <c r="J142" i="164"/>
  <c r="E142" i="164"/>
  <c r="C142" i="164"/>
  <c r="I143" i="164"/>
  <c r="D143" i="164"/>
  <c r="J143" i="164"/>
  <c r="E143" i="164"/>
  <c r="C143" i="164"/>
  <c r="I144" i="164"/>
  <c r="D144" i="164"/>
  <c r="J144" i="164"/>
  <c r="E144" i="164"/>
  <c r="C144" i="164"/>
  <c r="I145" i="164"/>
  <c r="D145" i="164"/>
  <c r="J145" i="164"/>
  <c r="E145" i="164"/>
  <c r="C145" i="164"/>
  <c r="I146" i="164"/>
  <c r="D146" i="164"/>
  <c r="J146" i="164"/>
  <c r="E146" i="164"/>
  <c r="C146" i="164"/>
  <c r="I147" i="164"/>
  <c r="D147" i="164"/>
  <c r="J147" i="164"/>
  <c r="E147" i="164"/>
  <c r="C147" i="164"/>
  <c r="I148" i="164"/>
  <c r="D148" i="164"/>
  <c r="J148" i="164"/>
  <c r="E148" i="164"/>
  <c r="C148" i="164"/>
  <c r="I149" i="164"/>
  <c r="D149" i="164"/>
  <c r="J149" i="164"/>
  <c r="E149" i="164"/>
  <c r="C149" i="164"/>
  <c r="I150" i="164"/>
  <c r="D150" i="164"/>
  <c r="J150" i="164"/>
  <c r="E150" i="164"/>
  <c r="C150" i="164"/>
  <c r="I151" i="164"/>
  <c r="D151" i="164"/>
  <c r="J151" i="164"/>
  <c r="E151" i="164"/>
  <c r="C151" i="164"/>
  <c r="I152" i="164"/>
  <c r="D152" i="164"/>
  <c r="J152" i="164"/>
  <c r="E152" i="164"/>
  <c r="C152" i="164"/>
  <c r="I153" i="164"/>
  <c r="D153" i="164"/>
  <c r="J153" i="164"/>
  <c r="E153" i="164"/>
  <c r="C153" i="164"/>
  <c r="I154" i="164"/>
  <c r="D154" i="164"/>
  <c r="J154" i="164"/>
  <c r="E154" i="164"/>
  <c r="C154" i="164"/>
  <c r="I155" i="164"/>
  <c r="D155" i="164"/>
  <c r="J155" i="164"/>
  <c r="E155" i="164"/>
  <c r="C155" i="164"/>
  <c r="I156" i="164"/>
  <c r="D156" i="164"/>
  <c r="J156" i="164"/>
  <c r="E156" i="164"/>
  <c r="C156" i="164"/>
  <c r="I157" i="164"/>
  <c r="D157" i="164"/>
  <c r="J157" i="164"/>
  <c r="E157" i="164"/>
  <c r="C157" i="164"/>
  <c r="I158" i="164"/>
  <c r="D158" i="164"/>
  <c r="J158" i="164"/>
  <c r="E158" i="164"/>
  <c r="C158" i="164"/>
  <c r="I159" i="164"/>
  <c r="D159" i="164"/>
  <c r="J159" i="164"/>
  <c r="E159" i="164"/>
  <c r="C159" i="164"/>
  <c r="I160" i="164"/>
  <c r="D160" i="164"/>
  <c r="J160" i="164"/>
  <c r="E160" i="164"/>
  <c r="C160" i="164"/>
  <c r="I161" i="164"/>
  <c r="D161" i="164"/>
  <c r="J161" i="164"/>
  <c r="E161" i="164"/>
  <c r="C161" i="164"/>
  <c r="I162" i="164"/>
  <c r="D162" i="164"/>
  <c r="J162" i="164"/>
  <c r="E162" i="164"/>
  <c r="C162" i="164"/>
  <c r="I163" i="164"/>
  <c r="D163" i="164"/>
  <c r="J163" i="164"/>
  <c r="E163" i="164"/>
  <c r="C163" i="164"/>
  <c r="I164" i="164"/>
  <c r="D164" i="164"/>
  <c r="J164" i="164"/>
  <c r="E164" i="164"/>
  <c r="C164" i="164"/>
  <c r="I165" i="164"/>
  <c r="D165" i="164"/>
  <c r="J165" i="164"/>
  <c r="E165" i="164"/>
  <c r="C165" i="164"/>
  <c r="I166" i="164"/>
  <c r="D166" i="164"/>
  <c r="J166" i="164"/>
  <c r="E166" i="164"/>
  <c r="C166" i="164"/>
  <c r="I167" i="164"/>
  <c r="D167" i="164"/>
  <c r="J167" i="164"/>
  <c r="E167" i="164"/>
  <c r="C167" i="164"/>
  <c r="I168" i="164"/>
  <c r="D168" i="164"/>
  <c r="J168" i="164"/>
  <c r="E168" i="164"/>
  <c r="C168" i="164"/>
  <c r="I169" i="164"/>
  <c r="D169" i="164"/>
  <c r="J169" i="164"/>
  <c r="E169" i="164"/>
  <c r="C169" i="164"/>
  <c r="I170" i="164"/>
  <c r="D170" i="164"/>
  <c r="J170" i="164"/>
  <c r="E170" i="164"/>
  <c r="C170" i="164"/>
  <c r="I171" i="164"/>
  <c r="D171" i="164"/>
  <c r="J171" i="164"/>
  <c r="E171" i="164"/>
  <c r="C171" i="164"/>
  <c r="I172" i="164"/>
  <c r="D172" i="164"/>
  <c r="J172" i="164"/>
  <c r="E172" i="164"/>
  <c r="C172" i="164"/>
  <c r="I173" i="164"/>
  <c r="D173" i="164"/>
  <c r="J173" i="164"/>
  <c r="E173" i="164"/>
  <c r="C173" i="164"/>
  <c r="I174" i="164"/>
  <c r="D174" i="164"/>
  <c r="J174" i="164"/>
  <c r="E174" i="164"/>
  <c r="C174" i="164"/>
  <c r="I175" i="164"/>
  <c r="D175" i="164"/>
  <c r="J175" i="164"/>
  <c r="E175" i="164"/>
  <c r="C175" i="164"/>
  <c r="I176" i="164"/>
  <c r="D176" i="164"/>
  <c r="J176" i="164"/>
  <c r="E176" i="164"/>
  <c r="C176" i="164"/>
  <c r="I177" i="164"/>
  <c r="D177" i="164"/>
  <c r="J177" i="164"/>
  <c r="E177" i="164"/>
  <c r="C177" i="164"/>
  <c r="I178" i="164"/>
  <c r="D178" i="164"/>
  <c r="J178" i="164"/>
  <c r="E178" i="164"/>
  <c r="C178" i="164"/>
  <c r="I179" i="164"/>
  <c r="D179" i="164"/>
  <c r="J179" i="164"/>
  <c r="E179" i="164"/>
  <c r="C179" i="164"/>
  <c r="I180" i="164"/>
  <c r="D180" i="164"/>
  <c r="J180" i="164"/>
  <c r="E180" i="164"/>
  <c r="C180" i="164"/>
  <c r="I181" i="164"/>
  <c r="D181" i="164"/>
  <c r="J181" i="164"/>
  <c r="E181" i="164"/>
  <c r="C181" i="164"/>
  <c r="I182" i="164"/>
  <c r="D182" i="164"/>
  <c r="J182" i="164"/>
  <c r="E182" i="164"/>
  <c r="C182" i="164"/>
  <c r="I183" i="164"/>
  <c r="D183" i="164"/>
  <c r="J183" i="164"/>
  <c r="E183" i="164"/>
  <c r="C183" i="164"/>
  <c r="I184" i="164"/>
  <c r="D184" i="164"/>
  <c r="J184" i="164"/>
  <c r="E184" i="164"/>
  <c r="C184" i="164"/>
  <c r="I185" i="164"/>
  <c r="D185" i="164"/>
  <c r="J185" i="164"/>
  <c r="E185" i="164"/>
  <c r="C185" i="164"/>
  <c r="I186" i="164"/>
  <c r="D186" i="164"/>
  <c r="J186" i="164"/>
  <c r="E186" i="164"/>
  <c r="C186" i="164"/>
  <c r="I187" i="164"/>
  <c r="D187" i="164"/>
  <c r="J187" i="164"/>
  <c r="E187" i="164"/>
  <c r="C187" i="164"/>
  <c r="I188" i="164"/>
  <c r="D188" i="164"/>
  <c r="J188" i="164"/>
  <c r="E188" i="164"/>
  <c r="C188" i="164"/>
  <c r="I189" i="164"/>
  <c r="D189" i="164"/>
  <c r="J189" i="164"/>
  <c r="E189" i="164"/>
  <c r="C189" i="164"/>
  <c r="I190" i="164"/>
  <c r="D190" i="164"/>
  <c r="J190" i="164"/>
  <c r="E190" i="164"/>
  <c r="C190" i="164"/>
  <c r="I191" i="164"/>
  <c r="D191" i="164"/>
  <c r="J191" i="164"/>
  <c r="E191" i="164"/>
  <c r="C191" i="164"/>
  <c r="I192" i="164"/>
  <c r="D192" i="164"/>
  <c r="J192" i="164"/>
  <c r="E192" i="164"/>
  <c r="C192" i="164"/>
  <c r="I193" i="164"/>
  <c r="D193" i="164"/>
  <c r="J193" i="164"/>
  <c r="E193" i="164"/>
  <c r="C193" i="164"/>
  <c r="I194" i="164"/>
  <c r="D194" i="164"/>
  <c r="J194" i="164"/>
  <c r="E194" i="164"/>
  <c r="C194" i="164"/>
  <c r="I195" i="164"/>
  <c r="D195" i="164"/>
  <c r="J195" i="164"/>
  <c r="E195" i="164"/>
  <c r="C195" i="164"/>
  <c r="I196" i="164"/>
  <c r="D196" i="164"/>
  <c r="J196" i="164"/>
  <c r="E196" i="164"/>
  <c r="C196" i="164"/>
  <c r="I197" i="164"/>
  <c r="D197" i="164"/>
  <c r="J197" i="164"/>
  <c r="E197" i="164"/>
  <c r="C197" i="164"/>
  <c r="I198" i="164"/>
  <c r="D198" i="164"/>
  <c r="J198" i="164"/>
  <c r="E198" i="164"/>
  <c r="C198" i="164"/>
  <c r="I199" i="164"/>
  <c r="D199" i="164"/>
  <c r="J199" i="164"/>
  <c r="E199" i="164"/>
  <c r="C199" i="164"/>
  <c r="I200" i="164"/>
  <c r="D200" i="164"/>
  <c r="J200" i="164"/>
  <c r="E200" i="164"/>
  <c r="C200" i="164"/>
  <c r="I201" i="164"/>
  <c r="D201" i="164"/>
  <c r="J201" i="164"/>
  <c r="E201" i="164"/>
  <c r="C201" i="164"/>
  <c r="I202" i="164"/>
  <c r="D202" i="164"/>
  <c r="J202" i="164"/>
  <c r="E202" i="164"/>
  <c r="C202" i="164"/>
  <c r="I203" i="164"/>
  <c r="D203" i="164"/>
  <c r="J203" i="164"/>
  <c r="E203" i="164"/>
  <c r="C203" i="164"/>
  <c r="I204" i="164"/>
  <c r="D204" i="164"/>
  <c r="J204" i="164"/>
  <c r="E204" i="164"/>
  <c r="C204" i="164"/>
  <c r="I205" i="164"/>
  <c r="D205" i="164"/>
  <c r="J205" i="164"/>
  <c r="E205" i="164"/>
  <c r="C205" i="164"/>
  <c r="I206" i="164"/>
  <c r="D206" i="164"/>
  <c r="J206" i="164"/>
  <c r="E206" i="164"/>
  <c r="C206" i="164"/>
  <c r="I207" i="164"/>
  <c r="D207" i="164"/>
  <c r="J207" i="164"/>
  <c r="E207" i="164"/>
  <c r="C207" i="164"/>
  <c r="I208" i="164"/>
  <c r="D208" i="164"/>
  <c r="J208" i="164"/>
  <c r="E208" i="164"/>
  <c r="C208" i="164"/>
  <c r="I209" i="164"/>
  <c r="D209" i="164"/>
  <c r="J209" i="164"/>
  <c r="E209" i="164"/>
  <c r="C209" i="164"/>
  <c r="I210" i="164"/>
  <c r="D210" i="164"/>
  <c r="J210" i="164"/>
  <c r="E210" i="164"/>
  <c r="C210" i="164"/>
  <c r="I211" i="164"/>
  <c r="D211" i="164"/>
  <c r="J211" i="164"/>
  <c r="E211" i="164"/>
  <c r="C211" i="164"/>
  <c r="I212" i="164"/>
  <c r="D212" i="164"/>
  <c r="J212" i="164"/>
  <c r="E212" i="164"/>
  <c r="C212" i="164"/>
  <c r="I213" i="164"/>
  <c r="D213" i="164"/>
  <c r="J213" i="164"/>
  <c r="E213" i="164"/>
  <c r="C213" i="164"/>
  <c r="I214" i="164"/>
  <c r="D214" i="164"/>
  <c r="J214" i="164"/>
  <c r="E214" i="164"/>
  <c r="C214" i="164"/>
  <c r="I215" i="164"/>
  <c r="J215" i="164"/>
  <c r="D215" i="164"/>
  <c r="E215" i="164"/>
  <c r="C215" i="164"/>
  <c r="I216" i="164"/>
  <c r="J216" i="164"/>
  <c r="D216" i="164"/>
  <c r="E216" i="164"/>
  <c r="C216" i="164"/>
  <c r="I217" i="164"/>
  <c r="J217" i="164"/>
  <c r="D217" i="164"/>
  <c r="E217" i="164"/>
  <c r="C217" i="164"/>
  <c r="I218" i="164"/>
  <c r="J218" i="164"/>
  <c r="D218" i="164"/>
  <c r="E218" i="164"/>
  <c r="C218" i="164"/>
  <c r="I219" i="164"/>
  <c r="J219" i="164"/>
  <c r="D219" i="164"/>
  <c r="E219" i="164"/>
  <c r="C219" i="164"/>
  <c r="I220" i="164"/>
  <c r="J220" i="164"/>
  <c r="D220" i="164"/>
  <c r="E220" i="164"/>
  <c r="C220" i="164"/>
  <c r="I221" i="164"/>
  <c r="D221" i="164"/>
  <c r="J221" i="164"/>
  <c r="E221" i="164"/>
  <c r="C221" i="164"/>
  <c r="I222" i="164"/>
  <c r="D222" i="164"/>
  <c r="J222" i="164"/>
  <c r="E222" i="164"/>
  <c r="C222" i="164"/>
  <c r="I223" i="164"/>
  <c r="D223" i="164"/>
  <c r="J223" i="164"/>
  <c r="E223" i="164"/>
  <c r="C223" i="164"/>
  <c r="I224" i="164"/>
  <c r="D224" i="164"/>
  <c r="J224" i="164"/>
  <c r="E224" i="164"/>
  <c r="C224" i="164"/>
  <c r="I225" i="164"/>
  <c r="D225" i="164"/>
  <c r="J225" i="164"/>
  <c r="E225" i="164"/>
  <c r="C225" i="164"/>
  <c r="I226" i="164"/>
  <c r="D226" i="164"/>
  <c r="J226" i="164"/>
  <c r="E226" i="164"/>
  <c r="C226" i="164"/>
  <c r="I227" i="164"/>
  <c r="D227" i="164"/>
  <c r="J227" i="164"/>
  <c r="E227" i="164"/>
  <c r="C227" i="164"/>
  <c r="I228" i="164"/>
  <c r="D228" i="164"/>
  <c r="J228" i="164"/>
  <c r="E228" i="164"/>
  <c r="C228" i="164"/>
  <c r="I229" i="164"/>
  <c r="D229" i="164"/>
  <c r="J229" i="164"/>
  <c r="E229" i="164"/>
  <c r="C229" i="164"/>
  <c r="I230" i="164"/>
  <c r="D230" i="164"/>
  <c r="J230" i="164"/>
  <c r="E230" i="164"/>
  <c r="C230" i="164"/>
  <c r="I231" i="164"/>
  <c r="D231" i="164"/>
  <c r="J231" i="164"/>
  <c r="E231" i="164"/>
  <c r="C231" i="164"/>
  <c r="I232" i="164"/>
  <c r="D232" i="164"/>
  <c r="J232" i="164"/>
  <c r="E232" i="164"/>
  <c r="C232" i="164"/>
  <c r="I233" i="164"/>
  <c r="D233" i="164"/>
  <c r="J233" i="164"/>
  <c r="E233" i="164"/>
  <c r="C233" i="164"/>
  <c r="I234" i="164"/>
  <c r="D234" i="164"/>
  <c r="J234" i="164"/>
  <c r="E234" i="164"/>
  <c r="C234" i="164"/>
  <c r="I235" i="164"/>
  <c r="D235" i="164"/>
  <c r="J235" i="164"/>
  <c r="E235" i="164"/>
  <c r="C235" i="164"/>
  <c r="I236" i="164"/>
  <c r="D236" i="164"/>
  <c r="J236" i="164"/>
  <c r="E236" i="164"/>
  <c r="C236" i="164"/>
  <c r="I237" i="164"/>
  <c r="D237" i="164"/>
  <c r="J237" i="164"/>
  <c r="E237" i="164"/>
  <c r="C237" i="164"/>
  <c r="I238" i="164"/>
  <c r="D238" i="164"/>
  <c r="J238" i="164"/>
  <c r="E238" i="164"/>
  <c r="C238" i="164"/>
  <c r="I239" i="164"/>
  <c r="D239" i="164"/>
  <c r="J239" i="164"/>
  <c r="E239" i="164"/>
  <c r="C239" i="164"/>
  <c r="I240" i="164"/>
  <c r="D240" i="164"/>
  <c r="J240" i="164"/>
  <c r="E240" i="164"/>
  <c r="C240" i="164"/>
  <c r="I241" i="164"/>
  <c r="D241" i="164"/>
  <c r="J241" i="164"/>
  <c r="E241" i="164"/>
  <c r="C241" i="164"/>
  <c r="I242" i="164"/>
  <c r="D242" i="164"/>
  <c r="J242" i="164"/>
  <c r="E242" i="164"/>
  <c r="C242" i="164"/>
  <c r="I243" i="164"/>
  <c r="D243" i="164"/>
  <c r="J243" i="164"/>
  <c r="E243" i="164"/>
  <c r="C243" i="164"/>
  <c r="I244" i="164"/>
  <c r="D244" i="164"/>
  <c r="J244" i="164"/>
  <c r="E244" i="164"/>
  <c r="C244" i="164"/>
  <c r="I245" i="164"/>
  <c r="D245" i="164"/>
  <c r="J245" i="164"/>
  <c r="E245" i="164"/>
  <c r="C245" i="164"/>
  <c r="I246" i="164"/>
  <c r="D246" i="164"/>
  <c r="J246" i="164"/>
  <c r="E246" i="164"/>
  <c r="C246" i="164"/>
  <c r="I247" i="164"/>
  <c r="D247" i="164"/>
  <c r="J247" i="164"/>
  <c r="E247" i="164"/>
  <c r="C247" i="164"/>
  <c r="I248" i="164"/>
  <c r="D248" i="164"/>
  <c r="J248" i="164"/>
  <c r="E248" i="164"/>
  <c r="C248" i="164"/>
  <c r="I249" i="164"/>
  <c r="D249" i="164"/>
  <c r="J249" i="164"/>
  <c r="E249" i="164"/>
  <c r="C249" i="164"/>
  <c r="I250" i="164"/>
  <c r="D250" i="164"/>
  <c r="J250" i="164"/>
  <c r="E250" i="164"/>
  <c r="C250" i="164"/>
  <c r="I251" i="164"/>
  <c r="D251" i="164"/>
  <c r="J251" i="164"/>
  <c r="E251" i="164"/>
  <c r="C251" i="164"/>
  <c r="I252" i="164"/>
  <c r="D252" i="164"/>
  <c r="J252" i="164"/>
  <c r="E252" i="164"/>
  <c r="C252" i="164"/>
  <c r="I253" i="164"/>
  <c r="D253" i="164"/>
  <c r="J253" i="164"/>
  <c r="E253" i="164"/>
  <c r="C253" i="164"/>
  <c r="I254" i="164"/>
  <c r="D254" i="164"/>
  <c r="J254" i="164"/>
  <c r="E254" i="164"/>
  <c r="C254" i="164"/>
  <c r="I255" i="164"/>
  <c r="D255" i="164"/>
  <c r="J255" i="164"/>
  <c r="E255" i="164"/>
  <c r="C255" i="164"/>
  <c r="I256" i="164"/>
  <c r="D256" i="164"/>
  <c r="J256" i="164"/>
  <c r="E256" i="164"/>
  <c r="C256" i="164"/>
  <c r="I257" i="164"/>
  <c r="D257" i="164"/>
  <c r="J257" i="164"/>
  <c r="E257" i="164"/>
  <c r="C257" i="164"/>
  <c r="I258" i="164"/>
  <c r="D258" i="164"/>
  <c r="J258" i="164"/>
  <c r="E258" i="164"/>
  <c r="C258" i="164"/>
  <c r="I259" i="164"/>
  <c r="D259" i="164"/>
  <c r="J259" i="164"/>
  <c r="E259" i="164"/>
  <c r="C259" i="164"/>
  <c r="I260" i="164"/>
  <c r="D260" i="164"/>
  <c r="J260" i="164"/>
  <c r="E260" i="164"/>
  <c r="C260" i="164"/>
  <c r="I261" i="164"/>
  <c r="D261" i="164"/>
  <c r="J261" i="164"/>
  <c r="E261" i="164"/>
  <c r="C261" i="164"/>
  <c r="I262" i="164"/>
  <c r="D262" i="164"/>
  <c r="J262" i="164"/>
  <c r="E262" i="164"/>
  <c r="C262" i="164"/>
  <c r="I263" i="164"/>
  <c r="D263" i="164"/>
  <c r="J263" i="164"/>
  <c r="E263" i="164"/>
  <c r="C263" i="164"/>
  <c r="I264" i="164"/>
  <c r="D264" i="164"/>
  <c r="J264" i="164"/>
  <c r="E264" i="164"/>
  <c r="C264" i="164"/>
  <c r="I265" i="164"/>
  <c r="D265" i="164"/>
  <c r="J265" i="164"/>
  <c r="E265" i="164"/>
  <c r="C265" i="164"/>
  <c r="I266" i="164"/>
  <c r="D266" i="164"/>
  <c r="J266" i="164"/>
  <c r="E266" i="164"/>
  <c r="C266" i="164"/>
  <c r="I267" i="164"/>
  <c r="D267" i="164"/>
  <c r="J267" i="164"/>
  <c r="E267" i="164"/>
  <c r="C267" i="164"/>
  <c r="I268" i="164"/>
  <c r="D268" i="164"/>
  <c r="J268" i="164"/>
  <c r="E268" i="164"/>
  <c r="C268" i="164"/>
  <c r="I269" i="164"/>
  <c r="D269" i="164"/>
  <c r="J269" i="164"/>
  <c r="E269" i="164"/>
  <c r="C269" i="164"/>
  <c r="I270" i="164"/>
  <c r="D270" i="164"/>
  <c r="J270" i="164"/>
  <c r="E270" i="164"/>
  <c r="C270" i="164"/>
  <c r="I271" i="164"/>
  <c r="D271" i="164"/>
  <c r="J271" i="164"/>
  <c r="E271" i="164"/>
  <c r="C271" i="164"/>
  <c r="I272" i="164"/>
  <c r="D272" i="164"/>
  <c r="J272" i="164"/>
  <c r="E272" i="164"/>
  <c r="C272" i="164"/>
  <c r="I273" i="164"/>
  <c r="D273" i="164"/>
  <c r="J273" i="164"/>
  <c r="E273" i="164"/>
  <c r="C273" i="164"/>
  <c r="I274" i="164"/>
  <c r="D274" i="164"/>
  <c r="J274" i="164"/>
  <c r="E274" i="164"/>
  <c r="C274" i="164"/>
  <c r="I275" i="164"/>
  <c r="D275" i="164"/>
  <c r="J275" i="164"/>
  <c r="E275" i="164"/>
  <c r="C275" i="164"/>
  <c r="I276" i="164"/>
  <c r="D276" i="164"/>
  <c r="J276" i="164"/>
  <c r="E276" i="164"/>
  <c r="C276" i="164"/>
  <c r="I277" i="164"/>
  <c r="D277" i="164"/>
  <c r="J277" i="164"/>
  <c r="E277" i="164"/>
  <c r="C277" i="164"/>
  <c r="I278" i="164"/>
  <c r="D278" i="164"/>
  <c r="J278" i="164"/>
  <c r="E278" i="164"/>
  <c r="C278" i="164"/>
  <c r="I279" i="164"/>
  <c r="D279" i="164"/>
  <c r="J279" i="164"/>
  <c r="E279" i="164"/>
  <c r="C279" i="164"/>
  <c r="I280" i="164"/>
  <c r="D280" i="164"/>
  <c r="J280" i="164"/>
  <c r="E280" i="164"/>
  <c r="C280" i="164"/>
  <c r="I281" i="164"/>
  <c r="D281" i="164"/>
  <c r="J281" i="164"/>
  <c r="E281" i="164"/>
  <c r="C281" i="164"/>
  <c r="I282" i="164"/>
  <c r="D282" i="164"/>
  <c r="J282" i="164"/>
  <c r="E282" i="164"/>
  <c r="C282" i="164"/>
  <c r="I283" i="164"/>
  <c r="D283" i="164"/>
  <c r="J283" i="164"/>
  <c r="E283" i="164"/>
  <c r="C283" i="164"/>
  <c r="I284" i="164"/>
  <c r="D284" i="164"/>
  <c r="J284" i="164"/>
  <c r="E284" i="164"/>
  <c r="C284" i="164"/>
  <c r="I285" i="164"/>
  <c r="D285" i="164"/>
  <c r="J285" i="164"/>
  <c r="E285" i="164"/>
  <c r="C285" i="164"/>
  <c r="I286" i="164"/>
  <c r="D286" i="164"/>
  <c r="J286" i="164"/>
  <c r="E286" i="164"/>
  <c r="C286" i="164"/>
  <c r="I287" i="164"/>
  <c r="D287" i="164"/>
  <c r="J287" i="164"/>
  <c r="E287" i="164"/>
  <c r="C287" i="164"/>
  <c r="I288" i="164"/>
  <c r="D288" i="164"/>
  <c r="J288" i="164"/>
  <c r="E288" i="164"/>
  <c r="C288" i="164"/>
  <c r="I289" i="164"/>
  <c r="D289" i="164"/>
  <c r="J289" i="164"/>
  <c r="E289" i="164"/>
  <c r="C289" i="164"/>
  <c r="I290" i="164"/>
  <c r="D290" i="164"/>
  <c r="J290" i="164"/>
  <c r="E290" i="164"/>
  <c r="C290" i="164"/>
  <c r="I291" i="164"/>
  <c r="D291" i="164"/>
  <c r="J291" i="164"/>
  <c r="E291" i="164"/>
  <c r="C291" i="164"/>
  <c r="I292" i="164"/>
  <c r="D292" i="164"/>
  <c r="J292" i="164"/>
  <c r="E292" i="164"/>
  <c r="C292" i="164"/>
  <c r="I293" i="164"/>
  <c r="D293" i="164"/>
  <c r="J293" i="164"/>
  <c r="E293" i="164"/>
  <c r="C293" i="164"/>
  <c r="I294" i="164"/>
  <c r="D294" i="164"/>
  <c r="J294" i="164"/>
  <c r="E294" i="164"/>
  <c r="C294" i="164"/>
  <c r="I295" i="164"/>
  <c r="D295" i="164"/>
  <c r="J295" i="164"/>
  <c r="E295" i="164"/>
  <c r="C295" i="164"/>
  <c r="I296" i="164"/>
  <c r="D296" i="164"/>
  <c r="J296" i="164"/>
  <c r="E296" i="164"/>
  <c r="C296" i="164"/>
  <c r="I297" i="164"/>
  <c r="D297" i="164"/>
  <c r="J297" i="164"/>
  <c r="E297" i="164"/>
  <c r="C297" i="164"/>
  <c r="I298" i="164"/>
  <c r="D298" i="164"/>
  <c r="J298" i="164"/>
  <c r="E298" i="164"/>
  <c r="C298" i="164"/>
  <c r="I299" i="164"/>
  <c r="D299" i="164"/>
  <c r="J299" i="164"/>
  <c r="E299" i="164"/>
  <c r="C299" i="164"/>
  <c r="I300" i="164"/>
  <c r="D300" i="164"/>
  <c r="J300" i="164"/>
  <c r="E300" i="164"/>
  <c r="C300" i="164"/>
  <c r="I301" i="164"/>
  <c r="D301" i="164"/>
  <c r="J301" i="164"/>
  <c r="E301" i="164"/>
  <c r="C301" i="164"/>
  <c r="I302" i="164"/>
  <c r="D302" i="164"/>
  <c r="J302" i="164"/>
  <c r="E302" i="164"/>
  <c r="C302" i="164"/>
  <c r="I303" i="164"/>
  <c r="D303" i="164"/>
  <c r="J303" i="164"/>
  <c r="E303" i="164"/>
  <c r="C303" i="164"/>
  <c r="I304" i="164"/>
  <c r="D304" i="164"/>
  <c r="J304" i="164"/>
  <c r="E304" i="164"/>
  <c r="C304" i="164"/>
  <c r="I305" i="164"/>
  <c r="D305" i="164"/>
  <c r="J305" i="164"/>
  <c r="E305" i="164"/>
  <c r="C305" i="164"/>
  <c r="I306" i="164"/>
  <c r="D306" i="164"/>
  <c r="J306" i="164"/>
  <c r="E306" i="164"/>
  <c r="C306" i="164"/>
  <c r="I307" i="164"/>
  <c r="D307" i="164"/>
  <c r="J307" i="164"/>
  <c r="E307" i="164"/>
  <c r="C307" i="164"/>
  <c r="I308" i="164"/>
  <c r="D308" i="164"/>
  <c r="J308" i="164"/>
  <c r="E308" i="164"/>
  <c r="C308" i="164"/>
  <c r="I309" i="164"/>
  <c r="D309" i="164"/>
  <c r="J309" i="164"/>
  <c r="E309" i="164"/>
  <c r="C309" i="164"/>
  <c r="I310" i="164"/>
  <c r="D310" i="164"/>
  <c r="J310" i="164"/>
  <c r="E310" i="164"/>
  <c r="C310" i="164"/>
  <c r="I311" i="164"/>
  <c r="D311" i="164"/>
  <c r="J311" i="164"/>
  <c r="E311" i="164"/>
  <c r="C311" i="164"/>
  <c r="I312" i="164"/>
  <c r="D312" i="164"/>
  <c r="J312" i="164"/>
  <c r="E312" i="164"/>
  <c r="C312" i="164"/>
  <c r="I313" i="164"/>
  <c r="D313" i="164"/>
  <c r="J313" i="164"/>
  <c r="E313" i="164"/>
  <c r="C313" i="164"/>
  <c r="I314" i="164"/>
  <c r="D314" i="164"/>
  <c r="J314" i="164"/>
  <c r="E314" i="164"/>
  <c r="C314" i="164"/>
  <c r="I315" i="164"/>
  <c r="D315" i="164"/>
  <c r="J315" i="164"/>
  <c r="E315" i="164"/>
  <c r="C315" i="164"/>
  <c r="I316" i="164"/>
  <c r="D316" i="164"/>
  <c r="J316" i="164"/>
  <c r="E316" i="164"/>
  <c r="C316" i="164"/>
  <c r="I317" i="164"/>
  <c r="D317" i="164"/>
  <c r="J317" i="164"/>
  <c r="E317" i="164"/>
  <c r="C317" i="164"/>
  <c r="I318" i="164"/>
  <c r="D318" i="164"/>
  <c r="J318" i="164"/>
  <c r="E318" i="164"/>
  <c r="C318" i="164"/>
  <c r="I319" i="164"/>
  <c r="D319" i="164"/>
  <c r="J319" i="164"/>
  <c r="E319" i="164"/>
  <c r="C319" i="164"/>
  <c r="I320" i="164"/>
  <c r="D320" i="164"/>
  <c r="J320" i="164"/>
  <c r="E320" i="164"/>
  <c r="C320" i="164"/>
  <c r="I321" i="164"/>
  <c r="D321" i="164"/>
  <c r="J321" i="164"/>
  <c r="E321" i="164"/>
  <c r="C321" i="164"/>
  <c r="I322" i="164"/>
  <c r="D322" i="164"/>
  <c r="J322" i="164"/>
  <c r="E322" i="164"/>
  <c r="C322" i="164"/>
  <c r="I323" i="164"/>
  <c r="D323" i="164"/>
  <c r="J323" i="164"/>
  <c r="E323" i="164"/>
  <c r="C323" i="164"/>
  <c r="I324" i="164"/>
  <c r="D324" i="164"/>
  <c r="J324" i="164"/>
  <c r="E324" i="164"/>
  <c r="C324" i="164"/>
  <c r="I325" i="164"/>
  <c r="D325" i="164"/>
  <c r="J325" i="164"/>
  <c r="E325" i="164"/>
  <c r="C325" i="164"/>
  <c r="I326" i="164"/>
  <c r="D326" i="164"/>
  <c r="J326" i="164"/>
  <c r="E326" i="164"/>
  <c r="C326" i="164"/>
  <c r="I327" i="164"/>
  <c r="D327" i="164"/>
  <c r="J327" i="164"/>
  <c r="E327" i="164"/>
  <c r="C327" i="164"/>
  <c r="I328" i="164"/>
  <c r="D328" i="164"/>
  <c r="J328" i="164"/>
  <c r="E328" i="164"/>
  <c r="C328" i="164"/>
  <c r="I329" i="164"/>
  <c r="D329" i="164"/>
  <c r="J329" i="164"/>
  <c r="E329" i="164"/>
  <c r="C329" i="164"/>
  <c r="I330" i="164"/>
  <c r="D330" i="164"/>
  <c r="J330" i="164"/>
  <c r="E330" i="164"/>
  <c r="C330" i="164"/>
  <c r="I331" i="164"/>
  <c r="D331" i="164"/>
  <c r="J331" i="164"/>
  <c r="E331" i="164"/>
  <c r="C331" i="164"/>
  <c r="I332" i="164"/>
  <c r="D332" i="164"/>
  <c r="J332" i="164"/>
  <c r="E332" i="164"/>
  <c r="C332" i="164"/>
  <c r="I333" i="164"/>
  <c r="D333" i="164"/>
  <c r="J333" i="164"/>
  <c r="E333" i="164"/>
  <c r="C333" i="164"/>
  <c r="I334" i="164"/>
  <c r="D334" i="164"/>
  <c r="J334" i="164"/>
  <c r="E334" i="164"/>
  <c r="C334" i="164"/>
  <c r="I335" i="164"/>
  <c r="D335" i="164"/>
  <c r="J335" i="164"/>
  <c r="E335" i="164"/>
  <c r="C335" i="164"/>
  <c r="I336" i="164"/>
  <c r="D336" i="164"/>
  <c r="J336" i="164"/>
  <c r="E336" i="164"/>
  <c r="C336" i="164"/>
  <c r="I337" i="164"/>
  <c r="D337" i="164"/>
  <c r="J337" i="164"/>
  <c r="E337" i="164"/>
  <c r="C337" i="164"/>
  <c r="I338" i="164"/>
  <c r="D338" i="164"/>
  <c r="J338" i="164"/>
  <c r="E338" i="164"/>
  <c r="C338" i="164"/>
  <c r="I339" i="164"/>
  <c r="D339" i="164"/>
  <c r="J339" i="164"/>
  <c r="E339" i="164"/>
  <c r="C339" i="164"/>
  <c r="I340" i="164"/>
  <c r="D340" i="164"/>
  <c r="J340" i="164"/>
  <c r="E340" i="164"/>
  <c r="C340" i="164"/>
  <c r="I2" i="164"/>
  <c r="J2" i="164"/>
  <c r="D2" i="164"/>
  <c r="E2" i="164"/>
  <c r="K2" i="164"/>
  <c r="G2" i="164"/>
  <c r="C2" i="164"/>
  <c r="F5" i="163"/>
  <c r="F6" i="163"/>
  <c r="A36" i="163"/>
  <c r="E6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19" i="163"/>
  <c r="B19" i="163"/>
  <c r="E24" i="163"/>
  <c r="B24" i="163"/>
  <c r="B17" i="163"/>
  <c r="G17" i="163"/>
  <c r="E17" i="163"/>
  <c r="H17" i="163"/>
  <c r="O8" i="164"/>
  <c r="E18" i="163"/>
  <c r="B18" i="163"/>
  <c r="G18" i="163"/>
  <c r="H18" i="163"/>
  <c r="O9" i="164"/>
  <c r="O10" i="164"/>
  <c r="O11" i="164"/>
  <c r="O12" i="164"/>
  <c r="O13" i="164"/>
  <c r="O14" i="164"/>
  <c r="O15" i="164"/>
  <c r="O16" i="164"/>
  <c r="O17" i="164"/>
  <c r="O18" i="164"/>
  <c r="O19" i="164"/>
  <c r="O20" i="164"/>
  <c r="O21" i="164"/>
  <c r="O22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O42" i="164"/>
  <c r="O43" i="164"/>
  <c r="O44" i="164"/>
  <c r="O45" i="164"/>
  <c r="O46" i="164"/>
  <c r="O47" i="164"/>
  <c r="O48" i="164"/>
  <c r="O49" i="164"/>
  <c r="O50" i="164"/>
  <c r="G19" i="163"/>
  <c r="H19" i="163"/>
  <c r="O51" i="164"/>
  <c r="E20" i="163"/>
  <c r="B20" i="163"/>
  <c r="G20" i="163"/>
  <c r="H20" i="163"/>
  <c r="O52" i="164"/>
  <c r="E23" i="163"/>
  <c r="B23" i="163"/>
  <c r="E26" i="163"/>
  <c r="B26" i="163"/>
  <c r="E5" i="163"/>
  <c r="E28" i="163"/>
  <c r="B28" i="163"/>
  <c r="E29" i="163"/>
  <c r="B29" i="163"/>
  <c r="B21" i="163"/>
  <c r="G21" i="163"/>
  <c r="E21" i="163"/>
  <c r="H21" i="163"/>
  <c r="O53" i="164"/>
  <c r="O54" i="164"/>
  <c r="O55" i="164"/>
  <c r="O56" i="164"/>
  <c r="O57" i="164"/>
  <c r="O58" i="164"/>
  <c r="O59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89" i="164"/>
  <c r="O90" i="164"/>
  <c r="O91" i="164"/>
  <c r="O92" i="164"/>
  <c r="O93" i="164"/>
  <c r="O94" i="164"/>
  <c r="O95" i="164"/>
  <c r="O96" i="164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G24" i="163"/>
  <c r="H24" i="163"/>
  <c r="O111" i="164"/>
  <c r="E25" i="163"/>
  <c r="B25" i="163"/>
  <c r="G25" i="163"/>
  <c r="H25" i="163"/>
  <c r="O112" i="164"/>
  <c r="G26" i="163"/>
  <c r="H26" i="163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126" i="164"/>
  <c r="O127" i="164"/>
  <c r="O128" i="164"/>
  <c r="O129" i="164"/>
  <c r="O130" i="164"/>
  <c r="O131" i="164"/>
  <c r="O132" i="164"/>
  <c r="O133" i="164"/>
  <c r="O134" i="164"/>
  <c r="O135" i="164"/>
  <c r="O136" i="164"/>
  <c r="O137" i="164"/>
  <c r="O138" i="164"/>
  <c r="O139" i="164"/>
  <c r="O140" i="164"/>
  <c r="O141" i="164"/>
  <c r="O142" i="164"/>
  <c r="O143" i="164"/>
  <c r="E27" i="163"/>
  <c r="B27" i="163"/>
  <c r="G27" i="163"/>
  <c r="H27" i="163"/>
  <c r="O144" i="164"/>
  <c r="G28" i="163"/>
  <c r="H28" i="163"/>
  <c r="O145" i="164"/>
  <c r="O146" i="164"/>
  <c r="O147" i="164"/>
  <c r="O148" i="164"/>
  <c r="O149" i="164"/>
  <c r="O150" i="164"/>
  <c r="O151" i="164"/>
  <c r="O152" i="164"/>
  <c r="O153" i="164"/>
  <c r="O154" i="164"/>
  <c r="O155" i="164"/>
  <c r="O156" i="164"/>
  <c r="O157" i="164"/>
  <c r="O158" i="164"/>
  <c r="O159" i="164"/>
  <c r="O160" i="164"/>
  <c r="O161" i="164"/>
  <c r="O162" i="164"/>
  <c r="O163" i="164"/>
  <c r="O164" i="164"/>
  <c r="O165" i="164"/>
  <c r="O166" i="164"/>
  <c r="O167" i="164"/>
  <c r="O168" i="164"/>
  <c r="O169" i="164"/>
  <c r="O170" i="164"/>
  <c r="O171" i="164"/>
  <c r="O172" i="164"/>
  <c r="O173" i="164"/>
  <c r="O174" i="164"/>
  <c r="O175" i="164"/>
  <c r="O176" i="164"/>
  <c r="O177" i="164"/>
  <c r="O178" i="164"/>
  <c r="O179" i="164"/>
  <c r="O180" i="164"/>
  <c r="O181" i="164"/>
  <c r="O182" i="164"/>
  <c r="O183" i="164"/>
  <c r="O184" i="164"/>
  <c r="O185" i="164"/>
  <c r="O186" i="164"/>
  <c r="O187" i="164"/>
  <c r="O188" i="164"/>
  <c r="O189" i="164"/>
  <c r="O190" i="164"/>
  <c r="O191" i="164"/>
  <c r="O192" i="164"/>
  <c r="O193" i="164"/>
  <c r="O194" i="164"/>
  <c r="O195" i="164"/>
  <c r="O196" i="164"/>
  <c r="O197" i="164"/>
  <c r="O198" i="164"/>
  <c r="O199" i="164"/>
  <c r="O200" i="164"/>
  <c r="O201" i="164"/>
  <c r="O202" i="164"/>
  <c r="O203" i="164"/>
  <c r="O204" i="164"/>
  <c r="O205" i="164"/>
  <c r="O206" i="164"/>
  <c r="O207" i="164"/>
  <c r="O208" i="164"/>
  <c r="O209" i="164"/>
  <c r="O210" i="164"/>
  <c r="O211" i="164"/>
  <c r="O212" i="164"/>
  <c r="O213" i="164"/>
  <c r="O214" i="164"/>
  <c r="O215" i="164"/>
  <c r="O216" i="164"/>
  <c r="O217" i="164"/>
  <c r="G23" i="163"/>
  <c r="H23" i="163"/>
  <c r="O218" i="164"/>
  <c r="O219" i="164"/>
  <c r="O220" i="164"/>
  <c r="O221" i="164"/>
  <c r="O222" i="164"/>
  <c r="O223" i="164"/>
  <c r="O224" i="164"/>
  <c r="O225" i="164"/>
  <c r="O226" i="164"/>
  <c r="O227" i="164"/>
  <c r="O228" i="164"/>
  <c r="O229" i="164"/>
  <c r="O230" i="164"/>
  <c r="O231" i="164"/>
  <c r="O232" i="164"/>
  <c r="O233" i="164"/>
  <c r="O234" i="164"/>
  <c r="O235" i="164"/>
  <c r="O236" i="164"/>
  <c r="O237" i="164"/>
  <c r="O238" i="164"/>
  <c r="O239" i="164"/>
  <c r="O240" i="164"/>
  <c r="O241" i="164"/>
  <c r="O242" i="164"/>
  <c r="O243" i="164"/>
  <c r="O244" i="164"/>
  <c r="O245" i="164"/>
  <c r="O246" i="164"/>
  <c r="O247" i="164"/>
  <c r="O248" i="164"/>
  <c r="O249" i="164"/>
  <c r="O250" i="164"/>
  <c r="O251" i="164"/>
  <c r="O252" i="164"/>
  <c r="O253" i="164"/>
  <c r="O254" i="164"/>
  <c r="O255" i="164"/>
  <c r="O256" i="164"/>
  <c r="O257" i="164"/>
  <c r="O258" i="164"/>
  <c r="O259" i="164"/>
  <c r="O260" i="164"/>
  <c r="O261" i="164"/>
  <c r="O262" i="164"/>
  <c r="O263" i="164"/>
  <c r="O264" i="164"/>
  <c r="O265" i="164"/>
  <c r="O266" i="164"/>
  <c r="G29" i="163"/>
  <c r="H29" i="163"/>
  <c r="O267" i="164"/>
  <c r="O268" i="164"/>
  <c r="O269" i="164"/>
  <c r="O270" i="164"/>
  <c r="O271" i="164"/>
  <c r="E22" i="163"/>
  <c r="B22" i="163"/>
  <c r="G22" i="163"/>
  <c r="H22" i="163"/>
  <c r="O272" i="164"/>
  <c r="O273" i="164"/>
  <c r="O274" i="164"/>
  <c r="O275" i="164"/>
  <c r="O276" i="164"/>
  <c r="O277" i="164"/>
  <c r="O278" i="164"/>
  <c r="O279" i="164"/>
  <c r="O280" i="164"/>
  <c r="O281" i="164"/>
  <c r="O282" i="164"/>
  <c r="O283" i="164"/>
  <c r="O284" i="164"/>
  <c r="O285" i="164"/>
  <c r="O286" i="164"/>
  <c r="O287" i="164"/>
  <c r="O288" i="164"/>
  <c r="O289" i="164"/>
  <c r="O290" i="164"/>
  <c r="O291" i="164"/>
  <c r="O292" i="164"/>
  <c r="O293" i="164"/>
  <c r="O294" i="164"/>
  <c r="O295" i="164"/>
  <c r="O296" i="164"/>
  <c r="O297" i="164"/>
  <c r="O298" i="164"/>
  <c r="O299" i="164"/>
  <c r="O300" i="164"/>
  <c r="O301" i="164"/>
  <c r="O302" i="164"/>
  <c r="O303" i="164"/>
  <c r="O304" i="164"/>
  <c r="O305" i="164"/>
  <c r="O306" i="164"/>
  <c r="O307" i="164"/>
  <c r="O308" i="164"/>
  <c r="O309" i="164"/>
  <c r="O310" i="164"/>
  <c r="O311" i="164"/>
  <c r="O312" i="164"/>
  <c r="O313" i="164"/>
  <c r="O314" i="164"/>
  <c r="O315" i="164"/>
  <c r="O316" i="164"/>
  <c r="O317" i="164"/>
  <c r="O318" i="164"/>
  <c r="O319" i="164"/>
  <c r="O320" i="164"/>
  <c r="O321" i="164"/>
  <c r="O322" i="164"/>
  <c r="O323" i="164"/>
  <c r="O324" i="164"/>
  <c r="O325" i="164"/>
  <c r="O326" i="164"/>
  <c r="O327" i="164"/>
  <c r="O328" i="164"/>
  <c r="O329" i="164"/>
  <c r="O330" i="164"/>
  <c r="O331" i="164"/>
  <c r="O332" i="164"/>
  <c r="O333" i="164"/>
  <c r="O334" i="164"/>
  <c r="O335" i="164"/>
  <c r="O336" i="164"/>
  <c r="O337" i="164"/>
  <c r="O338" i="164"/>
  <c r="O339" i="164"/>
  <c r="O340" i="164"/>
  <c r="O2" i="164"/>
  <c r="P2" i="164"/>
  <c r="N2" i="164"/>
  <c r="M2" i="164"/>
  <c r="L2" i="164"/>
  <c r="H2" i="164"/>
  <c r="K3" i="162"/>
  <c r="G3" i="162"/>
  <c r="O3" i="162"/>
  <c r="A2" i="161"/>
  <c r="K4" i="162"/>
  <c r="G4" i="162"/>
  <c r="I4" i="162"/>
  <c r="J4" i="162"/>
  <c r="D4" i="162"/>
  <c r="E4" i="162"/>
  <c r="C4" i="162"/>
  <c r="I2" i="162"/>
  <c r="J2" i="162"/>
  <c r="D2" i="162"/>
  <c r="E2" i="162"/>
  <c r="K2" i="162"/>
  <c r="G2" i="162"/>
  <c r="C2" i="162"/>
  <c r="I3" i="162"/>
  <c r="J3" i="162"/>
  <c r="D3" i="162"/>
  <c r="E3" i="162"/>
  <c r="C3" i="162"/>
  <c r="I5" i="162"/>
  <c r="J5" i="162"/>
  <c r="D5" i="162"/>
  <c r="E5" i="162"/>
  <c r="K5" i="162"/>
  <c r="G5" i="162"/>
  <c r="C5" i="162"/>
  <c r="I6" i="162"/>
  <c r="J6" i="162"/>
  <c r="D6" i="162"/>
  <c r="E6" i="162"/>
  <c r="K6" i="162"/>
  <c r="G6" i="162"/>
  <c r="C6" i="162"/>
  <c r="I7" i="162"/>
  <c r="J7" i="162"/>
  <c r="D7" i="162"/>
  <c r="E7" i="162"/>
  <c r="K7" i="162"/>
  <c r="G7" i="162"/>
  <c r="C7" i="162"/>
  <c r="I8" i="162"/>
  <c r="J8" i="162"/>
  <c r="D8" i="162"/>
  <c r="E8" i="162"/>
  <c r="K8" i="162"/>
  <c r="G8" i="162"/>
  <c r="C8" i="162"/>
  <c r="I9" i="162"/>
  <c r="J9" i="162"/>
  <c r="D9" i="162"/>
  <c r="E9" i="162"/>
  <c r="K9" i="162"/>
  <c r="G9" i="162"/>
  <c r="C9" i="162"/>
  <c r="I10" i="162"/>
  <c r="J10" i="162"/>
  <c r="D10" i="162"/>
  <c r="E10" i="162"/>
  <c r="K10" i="162"/>
  <c r="G10" i="162"/>
  <c r="C10" i="162"/>
  <c r="I11" i="162"/>
  <c r="J11" i="162"/>
  <c r="D11" i="162"/>
  <c r="E11" i="162"/>
  <c r="K11" i="162"/>
  <c r="G11" i="162"/>
  <c r="C11" i="162"/>
  <c r="I12" i="162"/>
  <c r="J12" i="162"/>
  <c r="D12" i="162"/>
  <c r="E12" i="162"/>
  <c r="K12" i="162"/>
  <c r="G12" i="162"/>
  <c r="C12" i="162"/>
  <c r="I13" i="162"/>
  <c r="J13" i="162"/>
  <c r="D13" i="162"/>
  <c r="E13" i="162"/>
  <c r="K13" i="162"/>
  <c r="G13" i="162"/>
  <c r="C13" i="162"/>
  <c r="I14" i="162"/>
  <c r="J14" i="162"/>
  <c r="D14" i="162"/>
  <c r="E14" i="162"/>
  <c r="K14" i="162"/>
  <c r="G14" i="162"/>
  <c r="C14" i="162"/>
  <c r="I15" i="162"/>
  <c r="J15" i="162"/>
  <c r="D15" i="162"/>
  <c r="E15" i="162"/>
  <c r="K15" i="162"/>
  <c r="G15" i="162"/>
  <c r="C15" i="162"/>
  <c r="I16" i="162"/>
  <c r="J16" i="162"/>
  <c r="D16" i="162"/>
  <c r="E16" i="162"/>
  <c r="K16" i="162"/>
  <c r="G16" i="162"/>
  <c r="C16" i="162"/>
  <c r="I17" i="162"/>
  <c r="J17" i="162"/>
  <c r="D17" i="162"/>
  <c r="E17" i="162"/>
  <c r="K17" i="162"/>
  <c r="G17" i="162"/>
  <c r="C17" i="162"/>
  <c r="I18" i="162"/>
  <c r="J18" i="162"/>
  <c r="D18" i="162"/>
  <c r="E18" i="162"/>
  <c r="K18" i="162"/>
  <c r="G18" i="162"/>
  <c r="C18" i="162"/>
  <c r="I19" i="162"/>
  <c r="J19" i="162"/>
  <c r="D19" i="162"/>
  <c r="E19" i="162"/>
  <c r="K19" i="162"/>
  <c r="G19" i="162"/>
  <c r="C19" i="162"/>
  <c r="I20" i="162"/>
  <c r="J20" i="162"/>
  <c r="D20" i="162"/>
  <c r="E20" i="162"/>
  <c r="K20" i="162"/>
  <c r="G20" i="162"/>
  <c r="C20" i="162"/>
  <c r="I21" i="162"/>
  <c r="J21" i="162"/>
  <c r="D21" i="162"/>
  <c r="E21" i="162"/>
  <c r="K21" i="162"/>
  <c r="G21" i="162"/>
  <c r="C21" i="162"/>
  <c r="I22" i="162"/>
  <c r="J22" i="162"/>
  <c r="D22" i="162"/>
  <c r="E22" i="162"/>
  <c r="K22" i="162"/>
  <c r="G22" i="162"/>
  <c r="C22" i="162"/>
  <c r="I23" i="162"/>
  <c r="J23" i="162"/>
  <c r="D23" i="162"/>
  <c r="E23" i="162"/>
  <c r="K23" i="162"/>
  <c r="G23" i="162"/>
  <c r="C23" i="162"/>
  <c r="I24" i="162"/>
  <c r="J24" i="162"/>
  <c r="D24" i="162"/>
  <c r="E24" i="162"/>
  <c r="K24" i="162"/>
  <c r="G24" i="162"/>
  <c r="C24" i="162"/>
  <c r="I25" i="162"/>
  <c r="J25" i="162"/>
  <c r="D25" i="162"/>
  <c r="E25" i="162"/>
  <c r="K25" i="162"/>
  <c r="G25" i="162"/>
  <c r="C25" i="162"/>
  <c r="I26" i="162"/>
  <c r="J26" i="162"/>
  <c r="D26" i="162"/>
  <c r="E26" i="162"/>
  <c r="K26" i="162"/>
  <c r="G26" i="162"/>
  <c r="C26" i="162"/>
  <c r="I27" i="162"/>
  <c r="J27" i="162"/>
  <c r="D27" i="162"/>
  <c r="E27" i="162"/>
  <c r="K27" i="162"/>
  <c r="G27" i="162"/>
  <c r="C27" i="162"/>
  <c r="I28" i="162"/>
  <c r="J28" i="162"/>
  <c r="D28" i="162"/>
  <c r="E28" i="162"/>
  <c r="K28" i="162"/>
  <c r="G28" i="162"/>
  <c r="C28" i="162"/>
  <c r="I29" i="162"/>
  <c r="J29" i="162"/>
  <c r="D29" i="162"/>
  <c r="E29" i="162"/>
  <c r="K29" i="162"/>
  <c r="G29" i="162"/>
  <c r="C29" i="162"/>
  <c r="I30" i="162"/>
  <c r="J30" i="162"/>
  <c r="D30" i="162"/>
  <c r="E30" i="162"/>
  <c r="K30" i="162"/>
  <c r="G30" i="162"/>
  <c r="C30" i="162"/>
  <c r="I31" i="162"/>
  <c r="J31" i="162"/>
  <c r="D31" i="162"/>
  <c r="E31" i="162"/>
  <c r="K31" i="162"/>
  <c r="G31" i="162"/>
  <c r="C31" i="162"/>
  <c r="I32" i="162"/>
  <c r="J32" i="162"/>
  <c r="D32" i="162"/>
  <c r="E32" i="162"/>
  <c r="K32" i="162"/>
  <c r="G32" i="162"/>
  <c r="C32" i="162"/>
  <c r="I33" i="162"/>
  <c r="J33" i="162"/>
  <c r="D33" i="162"/>
  <c r="E33" i="162"/>
  <c r="K33" i="162"/>
  <c r="G33" i="162"/>
  <c r="C33" i="162"/>
  <c r="I34" i="162"/>
  <c r="J34" i="162"/>
  <c r="D34" i="162"/>
  <c r="E34" i="162"/>
  <c r="K34" i="162"/>
  <c r="G34" i="162"/>
  <c r="C34" i="162"/>
  <c r="I35" i="162"/>
  <c r="J35" i="162"/>
  <c r="D35" i="162"/>
  <c r="E35" i="162"/>
  <c r="K35" i="162"/>
  <c r="G35" i="162"/>
  <c r="C35" i="162"/>
  <c r="I36" i="162"/>
  <c r="J36" i="162"/>
  <c r="D36" i="162"/>
  <c r="E36" i="162"/>
  <c r="K36" i="162"/>
  <c r="G36" i="162"/>
  <c r="C36" i="162"/>
  <c r="I37" i="162"/>
  <c r="J37" i="162"/>
  <c r="D37" i="162"/>
  <c r="E37" i="162"/>
  <c r="K37" i="162"/>
  <c r="G37" i="162"/>
  <c r="C37" i="162"/>
  <c r="I38" i="162"/>
  <c r="J38" i="162"/>
  <c r="D38" i="162"/>
  <c r="E38" i="162"/>
  <c r="K38" i="162"/>
  <c r="G38" i="162"/>
  <c r="C38" i="162"/>
  <c r="I39" i="162"/>
  <c r="J39" i="162"/>
  <c r="D39" i="162"/>
  <c r="E39" i="162"/>
  <c r="K39" i="162"/>
  <c r="G39" i="162"/>
  <c r="C39" i="162"/>
  <c r="I40" i="162"/>
  <c r="J40" i="162"/>
  <c r="D40" i="162"/>
  <c r="E40" i="162"/>
  <c r="K40" i="162"/>
  <c r="G40" i="162"/>
  <c r="C40" i="162"/>
  <c r="I41" i="162"/>
  <c r="J41" i="162"/>
  <c r="D41" i="162"/>
  <c r="E41" i="162"/>
  <c r="K41" i="162"/>
  <c r="G41" i="162"/>
  <c r="C41" i="162"/>
  <c r="I42" i="162"/>
  <c r="D42" i="162"/>
  <c r="J42" i="162"/>
  <c r="E42" i="162"/>
  <c r="K42" i="162"/>
  <c r="G42" i="162"/>
  <c r="C42" i="162"/>
  <c r="I43" i="162"/>
  <c r="D43" i="162"/>
  <c r="J43" i="162"/>
  <c r="E43" i="162"/>
  <c r="K43" i="162"/>
  <c r="G43" i="162"/>
  <c r="C43" i="162"/>
  <c r="I44" i="162"/>
  <c r="D44" i="162"/>
  <c r="J44" i="162"/>
  <c r="E44" i="162"/>
  <c r="K44" i="162"/>
  <c r="G44" i="162"/>
  <c r="C44" i="162"/>
  <c r="I45" i="162"/>
  <c r="D45" i="162"/>
  <c r="J45" i="162"/>
  <c r="E45" i="162"/>
  <c r="K45" i="162"/>
  <c r="G45" i="162"/>
  <c r="C45" i="162"/>
  <c r="I46" i="162"/>
  <c r="D46" i="162"/>
  <c r="J46" i="162"/>
  <c r="E46" i="162"/>
  <c r="K46" i="162"/>
  <c r="G46" i="162"/>
  <c r="C46" i="162"/>
  <c r="I47" i="162"/>
  <c r="D47" i="162"/>
  <c r="J47" i="162"/>
  <c r="E47" i="162"/>
  <c r="K47" i="162"/>
  <c r="G47" i="162"/>
  <c r="C47" i="162"/>
  <c r="I48" i="162"/>
  <c r="D48" i="162"/>
  <c r="J48" i="162"/>
  <c r="E48" i="162"/>
  <c r="K48" i="162"/>
  <c r="G48" i="162"/>
  <c r="C48" i="162"/>
  <c r="I49" i="162"/>
  <c r="D49" i="162"/>
  <c r="J49" i="162"/>
  <c r="E49" i="162"/>
  <c r="K49" i="162"/>
  <c r="G49" i="162"/>
  <c r="C49" i="162"/>
  <c r="I50" i="162"/>
  <c r="D50" i="162"/>
  <c r="J50" i="162"/>
  <c r="E50" i="162"/>
  <c r="K50" i="162"/>
  <c r="G50" i="162"/>
  <c r="C50" i="162"/>
  <c r="I51" i="162"/>
  <c r="D51" i="162"/>
  <c r="J51" i="162"/>
  <c r="E51" i="162"/>
  <c r="K51" i="162"/>
  <c r="G51" i="162"/>
  <c r="C51" i="162"/>
  <c r="I52" i="162"/>
  <c r="D52" i="162"/>
  <c r="J52" i="162"/>
  <c r="E52" i="162"/>
  <c r="K52" i="162"/>
  <c r="G52" i="162"/>
  <c r="C52" i="162"/>
  <c r="I53" i="162"/>
  <c r="D53" i="162"/>
  <c r="J53" i="162"/>
  <c r="E53" i="162"/>
  <c r="K53" i="162"/>
  <c r="G53" i="162"/>
  <c r="C53" i="162"/>
  <c r="I54" i="162"/>
  <c r="D54" i="162"/>
  <c r="J54" i="162"/>
  <c r="E54" i="162"/>
  <c r="K54" i="162"/>
  <c r="G54" i="162"/>
  <c r="C54" i="162"/>
  <c r="I55" i="162"/>
  <c r="D55" i="162"/>
  <c r="J55" i="162"/>
  <c r="E55" i="162"/>
  <c r="K55" i="162"/>
  <c r="G55" i="162"/>
  <c r="C55" i="162"/>
  <c r="I56" i="162"/>
  <c r="D56" i="162"/>
  <c r="J56" i="162"/>
  <c r="E56" i="162"/>
  <c r="K56" i="162"/>
  <c r="G56" i="162"/>
  <c r="C56" i="162"/>
  <c r="I57" i="162"/>
  <c r="D57" i="162"/>
  <c r="J57" i="162"/>
  <c r="E57" i="162"/>
  <c r="K57" i="162"/>
  <c r="G57" i="162"/>
  <c r="C57" i="162"/>
  <c r="I58" i="162"/>
  <c r="D58" i="162"/>
  <c r="J58" i="162"/>
  <c r="E58" i="162"/>
  <c r="K58" i="162"/>
  <c r="G58" i="162"/>
  <c r="C58" i="162"/>
  <c r="I59" i="162"/>
  <c r="D59" i="162"/>
  <c r="J59" i="162"/>
  <c r="E59" i="162"/>
  <c r="K59" i="162"/>
  <c r="G59" i="162"/>
  <c r="C59" i="162"/>
  <c r="I60" i="162"/>
  <c r="D60" i="162"/>
  <c r="J60" i="162"/>
  <c r="E60" i="162"/>
  <c r="K60" i="162"/>
  <c r="G60" i="162"/>
  <c r="C60" i="162"/>
  <c r="I61" i="162"/>
  <c r="D61" i="162"/>
  <c r="J61" i="162"/>
  <c r="E61" i="162"/>
  <c r="K61" i="162"/>
  <c r="G61" i="162"/>
  <c r="C61" i="162"/>
  <c r="I62" i="162"/>
  <c r="D62" i="162"/>
  <c r="J62" i="162"/>
  <c r="E62" i="162"/>
  <c r="K62" i="162"/>
  <c r="G62" i="162"/>
  <c r="C62" i="162"/>
  <c r="I63" i="162"/>
  <c r="D63" i="162"/>
  <c r="J63" i="162"/>
  <c r="E63" i="162"/>
  <c r="K63" i="162"/>
  <c r="G63" i="162"/>
  <c r="C63" i="162"/>
  <c r="I64" i="162"/>
  <c r="D64" i="162"/>
  <c r="J64" i="162"/>
  <c r="E64" i="162"/>
  <c r="K64" i="162"/>
  <c r="G64" i="162"/>
  <c r="C64" i="162"/>
  <c r="I65" i="162"/>
  <c r="D65" i="162"/>
  <c r="J65" i="162"/>
  <c r="E65" i="162"/>
  <c r="K65" i="162"/>
  <c r="G65" i="162"/>
  <c r="C65" i="162"/>
  <c r="I66" i="162"/>
  <c r="D66" i="162"/>
  <c r="J66" i="162"/>
  <c r="E66" i="162"/>
  <c r="K66" i="162"/>
  <c r="G66" i="162"/>
  <c r="C66" i="162"/>
  <c r="I67" i="162"/>
  <c r="D67" i="162"/>
  <c r="J67" i="162"/>
  <c r="E67" i="162"/>
  <c r="K67" i="162"/>
  <c r="G67" i="162"/>
  <c r="C67" i="162"/>
  <c r="I68" i="162"/>
  <c r="D68" i="162"/>
  <c r="J68" i="162"/>
  <c r="E68" i="162"/>
  <c r="K68" i="162"/>
  <c r="G68" i="162"/>
  <c r="C68" i="162"/>
  <c r="I69" i="162"/>
  <c r="D69" i="162"/>
  <c r="J69" i="162"/>
  <c r="E69" i="162"/>
  <c r="K69" i="162"/>
  <c r="G69" i="162"/>
  <c r="C69" i="162"/>
  <c r="I70" i="162"/>
  <c r="D70" i="162"/>
  <c r="J70" i="162"/>
  <c r="E70" i="162"/>
  <c r="K70" i="162"/>
  <c r="G70" i="162"/>
  <c r="C70" i="162"/>
  <c r="I71" i="162"/>
  <c r="D71" i="162"/>
  <c r="J71" i="162"/>
  <c r="E71" i="162"/>
  <c r="K71" i="162"/>
  <c r="G71" i="162"/>
  <c r="C71" i="162"/>
  <c r="I72" i="162"/>
  <c r="D72" i="162"/>
  <c r="J72" i="162"/>
  <c r="E72" i="162"/>
  <c r="K72" i="162"/>
  <c r="G72" i="162"/>
  <c r="C72" i="162"/>
  <c r="I73" i="162"/>
  <c r="D73" i="162"/>
  <c r="J73" i="162"/>
  <c r="E73" i="162"/>
  <c r="K73" i="162"/>
  <c r="G73" i="162"/>
  <c r="C73" i="162"/>
  <c r="I74" i="162"/>
  <c r="D74" i="162"/>
  <c r="J74" i="162"/>
  <c r="E74" i="162"/>
  <c r="K74" i="162"/>
  <c r="G74" i="162"/>
  <c r="C74" i="162"/>
  <c r="I75" i="162"/>
  <c r="D75" i="162"/>
  <c r="J75" i="162"/>
  <c r="E75" i="162"/>
  <c r="K75" i="162"/>
  <c r="G75" i="162"/>
  <c r="C75" i="162"/>
  <c r="I76" i="162"/>
  <c r="D76" i="162"/>
  <c r="J76" i="162"/>
  <c r="E76" i="162"/>
  <c r="K76" i="162"/>
  <c r="G76" i="162"/>
  <c r="C76" i="162"/>
  <c r="I77" i="162"/>
  <c r="D77" i="162"/>
  <c r="J77" i="162"/>
  <c r="E77" i="162"/>
  <c r="K77" i="162"/>
  <c r="G77" i="162"/>
  <c r="C77" i="162"/>
  <c r="I78" i="162"/>
  <c r="D78" i="162"/>
  <c r="J78" i="162"/>
  <c r="E78" i="162"/>
  <c r="K78" i="162"/>
  <c r="G78" i="162"/>
  <c r="C78" i="162"/>
  <c r="I79" i="162"/>
  <c r="D79" i="162"/>
  <c r="J79" i="162"/>
  <c r="E79" i="162"/>
  <c r="K79" i="162"/>
  <c r="G79" i="162"/>
  <c r="C79" i="162"/>
  <c r="I80" i="162"/>
  <c r="D80" i="162"/>
  <c r="J80" i="162"/>
  <c r="E80" i="162"/>
  <c r="K80" i="162"/>
  <c r="G80" i="162"/>
  <c r="C80" i="162"/>
  <c r="I81" i="162"/>
  <c r="D81" i="162"/>
  <c r="J81" i="162"/>
  <c r="E81" i="162"/>
  <c r="K81" i="162"/>
  <c r="G81" i="162"/>
  <c r="C81" i="162"/>
  <c r="I82" i="162"/>
  <c r="D82" i="162"/>
  <c r="J82" i="162"/>
  <c r="E82" i="162"/>
  <c r="K82" i="162"/>
  <c r="G82" i="162"/>
  <c r="C82" i="162"/>
  <c r="I83" i="162"/>
  <c r="D83" i="162"/>
  <c r="J83" i="162"/>
  <c r="E83" i="162"/>
  <c r="K83" i="162"/>
  <c r="G83" i="162"/>
  <c r="C83" i="162"/>
  <c r="I84" i="162"/>
  <c r="D84" i="162"/>
  <c r="J84" i="162"/>
  <c r="E84" i="162"/>
  <c r="K84" i="162"/>
  <c r="G84" i="162"/>
  <c r="C84" i="162"/>
  <c r="I85" i="162"/>
  <c r="D85" i="162"/>
  <c r="J85" i="162"/>
  <c r="E85" i="162"/>
  <c r="K85" i="162"/>
  <c r="G85" i="162"/>
  <c r="C85" i="162"/>
  <c r="I86" i="162"/>
  <c r="D86" i="162"/>
  <c r="J86" i="162"/>
  <c r="E86" i="162"/>
  <c r="K86" i="162"/>
  <c r="G86" i="162"/>
  <c r="C86" i="162"/>
  <c r="I87" i="162"/>
  <c r="D87" i="162"/>
  <c r="J87" i="162"/>
  <c r="E87" i="162"/>
  <c r="K87" i="162"/>
  <c r="G87" i="162"/>
  <c r="C87" i="162"/>
  <c r="I88" i="162"/>
  <c r="D88" i="162"/>
  <c r="J88" i="162"/>
  <c r="E88" i="162"/>
  <c r="K88" i="162"/>
  <c r="G88" i="162"/>
  <c r="C88" i="162"/>
  <c r="I89" i="162"/>
  <c r="D89" i="162"/>
  <c r="J89" i="162"/>
  <c r="E89" i="162"/>
  <c r="K89" i="162"/>
  <c r="G89" i="162"/>
  <c r="C89" i="162"/>
  <c r="I90" i="162"/>
  <c r="D90" i="162"/>
  <c r="J90" i="162"/>
  <c r="E90" i="162"/>
  <c r="K90" i="162"/>
  <c r="G90" i="162"/>
  <c r="C90" i="162"/>
  <c r="I91" i="162"/>
  <c r="D91" i="162"/>
  <c r="J91" i="162"/>
  <c r="E91" i="162"/>
  <c r="K91" i="162"/>
  <c r="G91" i="162"/>
  <c r="C91" i="162"/>
  <c r="I92" i="162"/>
  <c r="D92" i="162"/>
  <c r="J92" i="162"/>
  <c r="E92" i="162"/>
  <c r="K92" i="162"/>
  <c r="G92" i="162"/>
  <c r="C92" i="162"/>
  <c r="I93" i="162"/>
  <c r="D93" i="162"/>
  <c r="J93" i="162"/>
  <c r="E93" i="162"/>
  <c r="K93" i="162"/>
  <c r="G93" i="162"/>
  <c r="C93" i="162"/>
  <c r="I94" i="162"/>
  <c r="D94" i="162"/>
  <c r="J94" i="162"/>
  <c r="E94" i="162"/>
  <c r="K94" i="162"/>
  <c r="G94" i="162"/>
  <c r="C94" i="162"/>
  <c r="I95" i="162"/>
  <c r="D95" i="162"/>
  <c r="J95" i="162"/>
  <c r="E95" i="162"/>
  <c r="K95" i="162"/>
  <c r="G95" i="162"/>
  <c r="C95" i="162"/>
  <c r="I96" i="162"/>
  <c r="D96" i="162"/>
  <c r="J96" i="162"/>
  <c r="E96" i="162"/>
  <c r="K96" i="162"/>
  <c r="G96" i="162"/>
  <c r="C96" i="162"/>
  <c r="I97" i="162"/>
  <c r="D97" i="162"/>
  <c r="J97" i="162"/>
  <c r="E97" i="162"/>
  <c r="K97" i="162"/>
  <c r="G97" i="162"/>
  <c r="C97" i="162"/>
  <c r="I98" i="162"/>
  <c r="D98" i="162"/>
  <c r="J98" i="162"/>
  <c r="E98" i="162"/>
  <c r="K98" i="162"/>
  <c r="G98" i="162"/>
  <c r="C98" i="162"/>
  <c r="I99" i="162"/>
  <c r="D99" i="162"/>
  <c r="J99" i="162"/>
  <c r="E99" i="162"/>
  <c r="K99" i="162"/>
  <c r="G99" i="162"/>
  <c r="C99" i="162"/>
  <c r="I100" i="162"/>
  <c r="D100" i="162"/>
  <c r="J100" i="162"/>
  <c r="E100" i="162"/>
  <c r="K100" i="162"/>
  <c r="G100" i="162"/>
  <c r="C100" i="162"/>
  <c r="I101" i="162"/>
  <c r="D101" i="162"/>
  <c r="J101" i="162"/>
  <c r="E101" i="162"/>
  <c r="K101" i="162"/>
  <c r="G101" i="162"/>
  <c r="C101" i="162"/>
  <c r="I102" i="162"/>
  <c r="D102" i="162"/>
  <c r="J102" i="162"/>
  <c r="E102" i="162"/>
  <c r="K102" i="162"/>
  <c r="G102" i="162"/>
  <c r="C102" i="162"/>
  <c r="I103" i="162"/>
  <c r="D103" i="162"/>
  <c r="J103" i="162"/>
  <c r="E103" i="162"/>
  <c r="K103" i="162"/>
  <c r="G103" i="162"/>
  <c r="C103" i="162"/>
  <c r="I104" i="162"/>
  <c r="D104" i="162"/>
  <c r="J104" i="162"/>
  <c r="E104" i="162"/>
  <c r="K104" i="162"/>
  <c r="G104" i="162"/>
  <c r="C104" i="162"/>
  <c r="I105" i="162"/>
  <c r="D105" i="162"/>
  <c r="J105" i="162"/>
  <c r="E105" i="162"/>
  <c r="K105" i="162"/>
  <c r="G105" i="162"/>
  <c r="C105" i="162"/>
  <c r="I106" i="162"/>
  <c r="D106" i="162"/>
  <c r="J106" i="162"/>
  <c r="E106" i="162"/>
  <c r="K106" i="162"/>
  <c r="G106" i="162"/>
  <c r="C106" i="162"/>
  <c r="I107" i="162"/>
  <c r="D107" i="162"/>
  <c r="J107" i="162"/>
  <c r="E107" i="162"/>
  <c r="K107" i="162"/>
  <c r="G107" i="162"/>
  <c r="C107" i="162"/>
  <c r="I108" i="162"/>
  <c r="D108" i="162"/>
  <c r="J108" i="162"/>
  <c r="E108" i="162"/>
  <c r="K108" i="162"/>
  <c r="G108" i="162"/>
  <c r="C108" i="162"/>
  <c r="I109" i="162"/>
  <c r="D109" i="162"/>
  <c r="J109" i="162"/>
  <c r="E109" i="162"/>
  <c r="K109" i="162"/>
  <c r="G109" i="162"/>
  <c r="C109" i="162"/>
  <c r="I110" i="162"/>
  <c r="D110" i="162"/>
  <c r="J110" i="162"/>
  <c r="E110" i="162"/>
  <c r="K110" i="162"/>
  <c r="G110" i="162"/>
  <c r="C110" i="162"/>
  <c r="I111" i="162"/>
  <c r="D111" i="162"/>
  <c r="J111" i="162"/>
  <c r="E111" i="162"/>
  <c r="K111" i="162"/>
  <c r="G111" i="162"/>
  <c r="C111" i="162"/>
  <c r="I112" i="162"/>
  <c r="D112" i="162"/>
  <c r="J112" i="162"/>
  <c r="E112" i="162"/>
  <c r="K112" i="162"/>
  <c r="G112" i="162"/>
  <c r="C112" i="162"/>
  <c r="I113" i="162"/>
  <c r="D113" i="162"/>
  <c r="J113" i="162"/>
  <c r="E113" i="162"/>
  <c r="K113" i="162"/>
  <c r="G113" i="162"/>
  <c r="C113" i="162"/>
  <c r="I114" i="162"/>
  <c r="D114" i="162"/>
  <c r="J114" i="162"/>
  <c r="E114" i="162"/>
  <c r="K114" i="162"/>
  <c r="G114" i="162"/>
  <c r="C114" i="162"/>
  <c r="I115" i="162"/>
  <c r="D115" i="162"/>
  <c r="J115" i="162"/>
  <c r="E115" i="162"/>
  <c r="K115" i="162"/>
  <c r="G115" i="162"/>
  <c r="C115" i="162"/>
  <c r="I116" i="162"/>
  <c r="D116" i="162"/>
  <c r="J116" i="162"/>
  <c r="E116" i="162"/>
  <c r="K116" i="162"/>
  <c r="G116" i="162"/>
  <c r="C116" i="162"/>
  <c r="I117" i="162"/>
  <c r="D117" i="162"/>
  <c r="J117" i="162"/>
  <c r="E117" i="162"/>
  <c r="K117" i="162"/>
  <c r="G117" i="162"/>
  <c r="C117" i="162"/>
  <c r="I118" i="162"/>
  <c r="D118" i="162"/>
  <c r="J118" i="162"/>
  <c r="E118" i="162"/>
  <c r="K118" i="162"/>
  <c r="G118" i="162"/>
  <c r="C118" i="162"/>
  <c r="I119" i="162"/>
  <c r="D119" i="162"/>
  <c r="J119" i="162"/>
  <c r="E119" i="162"/>
  <c r="K119" i="162"/>
  <c r="G119" i="162"/>
  <c r="C119" i="162"/>
  <c r="I120" i="162"/>
  <c r="D120" i="162"/>
  <c r="J120" i="162"/>
  <c r="E120" i="162"/>
  <c r="K120" i="162"/>
  <c r="G120" i="162"/>
  <c r="C120" i="162"/>
  <c r="I121" i="162"/>
  <c r="D121" i="162"/>
  <c r="J121" i="162"/>
  <c r="E121" i="162"/>
  <c r="K121" i="162"/>
  <c r="G121" i="162"/>
  <c r="C121" i="162"/>
  <c r="I122" i="162"/>
  <c r="D122" i="162"/>
  <c r="J122" i="162"/>
  <c r="E122" i="162"/>
  <c r="K122" i="162"/>
  <c r="G122" i="162"/>
  <c r="C122" i="162"/>
  <c r="I123" i="162"/>
  <c r="D123" i="162"/>
  <c r="J123" i="162"/>
  <c r="E123" i="162"/>
  <c r="K123" i="162"/>
  <c r="G123" i="162"/>
  <c r="C123" i="162"/>
  <c r="I124" i="162"/>
  <c r="D124" i="162"/>
  <c r="J124" i="162"/>
  <c r="E124" i="162"/>
  <c r="K124" i="162"/>
  <c r="G124" i="162"/>
  <c r="C124" i="162"/>
  <c r="I125" i="162"/>
  <c r="D125" i="162"/>
  <c r="J125" i="162"/>
  <c r="E125" i="162"/>
  <c r="K125" i="162"/>
  <c r="G125" i="162"/>
  <c r="C125" i="162"/>
  <c r="I126" i="162"/>
  <c r="D126" i="162"/>
  <c r="J126" i="162"/>
  <c r="E126" i="162"/>
  <c r="K126" i="162"/>
  <c r="G126" i="162"/>
  <c r="C126" i="162"/>
  <c r="I127" i="162"/>
  <c r="D127" i="162"/>
  <c r="J127" i="162"/>
  <c r="E127" i="162"/>
  <c r="K127" i="162"/>
  <c r="G127" i="162"/>
  <c r="C127" i="162"/>
  <c r="I128" i="162"/>
  <c r="D128" i="162"/>
  <c r="J128" i="162"/>
  <c r="E128" i="162"/>
  <c r="K128" i="162"/>
  <c r="G128" i="162"/>
  <c r="C128" i="162"/>
  <c r="I129" i="162"/>
  <c r="D129" i="162"/>
  <c r="J129" i="162"/>
  <c r="E129" i="162"/>
  <c r="K129" i="162"/>
  <c r="G129" i="162"/>
  <c r="C129" i="162"/>
  <c r="I130" i="162"/>
  <c r="D130" i="162"/>
  <c r="J130" i="162"/>
  <c r="E130" i="162"/>
  <c r="K130" i="162"/>
  <c r="G130" i="162"/>
  <c r="C130" i="162"/>
  <c r="I131" i="162"/>
  <c r="D131" i="162"/>
  <c r="J131" i="162"/>
  <c r="E131" i="162"/>
  <c r="K131" i="162"/>
  <c r="G131" i="162"/>
  <c r="C131" i="162"/>
  <c r="I132" i="162"/>
  <c r="D132" i="162"/>
  <c r="J132" i="162"/>
  <c r="E132" i="162"/>
  <c r="K132" i="162"/>
  <c r="G132" i="162"/>
  <c r="C132" i="162"/>
  <c r="I133" i="162"/>
  <c r="D133" i="162"/>
  <c r="J133" i="162"/>
  <c r="E133" i="162"/>
  <c r="K133" i="162"/>
  <c r="G133" i="162"/>
  <c r="C133" i="162"/>
  <c r="I134" i="162"/>
  <c r="D134" i="162"/>
  <c r="J134" i="162"/>
  <c r="E134" i="162"/>
  <c r="K134" i="162"/>
  <c r="G134" i="162"/>
  <c r="C134" i="162"/>
  <c r="I135" i="162"/>
  <c r="D135" i="162"/>
  <c r="J135" i="162"/>
  <c r="E135" i="162"/>
  <c r="K135" i="162"/>
  <c r="G135" i="162"/>
  <c r="C135" i="162"/>
  <c r="I136" i="162"/>
  <c r="D136" i="162"/>
  <c r="J136" i="162"/>
  <c r="E136" i="162"/>
  <c r="K136" i="162"/>
  <c r="G136" i="162"/>
  <c r="C136" i="162"/>
  <c r="I137" i="162"/>
  <c r="D137" i="162"/>
  <c r="J137" i="162"/>
  <c r="E137" i="162"/>
  <c r="K137" i="162"/>
  <c r="G137" i="162"/>
  <c r="C137" i="162"/>
  <c r="I138" i="162"/>
  <c r="D138" i="162"/>
  <c r="J138" i="162"/>
  <c r="E138" i="162"/>
  <c r="K138" i="162"/>
  <c r="G138" i="162"/>
  <c r="C138" i="162"/>
  <c r="I139" i="162"/>
  <c r="D139" i="162"/>
  <c r="J139" i="162"/>
  <c r="E139" i="162"/>
  <c r="K139" i="162"/>
  <c r="G139" i="162"/>
  <c r="C139" i="162"/>
  <c r="I140" i="162"/>
  <c r="D140" i="162"/>
  <c r="J140" i="162"/>
  <c r="E140" i="162"/>
  <c r="K140" i="162"/>
  <c r="G140" i="162"/>
  <c r="C140" i="162"/>
  <c r="I141" i="162"/>
  <c r="D141" i="162"/>
  <c r="J141" i="162"/>
  <c r="E141" i="162"/>
  <c r="K141" i="162"/>
  <c r="G141" i="162"/>
  <c r="C141" i="162"/>
  <c r="I142" i="162"/>
  <c r="D142" i="162"/>
  <c r="J142" i="162"/>
  <c r="E142" i="162"/>
  <c r="K142" i="162"/>
  <c r="G142" i="162"/>
  <c r="C142" i="162"/>
  <c r="I143" i="162"/>
  <c r="D143" i="162"/>
  <c r="J143" i="162"/>
  <c r="E143" i="162"/>
  <c r="K143" i="162"/>
  <c r="G143" i="162"/>
  <c r="C143" i="162"/>
  <c r="I144" i="162"/>
  <c r="D144" i="162"/>
  <c r="J144" i="162"/>
  <c r="E144" i="162"/>
  <c r="K144" i="162"/>
  <c r="G144" i="162"/>
  <c r="C144" i="162"/>
  <c r="I145" i="162"/>
  <c r="D145" i="162"/>
  <c r="J145" i="162"/>
  <c r="E145" i="162"/>
  <c r="K145" i="162"/>
  <c r="G145" i="162"/>
  <c r="C145" i="162"/>
  <c r="I146" i="162"/>
  <c r="D146" i="162"/>
  <c r="J146" i="162"/>
  <c r="E146" i="162"/>
  <c r="K146" i="162"/>
  <c r="G146" i="162"/>
  <c r="C146" i="162"/>
  <c r="I147" i="162"/>
  <c r="D147" i="162"/>
  <c r="J147" i="162"/>
  <c r="E147" i="162"/>
  <c r="K147" i="162"/>
  <c r="G147" i="162"/>
  <c r="C147" i="162"/>
  <c r="I148" i="162"/>
  <c r="D148" i="162"/>
  <c r="J148" i="162"/>
  <c r="E148" i="162"/>
  <c r="K148" i="162"/>
  <c r="G148" i="162"/>
  <c r="C148" i="162"/>
  <c r="I149" i="162"/>
  <c r="D149" i="162"/>
  <c r="J149" i="162"/>
  <c r="E149" i="162"/>
  <c r="K149" i="162"/>
  <c r="G149" i="162"/>
  <c r="C149" i="162"/>
  <c r="I150" i="162"/>
  <c r="D150" i="162"/>
  <c r="J150" i="162"/>
  <c r="E150" i="162"/>
  <c r="K150" i="162"/>
  <c r="G150" i="162"/>
  <c r="C150" i="162"/>
  <c r="I151" i="162"/>
  <c r="D151" i="162"/>
  <c r="J151" i="162"/>
  <c r="E151" i="162"/>
  <c r="K151" i="162"/>
  <c r="G151" i="162"/>
  <c r="C151" i="162"/>
  <c r="I152" i="162"/>
  <c r="D152" i="162"/>
  <c r="J152" i="162"/>
  <c r="E152" i="162"/>
  <c r="K152" i="162"/>
  <c r="G152" i="162"/>
  <c r="C152" i="162"/>
  <c r="I153" i="162"/>
  <c r="D153" i="162"/>
  <c r="J153" i="162"/>
  <c r="E153" i="162"/>
  <c r="K153" i="162"/>
  <c r="G153" i="162"/>
  <c r="C153" i="162"/>
  <c r="I154" i="162"/>
  <c r="D154" i="162"/>
  <c r="J154" i="162"/>
  <c r="E154" i="162"/>
  <c r="K154" i="162"/>
  <c r="G154" i="162"/>
  <c r="C154" i="162"/>
  <c r="I155" i="162"/>
  <c r="D155" i="162"/>
  <c r="J155" i="162"/>
  <c r="E155" i="162"/>
  <c r="K155" i="162"/>
  <c r="G155" i="162"/>
  <c r="C155" i="162"/>
  <c r="I156" i="162"/>
  <c r="D156" i="162"/>
  <c r="J156" i="162"/>
  <c r="E156" i="162"/>
  <c r="K156" i="162"/>
  <c r="G156" i="162"/>
  <c r="C156" i="162"/>
  <c r="I157" i="162"/>
  <c r="D157" i="162"/>
  <c r="J157" i="162"/>
  <c r="E157" i="162"/>
  <c r="K157" i="162"/>
  <c r="G157" i="162"/>
  <c r="C157" i="162"/>
  <c r="I158" i="162"/>
  <c r="D158" i="162"/>
  <c r="J158" i="162"/>
  <c r="E158" i="162"/>
  <c r="K158" i="162"/>
  <c r="G158" i="162"/>
  <c r="C158" i="162"/>
  <c r="I159" i="162"/>
  <c r="D159" i="162"/>
  <c r="J159" i="162"/>
  <c r="E159" i="162"/>
  <c r="K159" i="162"/>
  <c r="G159" i="162"/>
  <c r="C159" i="162"/>
  <c r="I160" i="162"/>
  <c r="D160" i="162"/>
  <c r="J160" i="162"/>
  <c r="E160" i="162"/>
  <c r="K160" i="162"/>
  <c r="G160" i="162"/>
  <c r="C160" i="162"/>
  <c r="I161" i="162"/>
  <c r="D161" i="162"/>
  <c r="J161" i="162"/>
  <c r="E161" i="162"/>
  <c r="K161" i="162"/>
  <c r="G161" i="162"/>
  <c r="C161" i="162"/>
  <c r="I162" i="162"/>
  <c r="D162" i="162"/>
  <c r="J162" i="162"/>
  <c r="E162" i="162"/>
  <c r="K162" i="162"/>
  <c r="G162" i="162"/>
  <c r="C162" i="162"/>
  <c r="I163" i="162"/>
  <c r="D163" i="162"/>
  <c r="J163" i="162"/>
  <c r="E163" i="162"/>
  <c r="K163" i="162"/>
  <c r="G163" i="162"/>
  <c r="C163" i="162"/>
  <c r="I164" i="162"/>
  <c r="D164" i="162"/>
  <c r="J164" i="162"/>
  <c r="E164" i="162"/>
  <c r="K164" i="162"/>
  <c r="G164" i="162"/>
  <c r="C164" i="162"/>
  <c r="I165" i="162"/>
  <c r="D165" i="162"/>
  <c r="J165" i="162"/>
  <c r="E165" i="162"/>
  <c r="K165" i="162"/>
  <c r="G165" i="162"/>
  <c r="C165" i="162"/>
  <c r="I166" i="162"/>
  <c r="D166" i="162"/>
  <c r="J166" i="162"/>
  <c r="E166" i="162"/>
  <c r="K166" i="162"/>
  <c r="G166" i="162"/>
  <c r="C166" i="162"/>
  <c r="I167" i="162"/>
  <c r="D167" i="162"/>
  <c r="J167" i="162"/>
  <c r="E167" i="162"/>
  <c r="K167" i="162"/>
  <c r="G167" i="162"/>
  <c r="C167" i="162"/>
  <c r="I168" i="162"/>
  <c r="D168" i="162"/>
  <c r="J168" i="162"/>
  <c r="E168" i="162"/>
  <c r="K168" i="162"/>
  <c r="G168" i="162"/>
  <c r="C168" i="162"/>
  <c r="I169" i="162"/>
  <c r="D169" i="162"/>
  <c r="J169" i="162"/>
  <c r="E169" i="162"/>
  <c r="K169" i="162"/>
  <c r="G169" i="162"/>
  <c r="C169" i="162"/>
  <c r="I170" i="162"/>
  <c r="D170" i="162"/>
  <c r="J170" i="162"/>
  <c r="E170" i="162"/>
  <c r="K170" i="162"/>
  <c r="G170" i="162"/>
  <c r="C170" i="162"/>
  <c r="I171" i="162"/>
  <c r="D171" i="162"/>
  <c r="J171" i="162"/>
  <c r="E171" i="162"/>
  <c r="K171" i="162"/>
  <c r="G171" i="162"/>
  <c r="C171" i="162"/>
  <c r="I172" i="162"/>
  <c r="D172" i="162"/>
  <c r="J172" i="162"/>
  <c r="E172" i="162"/>
  <c r="K172" i="162"/>
  <c r="G172" i="162"/>
  <c r="C172" i="162"/>
  <c r="I173" i="162"/>
  <c r="D173" i="162"/>
  <c r="J173" i="162"/>
  <c r="E173" i="162"/>
  <c r="K173" i="162"/>
  <c r="G173" i="162"/>
  <c r="C173" i="162"/>
  <c r="I174" i="162"/>
  <c r="D174" i="162"/>
  <c r="J174" i="162"/>
  <c r="E174" i="162"/>
  <c r="K174" i="162"/>
  <c r="G174" i="162"/>
  <c r="C174" i="162"/>
  <c r="I175" i="162"/>
  <c r="D175" i="162"/>
  <c r="J175" i="162"/>
  <c r="E175" i="162"/>
  <c r="K175" i="162"/>
  <c r="G175" i="162"/>
  <c r="C175" i="162"/>
  <c r="I176" i="162"/>
  <c r="D176" i="162"/>
  <c r="J176" i="162"/>
  <c r="E176" i="162"/>
  <c r="K176" i="162"/>
  <c r="G176" i="162"/>
  <c r="C176" i="162"/>
  <c r="I177" i="162"/>
  <c r="D177" i="162"/>
  <c r="J177" i="162"/>
  <c r="E177" i="162"/>
  <c r="K177" i="162"/>
  <c r="G177" i="162"/>
  <c r="C177" i="162"/>
  <c r="I178" i="162"/>
  <c r="D178" i="162"/>
  <c r="J178" i="162"/>
  <c r="E178" i="162"/>
  <c r="K178" i="162"/>
  <c r="G178" i="162"/>
  <c r="C178" i="162"/>
  <c r="I179" i="162"/>
  <c r="D179" i="162"/>
  <c r="J179" i="162"/>
  <c r="E179" i="162"/>
  <c r="K179" i="162"/>
  <c r="G179" i="162"/>
  <c r="C179" i="162"/>
  <c r="I180" i="162"/>
  <c r="D180" i="162"/>
  <c r="J180" i="162"/>
  <c r="E180" i="162"/>
  <c r="K180" i="162"/>
  <c r="G180" i="162"/>
  <c r="C180" i="162"/>
  <c r="I181" i="162"/>
  <c r="D181" i="162"/>
  <c r="J181" i="162"/>
  <c r="E181" i="162"/>
  <c r="K181" i="162"/>
  <c r="G181" i="162"/>
  <c r="C181" i="162"/>
  <c r="I182" i="162"/>
  <c r="D182" i="162"/>
  <c r="J182" i="162"/>
  <c r="E182" i="162"/>
  <c r="K182" i="162"/>
  <c r="G182" i="162"/>
  <c r="C182" i="162"/>
  <c r="I183" i="162"/>
  <c r="D183" i="162"/>
  <c r="J183" i="162"/>
  <c r="E183" i="162"/>
  <c r="K183" i="162"/>
  <c r="G183" i="162"/>
  <c r="C183" i="162"/>
  <c r="I184" i="162"/>
  <c r="D184" i="162"/>
  <c r="J184" i="162"/>
  <c r="E184" i="162"/>
  <c r="K184" i="162"/>
  <c r="G184" i="162"/>
  <c r="C184" i="162"/>
  <c r="I185" i="162"/>
  <c r="D185" i="162"/>
  <c r="J185" i="162"/>
  <c r="E185" i="162"/>
  <c r="K185" i="162"/>
  <c r="G185" i="162"/>
  <c r="C185" i="162"/>
  <c r="I186" i="162"/>
  <c r="D186" i="162"/>
  <c r="J186" i="162"/>
  <c r="E186" i="162"/>
  <c r="K186" i="162"/>
  <c r="G186" i="162"/>
  <c r="C186" i="162"/>
  <c r="I187" i="162"/>
  <c r="D187" i="162"/>
  <c r="J187" i="162"/>
  <c r="E187" i="162"/>
  <c r="K187" i="162"/>
  <c r="G187" i="162"/>
  <c r="C187" i="162"/>
  <c r="I188" i="162"/>
  <c r="D188" i="162"/>
  <c r="J188" i="162"/>
  <c r="E188" i="162"/>
  <c r="K188" i="162"/>
  <c r="G188" i="162"/>
  <c r="C188" i="162"/>
  <c r="I189" i="162"/>
  <c r="D189" i="162"/>
  <c r="J189" i="162"/>
  <c r="E189" i="162"/>
  <c r="K189" i="162"/>
  <c r="G189" i="162"/>
  <c r="C189" i="162"/>
  <c r="I190" i="162"/>
  <c r="D190" i="162"/>
  <c r="J190" i="162"/>
  <c r="E190" i="162"/>
  <c r="K190" i="162"/>
  <c r="G190" i="162"/>
  <c r="C190" i="162"/>
  <c r="I191" i="162"/>
  <c r="D191" i="162"/>
  <c r="J191" i="162"/>
  <c r="E191" i="162"/>
  <c r="K191" i="162"/>
  <c r="G191" i="162"/>
  <c r="C191" i="162"/>
  <c r="I192" i="162"/>
  <c r="D192" i="162"/>
  <c r="J192" i="162"/>
  <c r="E192" i="162"/>
  <c r="K192" i="162"/>
  <c r="G192" i="162"/>
  <c r="C192" i="162"/>
  <c r="I193" i="162"/>
  <c r="D193" i="162"/>
  <c r="J193" i="162"/>
  <c r="E193" i="162"/>
  <c r="K193" i="162"/>
  <c r="G193" i="162"/>
  <c r="C193" i="162"/>
  <c r="I194" i="162"/>
  <c r="D194" i="162"/>
  <c r="J194" i="162"/>
  <c r="E194" i="162"/>
  <c r="K194" i="162"/>
  <c r="G194" i="162"/>
  <c r="C194" i="162"/>
  <c r="I195" i="162"/>
  <c r="D195" i="162"/>
  <c r="J195" i="162"/>
  <c r="E195" i="162"/>
  <c r="K195" i="162"/>
  <c r="G195" i="162"/>
  <c r="C195" i="162"/>
  <c r="I196" i="162"/>
  <c r="D196" i="162"/>
  <c r="J196" i="162"/>
  <c r="E196" i="162"/>
  <c r="K196" i="162"/>
  <c r="G196" i="162"/>
  <c r="C196" i="162"/>
  <c r="I197" i="162"/>
  <c r="D197" i="162"/>
  <c r="J197" i="162"/>
  <c r="E197" i="162"/>
  <c r="K197" i="162"/>
  <c r="G197" i="162"/>
  <c r="C197" i="162"/>
  <c r="I198" i="162"/>
  <c r="D198" i="162"/>
  <c r="J198" i="162"/>
  <c r="E198" i="162"/>
  <c r="K198" i="162"/>
  <c r="G198" i="162"/>
  <c r="C198" i="162"/>
  <c r="I199" i="162"/>
  <c r="D199" i="162"/>
  <c r="J199" i="162"/>
  <c r="E199" i="162"/>
  <c r="K199" i="162"/>
  <c r="G199" i="162"/>
  <c r="C199" i="162"/>
  <c r="I200" i="162"/>
  <c r="D200" i="162"/>
  <c r="J200" i="162"/>
  <c r="E200" i="162"/>
  <c r="K200" i="162"/>
  <c r="G200" i="162"/>
  <c r="C200" i="162"/>
  <c r="I201" i="162"/>
  <c r="D201" i="162"/>
  <c r="J201" i="162"/>
  <c r="E201" i="162"/>
  <c r="K201" i="162"/>
  <c r="G201" i="162"/>
  <c r="C201" i="162"/>
  <c r="I202" i="162"/>
  <c r="D202" i="162"/>
  <c r="J202" i="162"/>
  <c r="E202" i="162"/>
  <c r="K202" i="162"/>
  <c r="G202" i="162"/>
  <c r="C202" i="162"/>
  <c r="I203" i="162"/>
  <c r="D203" i="162"/>
  <c r="J203" i="162"/>
  <c r="E203" i="162"/>
  <c r="K203" i="162"/>
  <c r="G203" i="162"/>
  <c r="C203" i="162"/>
  <c r="I204" i="162"/>
  <c r="D204" i="162"/>
  <c r="J204" i="162"/>
  <c r="E204" i="162"/>
  <c r="K204" i="162"/>
  <c r="G204" i="162"/>
  <c r="C204" i="162"/>
  <c r="I205" i="162"/>
  <c r="D205" i="162"/>
  <c r="J205" i="162"/>
  <c r="E205" i="162"/>
  <c r="K205" i="162"/>
  <c r="G205" i="162"/>
  <c r="C205" i="162"/>
  <c r="I206" i="162"/>
  <c r="D206" i="162"/>
  <c r="J206" i="162"/>
  <c r="E206" i="162"/>
  <c r="K206" i="162"/>
  <c r="G206" i="162"/>
  <c r="C206" i="162"/>
  <c r="I207" i="162"/>
  <c r="D207" i="162"/>
  <c r="J207" i="162"/>
  <c r="E207" i="162"/>
  <c r="K207" i="162"/>
  <c r="G207" i="162"/>
  <c r="C207" i="162"/>
  <c r="I208" i="162"/>
  <c r="D208" i="162"/>
  <c r="J208" i="162"/>
  <c r="E208" i="162"/>
  <c r="K208" i="162"/>
  <c r="G208" i="162"/>
  <c r="C208" i="162"/>
  <c r="I209" i="162"/>
  <c r="D209" i="162"/>
  <c r="J209" i="162"/>
  <c r="E209" i="162"/>
  <c r="K209" i="162"/>
  <c r="G209" i="162"/>
  <c r="C209" i="162"/>
  <c r="I210" i="162"/>
  <c r="D210" i="162"/>
  <c r="J210" i="162"/>
  <c r="E210" i="162"/>
  <c r="K210" i="162"/>
  <c r="G210" i="162"/>
  <c r="C210" i="162"/>
  <c r="I211" i="162"/>
  <c r="D211" i="162"/>
  <c r="J211" i="162"/>
  <c r="E211" i="162"/>
  <c r="K211" i="162"/>
  <c r="G211" i="162"/>
  <c r="C211" i="162"/>
  <c r="I212" i="162"/>
  <c r="D212" i="162"/>
  <c r="J212" i="162"/>
  <c r="E212" i="162"/>
  <c r="K212" i="162"/>
  <c r="G212" i="162"/>
  <c r="C212" i="162"/>
  <c r="I213" i="162"/>
  <c r="D213" i="162"/>
  <c r="J213" i="162"/>
  <c r="E213" i="162"/>
  <c r="K213" i="162"/>
  <c r="G213" i="162"/>
  <c r="C213" i="162"/>
  <c r="I214" i="162"/>
  <c r="D214" i="162"/>
  <c r="J214" i="162"/>
  <c r="E214" i="162"/>
  <c r="K214" i="162"/>
  <c r="G214" i="162"/>
  <c r="C214" i="162"/>
  <c r="I215" i="162"/>
  <c r="J215" i="162"/>
  <c r="D215" i="162"/>
  <c r="E215" i="162"/>
  <c r="K215" i="162"/>
  <c r="G215" i="162"/>
  <c r="C215" i="162"/>
  <c r="I216" i="162"/>
  <c r="J216" i="162"/>
  <c r="D216" i="162"/>
  <c r="E216" i="162"/>
  <c r="K216" i="162"/>
  <c r="G216" i="162"/>
  <c r="C216" i="162"/>
  <c r="I217" i="162"/>
  <c r="J217" i="162"/>
  <c r="D217" i="162"/>
  <c r="E217" i="162"/>
  <c r="K217" i="162"/>
  <c r="G217" i="162"/>
  <c r="C217" i="162"/>
  <c r="I218" i="162"/>
  <c r="J218" i="162"/>
  <c r="D218" i="162"/>
  <c r="E218" i="162"/>
  <c r="K218" i="162"/>
  <c r="G218" i="162"/>
  <c r="C218" i="162"/>
  <c r="I219" i="162"/>
  <c r="J219" i="162"/>
  <c r="D219" i="162"/>
  <c r="E219" i="162"/>
  <c r="K219" i="162"/>
  <c r="G219" i="162"/>
  <c r="C219" i="162"/>
  <c r="I220" i="162"/>
  <c r="J220" i="162"/>
  <c r="D220" i="162"/>
  <c r="E220" i="162"/>
  <c r="K220" i="162"/>
  <c r="G220" i="162"/>
  <c r="C220" i="162"/>
  <c r="I221" i="162"/>
  <c r="D221" i="162"/>
  <c r="J221" i="162"/>
  <c r="E221" i="162"/>
  <c r="K221" i="162"/>
  <c r="G221" i="162"/>
  <c r="C221" i="162"/>
  <c r="I222" i="162"/>
  <c r="D222" i="162"/>
  <c r="J222" i="162"/>
  <c r="E222" i="162"/>
  <c r="K222" i="162"/>
  <c r="G222" i="162"/>
  <c r="C222" i="162"/>
  <c r="I223" i="162"/>
  <c r="D223" i="162"/>
  <c r="J223" i="162"/>
  <c r="E223" i="162"/>
  <c r="K223" i="162"/>
  <c r="G223" i="162"/>
  <c r="C223" i="162"/>
  <c r="I224" i="162"/>
  <c r="D224" i="162"/>
  <c r="J224" i="162"/>
  <c r="E224" i="162"/>
  <c r="K224" i="162"/>
  <c r="G224" i="162"/>
  <c r="C224" i="162"/>
  <c r="I225" i="162"/>
  <c r="D225" i="162"/>
  <c r="J225" i="162"/>
  <c r="E225" i="162"/>
  <c r="K225" i="162"/>
  <c r="G225" i="162"/>
  <c r="C225" i="162"/>
  <c r="I226" i="162"/>
  <c r="D226" i="162"/>
  <c r="J226" i="162"/>
  <c r="E226" i="162"/>
  <c r="K226" i="162"/>
  <c r="G226" i="162"/>
  <c r="C226" i="162"/>
  <c r="I227" i="162"/>
  <c r="D227" i="162"/>
  <c r="J227" i="162"/>
  <c r="E227" i="162"/>
  <c r="K227" i="162"/>
  <c r="G227" i="162"/>
  <c r="C227" i="162"/>
  <c r="I228" i="162"/>
  <c r="D228" i="162"/>
  <c r="J228" i="162"/>
  <c r="E228" i="162"/>
  <c r="K228" i="162"/>
  <c r="G228" i="162"/>
  <c r="C228" i="162"/>
  <c r="I229" i="162"/>
  <c r="D229" i="162"/>
  <c r="J229" i="162"/>
  <c r="E229" i="162"/>
  <c r="K229" i="162"/>
  <c r="G229" i="162"/>
  <c r="C229" i="162"/>
  <c r="I230" i="162"/>
  <c r="D230" i="162"/>
  <c r="J230" i="162"/>
  <c r="E230" i="162"/>
  <c r="K230" i="162"/>
  <c r="G230" i="162"/>
  <c r="C230" i="162"/>
  <c r="I231" i="162"/>
  <c r="D231" i="162"/>
  <c r="J231" i="162"/>
  <c r="E231" i="162"/>
  <c r="K231" i="162"/>
  <c r="G231" i="162"/>
  <c r="C231" i="162"/>
  <c r="I232" i="162"/>
  <c r="D232" i="162"/>
  <c r="J232" i="162"/>
  <c r="E232" i="162"/>
  <c r="K232" i="162"/>
  <c r="G232" i="162"/>
  <c r="C232" i="162"/>
  <c r="I233" i="162"/>
  <c r="D233" i="162"/>
  <c r="J233" i="162"/>
  <c r="E233" i="162"/>
  <c r="K233" i="162"/>
  <c r="G233" i="162"/>
  <c r="C233" i="162"/>
  <c r="I234" i="162"/>
  <c r="D234" i="162"/>
  <c r="J234" i="162"/>
  <c r="E234" i="162"/>
  <c r="K234" i="162"/>
  <c r="G234" i="162"/>
  <c r="C234" i="162"/>
  <c r="I235" i="162"/>
  <c r="D235" i="162"/>
  <c r="J235" i="162"/>
  <c r="E235" i="162"/>
  <c r="K235" i="162"/>
  <c r="G235" i="162"/>
  <c r="C235" i="162"/>
  <c r="I236" i="162"/>
  <c r="D236" i="162"/>
  <c r="J236" i="162"/>
  <c r="E236" i="162"/>
  <c r="K236" i="162"/>
  <c r="G236" i="162"/>
  <c r="C236" i="162"/>
  <c r="I237" i="162"/>
  <c r="D237" i="162"/>
  <c r="J237" i="162"/>
  <c r="E237" i="162"/>
  <c r="K237" i="162"/>
  <c r="G237" i="162"/>
  <c r="C237" i="162"/>
  <c r="I238" i="162"/>
  <c r="D238" i="162"/>
  <c r="J238" i="162"/>
  <c r="E238" i="162"/>
  <c r="K238" i="162"/>
  <c r="G238" i="162"/>
  <c r="C238" i="162"/>
  <c r="I239" i="162"/>
  <c r="D239" i="162"/>
  <c r="J239" i="162"/>
  <c r="E239" i="162"/>
  <c r="K239" i="162"/>
  <c r="G239" i="162"/>
  <c r="C239" i="162"/>
  <c r="I240" i="162"/>
  <c r="D240" i="162"/>
  <c r="J240" i="162"/>
  <c r="E240" i="162"/>
  <c r="K240" i="162"/>
  <c r="G240" i="162"/>
  <c r="C240" i="162"/>
  <c r="I241" i="162"/>
  <c r="D241" i="162"/>
  <c r="J241" i="162"/>
  <c r="E241" i="162"/>
  <c r="K241" i="162"/>
  <c r="G241" i="162"/>
  <c r="C241" i="162"/>
  <c r="I242" i="162"/>
  <c r="D242" i="162"/>
  <c r="J242" i="162"/>
  <c r="E242" i="162"/>
  <c r="K242" i="162"/>
  <c r="G242" i="162"/>
  <c r="C242" i="162"/>
  <c r="I243" i="162"/>
  <c r="D243" i="162"/>
  <c r="J243" i="162"/>
  <c r="E243" i="162"/>
  <c r="K243" i="162"/>
  <c r="G243" i="162"/>
  <c r="C243" i="162"/>
  <c r="I244" i="162"/>
  <c r="D244" i="162"/>
  <c r="J244" i="162"/>
  <c r="E244" i="162"/>
  <c r="K244" i="162"/>
  <c r="G244" i="162"/>
  <c r="C244" i="162"/>
  <c r="I245" i="162"/>
  <c r="D245" i="162"/>
  <c r="J245" i="162"/>
  <c r="E245" i="162"/>
  <c r="K245" i="162"/>
  <c r="G245" i="162"/>
  <c r="C245" i="162"/>
  <c r="I246" i="162"/>
  <c r="D246" i="162"/>
  <c r="J246" i="162"/>
  <c r="E246" i="162"/>
  <c r="K246" i="162"/>
  <c r="G246" i="162"/>
  <c r="C246" i="162"/>
  <c r="I247" i="162"/>
  <c r="D247" i="162"/>
  <c r="J247" i="162"/>
  <c r="E247" i="162"/>
  <c r="K247" i="162"/>
  <c r="G247" i="162"/>
  <c r="C247" i="162"/>
  <c r="I248" i="162"/>
  <c r="D248" i="162"/>
  <c r="J248" i="162"/>
  <c r="E248" i="162"/>
  <c r="K248" i="162"/>
  <c r="G248" i="162"/>
  <c r="C248" i="162"/>
  <c r="I249" i="162"/>
  <c r="D249" i="162"/>
  <c r="J249" i="162"/>
  <c r="E249" i="162"/>
  <c r="K249" i="162"/>
  <c r="G249" i="162"/>
  <c r="C249" i="162"/>
  <c r="I250" i="162"/>
  <c r="D250" i="162"/>
  <c r="J250" i="162"/>
  <c r="E250" i="162"/>
  <c r="K250" i="162"/>
  <c r="G250" i="162"/>
  <c r="C250" i="162"/>
  <c r="I251" i="162"/>
  <c r="D251" i="162"/>
  <c r="J251" i="162"/>
  <c r="E251" i="162"/>
  <c r="K251" i="162"/>
  <c r="G251" i="162"/>
  <c r="C251" i="162"/>
  <c r="I252" i="162"/>
  <c r="D252" i="162"/>
  <c r="J252" i="162"/>
  <c r="E252" i="162"/>
  <c r="K252" i="162"/>
  <c r="G252" i="162"/>
  <c r="C252" i="162"/>
  <c r="I253" i="162"/>
  <c r="D253" i="162"/>
  <c r="J253" i="162"/>
  <c r="E253" i="162"/>
  <c r="K253" i="162"/>
  <c r="G253" i="162"/>
  <c r="C253" i="162"/>
  <c r="I254" i="162"/>
  <c r="D254" i="162"/>
  <c r="J254" i="162"/>
  <c r="E254" i="162"/>
  <c r="K254" i="162"/>
  <c r="G254" i="162"/>
  <c r="C254" i="162"/>
  <c r="I255" i="162"/>
  <c r="D255" i="162"/>
  <c r="J255" i="162"/>
  <c r="E255" i="162"/>
  <c r="K255" i="162"/>
  <c r="G255" i="162"/>
  <c r="C255" i="162"/>
  <c r="I256" i="162"/>
  <c r="D256" i="162"/>
  <c r="J256" i="162"/>
  <c r="E256" i="162"/>
  <c r="K256" i="162"/>
  <c r="G256" i="162"/>
  <c r="C256" i="162"/>
  <c r="I257" i="162"/>
  <c r="D257" i="162"/>
  <c r="J257" i="162"/>
  <c r="E257" i="162"/>
  <c r="K257" i="162"/>
  <c r="G257" i="162"/>
  <c r="C257" i="162"/>
  <c r="I258" i="162"/>
  <c r="D258" i="162"/>
  <c r="J258" i="162"/>
  <c r="E258" i="162"/>
  <c r="K258" i="162"/>
  <c r="G258" i="162"/>
  <c r="C258" i="162"/>
  <c r="I259" i="162"/>
  <c r="D259" i="162"/>
  <c r="J259" i="162"/>
  <c r="E259" i="162"/>
  <c r="K259" i="162"/>
  <c r="G259" i="162"/>
  <c r="C259" i="162"/>
  <c r="I260" i="162"/>
  <c r="D260" i="162"/>
  <c r="J260" i="162"/>
  <c r="E260" i="162"/>
  <c r="K260" i="162"/>
  <c r="G260" i="162"/>
  <c r="C260" i="162"/>
  <c r="I261" i="162"/>
  <c r="D261" i="162"/>
  <c r="J261" i="162"/>
  <c r="E261" i="162"/>
  <c r="K261" i="162"/>
  <c r="G261" i="162"/>
  <c r="C261" i="162"/>
  <c r="I262" i="162"/>
  <c r="D262" i="162"/>
  <c r="J262" i="162"/>
  <c r="E262" i="162"/>
  <c r="K262" i="162"/>
  <c r="G262" i="162"/>
  <c r="C262" i="162"/>
  <c r="I263" i="162"/>
  <c r="D263" i="162"/>
  <c r="J263" i="162"/>
  <c r="E263" i="162"/>
  <c r="K263" i="162"/>
  <c r="G263" i="162"/>
  <c r="C263" i="162"/>
  <c r="I264" i="162"/>
  <c r="D264" i="162"/>
  <c r="J264" i="162"/>
  <c r="E264" i="162"/>
  <c r="K264" i="162"/>
  <c r="G264" i="162"/>
  <c r="C264" i="162"/>
  <c r="I265" i="162"/>
  <c r="D265" i="162"/>
  <c r="J265" i="162"/>
  <c r="E265" i="162"/>
  <c r="K265" i="162"/>
  <c r="G265" i="162"/>
  <c r="C265" i="162"/>
  <c r="I266" i="162"/>
  <c r="D266" i="162"/>
  <c r="J266" i="162"/>
  <c r="E266" i="162"/>
  <c r="K266" i="162"/>
  <c r="G266" i="162"/>
  <c r="C266" i="162"/>
  <c r="I267" i="162"/>
  <c r="D267" i="162"/>
  <c r="J267" i="162"/>
  <c r="E267" i="162"/>
  <c r="K267" i="162"/>
  <c r="G267" i="162"/>
  <c r="C267" i="162"/>
  <c r="I268" i="162"/>
  <c r="D268" i="162"/>
  <c r="J268" i="162"/>
  <c r="E268" i="162"/>
  <c r="K268" i="162"/>
  <c r="G268" i="162"/>
  <c r="C268" i="162"/>
  <c r="I269" i="162"/>
  <c r="D269" i="162"/>
  <c r="J269" i="162"/>
  <c r="E269" i="162"/>
  <c r="K269" i="162"/>
  <c r="G269" i="162"/>
  <c r="C269" i="162"/>
  <c r="I270" i="162"/>
  <c r="D270" i="162"/>
  <c r="J270" i="162"/>
  <c r="E270" i="162"/>
  <c r="K270" i="162"/>
  <c r="G270" i="162"/>
  <c r="C270" i="162"/>
  <c r="I271" i="162"/>
  <c r="D271" i="162"/>
  <c r="J271" i="162"/>
  <c r="E271" i="162"/>
  <c r="K271" i="162"/>
  <c r="G271" i="162"/>
  <c r="C271" i="162"/>
  <c r="I272" i="162"/>
  <c r="D272" i="162"/>
  <c r="J272" i="162"/>
  <c r="E272" i="162"/>
  <c r="K272" i="162"/>
  <c r="G272" i="162"/>
  <c r="C272" i="162"/>
  <c r="I273" i="162"/>
  <c r="D273" i="162"/>
  <c r="J273" i="162"/>
  <c r="E273" i="162"/>
  <c r="K273" i="162"/>
  <c r="G273" i="162"/>
  <c r="C273" i="162"/>
  <c r="I274" i="162"/>
  <c r="D274" i="162"/>
  <c r="J274" i="162"/>
  <c r="E274" i="162"/>
  <c r="K274" i="162"/>
  <c r="G274" i="162"/>
  <c r="C274" i="162"/>
  <c r="I275" i="162"/>
  <c r="D275" i="162"/>
  <c r="J275" i="162"/>
  <c r="E275" i="162"/>
  <c r="K275" i="162"/>
  <c r="G275" i="162"/>
  <c r="C275" i="162"/>
  <c r="I276" i="162"/>
  <c r="D276" i="162"/>
  <c r="J276" i="162"/>
  <c r="E276" i="162"/>
  <c r="K276" i="162"/>
  <c r="G276" i="162"/>
  <c r="C276" i="162"/>
  <c r="I277" i="162"/>
  <c r="D277" i="162"/>
  <c r="J277" i="162"/>
  <c r="E277" i="162"/>
  <c r="K277" i="162"/>
  <c r="G277" i="162"/>
  <c r="C277" i="162"/>
  <c r="I278" i="162"/>
  <c r="D278" i="162"/>
  <c r="J278" i="162"/>
  <c r="E278" i="162"/>
  <c r="K278" i="162"/>
  <c r="G278" i="162"/>
  <c r="C278" i="162"/>
  <c r="I279" i="162"/>
  <c r="D279" i="162"/>
  <c r="J279" i="162"/>
  <c r="E279" i="162"/>
  <c r="K279" i="162"/>
  <c r="G279" i="162"/>
  <c r="C279" i="162"/>
  <c r="I280" i="162"/>
  <c r="D280" i="162"/>
  <c r="J280" i="162"/>
  <c r="E280" i="162"/>
  <c r="K280" i="162"/>
  <c r="G280" i="162"/>
  <c r="C280" i="162"/>
  <c r="I281" i="162"/>
  <c r="D281" i="162"/>
  <c r="J281" i="162"/>
  <c r="E281" i="162"/>
  <c r="K281" i="162"/>
  <c r="G281" i="162"/>
  <c r="C281" i="162"/>
  <c r="I282" i="162"/>
  <c r="D282" i="162"/>
  <c r="J282" i="162"/>
  <c r="E282" i="162"/>
  <c r="K282" i="162"/>
  <c r="G282" i="162"/>
  <c r="C282" i="162"/>
  <c r="I283" i="162"/>
  <c r="D283" i="162"/>
  <c r="J283" i="162"/>
  <c r="E283" i="162"/>
  <c r="K283" i="162"/>
  <c r="G283" i="162"/>
  <c r="C283" i="162"/>
  <c r="I284" i="162"/>
  <c r="D284" i="162"/>
  <c r="J284" i="162"/>
  <c r="E284" i="162"/>
  <c r="K284" i="162"/>
  <c r="G284" i="162"/>
  <c r="C284" i="162"/>
  <c r="I285" i="162"/>
  <c r="D285" i="162"/>
  <c r="J285" i="162"/>
  <c r="E285" i="162"/>
  <c r="K285" i="162"/>
  <c r="G285" i="162"/>
  <c r="C285" i="162"/>
  <c r="I286" i="162"/>
  <c r="D286" i="162"/>
  <c r="J286" i="162"/>
  <c r="E286" i="162"/>
  <c r="K286" i="162"/>
  <c r="G286" i="162"/>
  <c r="C286" i="162"/>
  <c r="I287" i="162"/>
  <c r="D287" i="162"/>
  <c r="J287" i="162"/>
  <c r="E287" i="162"/>
  <c r="K287" i="162"/>
  <c r="G287" i="162"/>
  <c r="C287" i="162"/>
  <c r="I288" i="162"/>
  <c r="D288" i="162"/>
  <c r="J288" i="162"/>
  <c r="E288" i="162"/>
  <c r="K288" i="162"/>
  <c r="G288" i="162"/>
  <c r="C288" i="162"/>
  <c r="I289" i="162"/>
  <c r="D289" i="162"/>
  <c r="J289" i="162"/>
  <c r="E289" i="162"/>
  <c r="K289" i="162"/>
  <c r="G289" i="162"/>
  <c r="C289" i="162"/>
  <c r="I290" i="162"/>
  <c r="D290" i="162"/>
  <c r="J290" i="162"/>
  <c r="E290" i="162"/>
  <c r="K290" i="162"/>
  <c r="G290" i="162"/>
  <c r="C290" i="162"/>
  <c r="I291" i="162"/>
  <c r="D291" i="162"/>
  <c r="J291" i="162"/>
  <c r="E291" i="162"/>
  <c r="K291" i="162"/>
  <c r="G291" i="162"/>
  <c r="C291" i="162"/>
  <c r="I292" i="162"/>
  <c r="D292" i="162"/>
  <c r="J292" i="162"/>
  <c r="E292" i="162"/>
  <c r="K292" i="162"/>
  <c r="G292" i="162"/>
  <c r="C292" i="162"/>
  <c r="I293" i="162"/>
  <c r="D293" i="162"/>
  <c r="J293" i="162"/>
  <c r="E293" i="162"/>
  <c r="K293" i="162"/>
  <c r="G293" i="162"/>
  <c r="C293" i="162"/>
  <c r="I294" i="162"/>
  <c r="D294" i="162"/>
  <c r="J294" i="162"/>
  <c r="E294" i="162"/>
  <c r="K294" i="162"/>
  <c r="G294" i="162"/>
  <c r="C294" i="162"/>
  <c r="I295" i="162"/>
  <c r="D295" i="162"/>
  <c r="J295" i="162"/>
  <c r="E295" i="162"/>
  <c r="K295" i="162"/>
  <c r="G295" i="162"/>
  <c r="C295" i="162"/>
  <c r="I296" i="162"/>
  <c r="D296" i="162"/>
  <c r="J296" i="162"/>
  <c r="E296" i="162"/>
  <c r="K296" i="162"/>
  <c r="G296" i="162"/>
  <c r="C296" i="162"/>
  <c r="I297" i="162"/>
  <c r="D297" i="162"/>
  <c r="J297" i="162"/>
  <c r="E297" i="162"/>
  <c r="K297" i="162"/>
  <c r="G297" i="162"/>
  <c r="C297" i="162"/>
  <c r="I298" i="162"/>
  <c r="D298" i="162"/>
  <c r="J298" i="162"/>
  <c r="E298" i="162"/>
  <c r="K298" i="162"/>
  <c r="G298" i="162"/>
  <c r="C298" i="162"/>
  <c r="I299" i="162"/>
  <c r="D299" i="162"/>
  <c r="J299" i="162"/>
  <c r="E299" i="162"/>
  <c r="K299" i="162"/>
  <c r="G299" i="162"/>
  <c r="C299" i="162"/>
  <c r="I300" i="162"/>
  <c r="D300" i="162"/>
  <c r="J300" i="162"/>
  <c r="E300" i="162"/>
  <c r="K300" i="162"/>
  <c r="G300" i="162"/>
  <c r="C300" i="162"/>
  <c r="I301" i="162"/>
  <c r="D301" i="162"/>
  <c r="J301" i="162"/>
  <c r="E301" i="162"/>
  <c r="K301" i="162"/>
  <c r="G301" i="162"/>
  <c r="C301" i="162"/>
  <c r="I302" i="162"/>
  <c r="D302" i="162"/>
  <c r="J302" i="162"/>
  <c r="E302" i="162"/>
  <c r="K302" i="162"/>
  <c r="G302" i="162"/>
  <c r="C302" i="162"/>
  <c r="I303" i="162"/>
  <c r="D303" i="162"/>
  <c r="J303" i="162"/>
  <c r="E303" i="162"/>
  <c r="K303" i="162"/>
  <c r="G303" i="162"/>
  <c r="C303" i="162"/>
  <c r="I304" i="162"/>
  <c r="D304" i="162"/>
  <c r="J304" i="162"/>
  <c r="E304" i="162"/>
  <c r="K304" i="162"/>
  <c r="G304" i="162"/>
  <c r="C304" i="162"/>
  <c r="I305" i="162"/>
  <c r="D305" i="162"/>
  <c r="J305" i="162"/>
  <c r="E305" i="162"/>
  <c r="K305" i="162"/>
  <c r="G305" i="162"/>
  <c r="C305" i="162"/>
  <c r="I306" i="162"/>
  <c r="D306" i="162"/>
  <c r="J306" i="162"/>
  <c r="E306" i="162"/>
  <c r="K306" i="162"/>
  <c r="G306" i="162"/>
  <c r="C306" i="162"/>
  <c r="I307" i="162"/>
  <c r="D307" i="162"/>
  <c r="J307" i="162"/>
  <c r="E307" i="162"/>
  <c r="K307" i="162"/>
  <c r="G307" i="162"/>
  <c r="C307" i="162"/>
  <c r="I308" i="162"/>
  <c r="D308" i="162"/>
  <c r="J308" i="162"/>
  <c r="E308" i="162"/>
  <c r="K308" i="162"/>
  <c r="G308" i="162"/>
  <c r="C308" i="162"/>
  <c r="I309" i="162"/>
  <c r="D309" i="162"/>
  <c r="J309" i="162"/>
  <c r="E309" i="162"/>
  <c r="K309" i="162"/>
  <c r="G309" i="162"/>
  <c r="C309" i="162"/>
  <c r="I310" i="162"/>
  <c r="D310" i="162"/>
  <c r="J310" i="162"/>
  <c r="E310" i="162"/>
  <c r="K310" i="162"/>
  <c r="G310" i="162"/>
  <c r="C310" i="162"/>
  <c r="I311" i="162"/>
  <c r="D311" i="162"/>
  <c r="J311" i="162"/>
  <c r="E311" i="162"/>
  <c r="K311" i="162"/>
  <c r="G311" i="162"/>
  <c r="C311" i="162"/>
  <c r="I312" i="162"/>
  <c r="D312" i="162"/>
  <c r="J312" i="162"/>
  <c r="E312" i="162"/>
  <c r="K312" i="162"/>
  <c r="G312" i="162"/>
  <c r="C312" i="162"/>
  <c r="I313" i="162"/>
  <c r="D313" i="162"/>
  <c r="J313" i="162"/>
  <c r="E313" i="162"/>
  <c r="K313" i="162"/>
  <c r="G313" i="162"/>
  <c r="C313" i="162"/>
  <c r="I314" i="162"/>
  <c r="D314" i="162"/>
  <c r="J314" i="162"/>
  <c r="E314" i="162"/>
  <c r="K314" i="162"/>
  <c r="G314" i="162"/>
  <c r="C314" i="162"/>
  <c r="I315" i="162"/>
  <c r="D315" i="162"/>
  <c r="J315" i="162"/>
  <c r="E315" i="162"/>
  <c r="K315" i="162"/>
  <c r="G315" i="162"/>
  <c r="C315" i="162"/>
  <c r="I316" i="162"/>
  <c r="D316" i="162"/>
  <c r="J316" i="162"/>
  <c r="E316" i="162"/>
  <c r="K316" i="162"/>
  <c r="G316" i="162"/>
  <c r="C316" i="162"/>
  <c r="I317" i="162"/>
  <c r="D317" i="162"/>
  <c r="J317" i="162"/>
  <c r="E317" i="162"/>
  <c r="K317" i="162"/>
  <c r="G317" i="162"/>
  <c r="C317" i="162"/>
  <c r="I318" i="162"/>
  <c r="D318" i="162"/>
  <c r="J318" i="162"/>
  <c r="E318" i="162"/>
  <c r="K318" i="162"/>
  <c r="G318" i="162"/>
  <c r="C318" i="162"/>
  <c r="I319" i="162"/>
  <c r="D319" i="162"/>
  <c r="J319" i="162"/>
  <c r="E319" i="162"/>
  <c r="K319" i="162"/>
  <c r="G319" i="162"/>
  <c r="C319" i="162"/>
  <c r="I320" i="162"/>
  <c r="D320" i="162"/>
  <c r="J320" i="162"/>
  <c r="E320" i="162"/>
  <c r="K320" i="162"/>
  <c r="G320" i="162"/>
  <c r="C320" i="162"/>
  <c r="I321" i="162"/>
  <c r="D321" i="162"/>
  <c r="J321" i="162"/>
  <c r="E321" i="162"/>
  <c r="K321" i="162"/>
  <c r="G321" i="162"/>
  <c r="C321" i="162"/>
  <c r="I322" i="162"/>
  <c r="D322" i="162"/>
  <c r="J322" i="162"/>
  <c r="E322" i="162"/>
  <c r="K322" i="162"/>
  <c r="G322" i="162"/>
  <c r="C322" i="162"/>
  <c r="I323" i="162"/>
  <c r="D323" i="162"/>
  <c r="J323" i="162"/>
  <c r="E323" i="162"/>
  <c r="K323" i="162"/>
  <c r="G323" i="162"/>
  <c r="C323" i="162"/>
  <c r="I324" i="162"/>
  <c r="D324" i="162"/>
  <c r="J324" i="162"/>
  <c r="E324" i="162"/>
  <c r="K324" i="162"/>
  <c r="G324" i="162"/>
  <c r="C324" i="162"/>
  <c r="I325" i="162"/>
  <c r="D325" i="162"/>
  <c r="J325" i="162"/>
  <c r="E325" i="162"/>
  <c r="K325" i="162"/>
  <c r="G325" i="162"/>
  <c r="C325" i="162"/>
  <c r="I326" i="162"/>
  <c r="D326" i="162"/>
  <c r="J326" i="162"/>
  <c r="E326" i="162"/>
  <c r="K326" i="162"/>
  <c r="G326" i="162"/>
  <c r="C326" i="162"/>
  <c r="I327" i="162"/>
  <c r="D327" i="162"/>
  <c r="J327" i="162"/>
  <c r="E327" i="162"/>
  <c r="K327" i="162"/>
  <c r="G327" i="162"/>
  <c r="C327" i="162"/>
  <c r="I328" i="162"/>
  <c r="D328" i="162"/>
  <c r="J328" i="162"/>
  <c r="E328" i="162"/>
  <c r="K328" i="162"/>
  <c r="G328" i="162"/>
  <c r="C328" i="162"/>
  <c r="I329" i="162"/>
  <c r="D329" i="162"/>
  <c r="J329" i="162"/>
  <c r="E329" i="162"/>
  <c r="K329" i="162"/>
  <c r="G329" i="162"/>
  <c r="C329" i="162"/>
  <c r="I330" i="162"/>
  <c r="D330" i="162"/>
  <c r="J330" i="162"/>
  <c r="E330" i="162"/>
  <c r="K330" i="162"/>
  <c r="G330" i="162"/>
  <c r="C330" i="162"/>
  <c r="I331" i="162"/>
  <c r="D331" i="162"/>
  <c r="J331" i="162"/>
  <c r="E331" i="162"/>
  <c r="K331" i="162"/>
  <c r="G331" i="162"/>
  <c r="C331" i="162"/>
  <c r="I332" i="162"/>
  <c r="D332" i="162"/>
  <c r="J332" i="162"/>
  <c r="E332" i="162"/>
  <c r="K332" i="162"/>
  <c r="G332" i="162"/>
  <c r="C332" i="162"/>
  <c r="I333" i="162"/>
  <c r="D333" i="162"/>
  <c r="J333" i="162"/>
  <c r="E333" i="162"/>
  <c r="K333" i="162"/>
  <c r="G333" i="162"/>
  <c r="C333" i="162"/>
  <c r="I334" i="162"/>
  <c r="D334" i="162"/>
  <c r="J334" i="162"/>
  <c r="E334" i="162"/>
  <c r="K334" i="162"/>
  <c r="G334" i="162"/>
  <c r="C334" i="162"/>
  <c r="I335" i="162"/>
  <c r="D335" i="162"/>
  <c r="J335" i="162"/>
  <c r="E335" i="162"/>
  <c r="K335" i="162"/>
  <c r="G335" i="162"/>
  <c r="C335" i="162"/>
  <c r="I336" i="162"/>
  <c r="D336" i="162"/>
  <c r="J336" i="162"/>
  <c r="E336" i="162"/>
  <c r="K336" i="162"/>
  <c r="G336" i="162"/>
  <c r="C336" i="162"/>
  <c r="I337" i="162"/>
  <c r="D337" i="162"/>
  <c r="J337" i="162"/>
  <c r="E337" i="162"/>
  <c r="K337" i="162"/>
  <c r="G337" i="162"/>
  <c r="C337" i="162"/>
  <c r="I338" i="162"/>
  <c r="D338" i="162"/>
  <c r="J338" i="162"/>
  <c r="E338" i="162"/>
  <c r="K338" i="162"/>
  <c r="G338" i="162"/>
  <c r="C338" i="162"/>
  <c r="I339" i="162"/>
  <c r="D339" i="162"/>
  <c r="J339" i="162"/>
  <c r="E339" i="162"/>
  <c r="K339" i="162"/>
  <c r="G339" i="162"/>
  <c r="C339" i="162"/>
  <c r="I340" i="162"/>
  <c r="D340" i="162"/>
  <c r="J340" i="162"/>
  <c r="E340" i="162"/>
  <c r="K340" i="162"/>
  <c r="G340" i="162"/>
  <c r="C340" i="162"/>
  <c r="F5" i="161"/>
  <c r="F6" i="161"/>
  <c r="A36" i="161"/>
  <c r="E6" i="161"/>
  <c r="Q3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19" i="161"/>
  <c r="B19" i="161"/>
  <c r="E24" i="161"/>
  <c r="B24" i="161"/>
  <c r="B17" i="161"/>
  <c r="G17" i="161"/>
  <c r="E17" i="161"/>
  <c r="H17" i="161"/>
  <c r="O4" i="162"/>
  <c r="E18" i="161"/>
  <c r="B18" i="161"/>
  <c r="G18" i="161"/>
  <c r="H18" i="161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O42" i="162"/>
  <c r="O43" i="162"/>
  <c r="O44" i="162"/>
  <c r="G24" i="161"/>
  <c r="H24" i="161"/>
  <c r="O45" i="162"/>
  <c r="E25" i="161"/>
  <c r="B25" i="161"/>
  <c r="G25" i="161"/>
  <c r="H25" i="161"/>
  <c r="O46" i="162"/>
  <c r="E26" i="161"/>
  <c r="B26" i="161"/>
  <c r="G26" i="161"/>
  <c r="H26" i="161"/>
  <c r="O47" i="162"/>
  <c r="O48" i="162"/>
  <c r="O49" i="162"/>
  <c r="O50" i="162"/>
  <c r="O51" i="162"/>
  <c r="O52" i="162"/>
  <c r="O53" i="162"/>
  <c r="O54" i="162"/>
  <c r="O55" i="162"/>
  <c r="O56" i="162"/>
  <c r="G19" i="161"/>
  <c r="H19" i="161"/>
  <c r="O57" i="162"/>
  <c r="E20" i="161"/>
  <c r="B20" i="161"/>
  <c r="G20" i="161"/>
  <c r="H20" i="161"/>
  <c r="O58" i="162"/>
  <c r="E23" i="161"/>
  <c r="B23" i="161"/>
  <c r="E5" i="161"/>
  <c r="E28" i="161"/>
  <c r="B28" i="161"/>
  <c r="E29" i="161"/>
  <c r="B29" i="161"/>
  <c r="B21" i="161"/>
  <c r="G21" i="161"/>
  <c r="E21" i="161"/>
  <c r="H21" i="161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O138" i="162"/>
  <c r="O139" i="162"/>
  <c r="E27" i="161"/>
  <c r="B27" i="161"/>
  <c r="G27" i="161"/>
  <c r="H27" i="161"/>
  <c r="O140" i="162"/>
  <c r="G28" i="161"/>
  <c r="H28" i="161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O215" i="162"/>
  <c r="G23" i="161"/>
  <c r="H23" i="161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O262" i="162"/>
  <c r="O263" i="162"/>
  <c r="E22" i="161"/>
  <c r="B22" i="161"/>
  <c r="G22" i="161"/>
  <c r="H22" i="161"/>
  <c r="O264" i="162"/>
  <c r="O265" i="162"/>
  <c r="O266" i="162"/>
  <c r="O267" i="162"/>
  <c r="O268" i="162"/>
  <c r="G29" i="161"/>
  <c r="H29" i="161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4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O2" i="162"/>
  <c r="N2" i="162"/>
  <c r="M2" i="162"/>
  <c r="L2" i="162"/>
  <c r="H2" i="162"/>
  <c r="K3" i="160"/>
  <c r="G3" i="160"/>
  <c r="O3" i="160"/>
  <c r="K4" i="160"/>
  <c r="G4" i="160"/>
  <c r="O4" i="160"/>
  <c r="K5" i="160"/>
  <c r="G5" i="160"/>
  <c r="O5" i="160"/>
  <c r="A2" i="159"/>
  <c r="K6" i="160"/>
  <c r="G6" i="160"/>
  <c r="I6" i="160"/>
  <c r="J6" i="160"/>
  <c r="D6" i="160"/>
  <c r="E6" i="160"/>
  <c r="C6" i="160"/>
  <c r="I2" i="160"/>
  <c r="J2" i="160"/>
  <c r="D2" i="160"/>
  <c r="E2" i="160"/>
  <c r="K2" i="160"/>
  <c r="G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7" i="160"/>
  <c r="J7" i="160"/>
  <c r="D7" i="160"/>
  <c r="E7" i="160"/>
  <c r="K7" i="160"/>
  <c r="G7" i="160"/>
  <c r="C7" i="160"/>
  <c r="I8" i="160"/>
  <c r="J8" i="160"/>
  <c r="D8" i="160"/>
  <c r="E8" i="160"/>
  <c r="K8" i="160"/>
  <c r="G8" i="160"/>
  <c r="C8" i="160"/>
  <c r="I9" i="160"/>
  <c r="J9" i="160"/>
  <c r="D9" i="160"/>
  <c r="E9" i="160"/>
  <c r="K9" i="160"/>
  <c r="G9" i="160"/>
  <c r="C9" i="160"/>
  <c r="I10" i="160"/>
  <c r="J10" i="160"/>
  <c r="D10" i="160"/>
  <c r="E10" i="160"/>
  <c r="K10" i="160"/>
  <c r="G10" i="160"/>
  <c r="C10" i="160"/>
  <c r="I11" i="160"/>
  <c r="J11" i="160"/>
  <c r="D11" i="160"/>
  <c r="E11" i="160"/>
  <c r="K11" i="160"/>
  <c r="G11" i="160"/>
  <c r="C11" i="160"/>
  <c r="I12" i="160"/>
  <c r="J12" i="160"/>
  <c r="D12" i="160"/>
  <c r="E12" i="160"/>
  <c r="K12" i="160"/>
  <c r="G12" i="160"/>
  <c r="C12" i="160"/>
  <c r="I13" i="160"/>
  <c r="J13" i="160"/>
  <c r="D13" i="160"/>
  <c r="E13" i="160"/>
  <c r="K13" i="160"/>
  <c r="G13" i="160"/>
  <c r="C13" i="160"/>
  <c r="I14" i="160"/>
  <c r="J14" i="160"/>
  <c r="D14" i="160"/>
  <c r="E14" i="160"/>
  <c r="K14" i="160"/>
  <c r="G14" i="160"/>
  <c r="C14" i="160"/>
  <c r="I15" i="160"/>
  <c r="J15" i="160"/>
  <c r="D15" i="160"/>
  <c r="E15" i="160"/>
  <c r="K15" i="160"/>
  <c r="G15" i="160"/>
  <c r="C15" i="160"/>
  <c r="I16" i="160"/>
  <c r="J16" i="160"/>
  <c r="D16" i="160"/>
  <c r="E16" i="160"/>
  <c r="K16" i="160"/>
  <c r="G16" i="160"/>
  <c r="C16" i="160"/>
  <c r="I17" i="160"/>
  <c r="J17" i="160"/>
  <c r="D17" i="160"/>
  <c r="E17" i="160"/>
  <c r="K17" i="160"/>
  <c r="G17" i="160"/>
  <c r="C17" i="160"/>
  <c r="I18" i="160"/>
  <c r="J18" i="160"/>
  <c r="D18" i="160"/>
  <c r="E18" i="160"/>
  <c r="K18" i="160"/>
  <c r="G18" i="160"/>
  <c r="C18" i="160"/>
  <c r="I19" i="160"/>
  <c r="J19" i="160"/>
  <c r="D19" i="160"/>
  <c r="E19" i="160"/>
  <c r="K19" i="160"/>
  <c r="G19" i="160"/>
  <c r="C19" i="160"/>
  <c r="I20" i="160"/>
  <c r="J20" i="160"/>
  <c r="D20" i="160"/>
  <c r="E20" i="160"/>
  <c r="K20" i="160"/>
  <c r="G20" i="160"/>
  <c r="C20" i="160"/>
  <c r="I21" i="160"/>
  <c r="J21" i="160"/>
  <c r="D21" i="160"/>
  <c r="E21" i="160"/>
  <c r="K21" i="160"/>
  <c r="G21" i="160"/>
  <c r="C21" i="160"/>
  <c r="I22" i="160"/>
  <c r="J22" i="160"/>
  <c r="D22" i="160"/>
  <c r="E22" i="160"/>
  <c r="K22" i="160"/>
  <c r="G22" i="160"/>
  <c r="C22" i="160"/>
  <c r="I23" i="160"/>
  <c r="J23" i="160"/>
  <c r="D23" i="160"/>
  <c r="E23" i="160"/>
  <c r="K23" i="160"/>
  <c r="G23" i="160"/>
  <c r="C23" i="160"/>
  <c r="I24" i="160"/>
  <c r="J24" i="160"/>
  <c r="D24" i="160"/>
  <c r="E24" i="160"/>
  <c r="K24" i="160"/>
  <c r="G24" i="160"/>
  <c r="C24" i="160"/>
  <c r="I25" i="160"/>
  <c r="J25" i="160"/>
  <c r="D25" i="160"/>
  <c r="E25" i="160"/>
  <c r="K25" i="160"/>
  <c r="G25" i="160"/>
  <c r="C25" i="160"/>
  <c r="I26" i="160"/>
  <c r="J26" i="160"/>
  <c r="D26" i="160"/>
  <c r="E26" i="160"/>
  <c r="K26" i="160"/>
  <c r="G26" i="160"/>
  <c r="C26" i="160"/>
  <c r="I27" i="160"/>
  <c r="J27" i="160"/>
  <c r="D27" i="160"/>
  <c r="E27" i="160"/>
  <c r="K27" i="160"/>
  <c r="G27" i="160"/>
  <c r="C27" i="160"/>
  <c r="I28" i="160"/>
  <c r="J28" i="160"/>
  <c r="D28" i="160"/>
  <c r="E28" i="160"/>
  <c r="K28" i="160"/>
  <c r="G28" i="160"/>
  <c r="C28" i="160"/>
  <c r="I29" i="160"/>
  <c r="J29" i="160"/>
  <c r="D29" i="160"/>
  <c r="E29" i="160"/>
  <c r="K29" i="160"/>
  <c r="G29" i="160"/>
  <c r="C29" i="160"/>
  <c r="I30" i="160"/>
  <c r="J30" i="160"/>
  <c r="D30" i="160"/>
  <c r="E30" i="160"/>
  <c r="K30" i="160"/>
  <c r="G30" i="160"/>
  <c r="C30" i="160"/>
  <c r="I31" i="160"/>
  <c r="J31" i="160"/>
  <c r="D31" i="160"/>
  <c r="E31" i="160"/>
  <c r="K31" i="160"/>
  <c r="G31" i="160"/>
  <c r="C31" i="160"/>
  <c r="I32" i="160"/>
  <c r="J32" i="160"/>
  <c r="D32" i="160"/>
  <c r="E32" i="160"/>
  <c r="K32" i="160"/>
  <c r="G32" i="160"/>
  <c r="C32" i="160"/>
  <c r="I33" i="160"/>
  <c r="J33" i="160"/>
  <c r="D33" i="160"/>
  <c r="E33" i="160"/>
  <c r="K33" i="160"/>
  <c r="G33" i="160"/>
  <c r="C33" i="160"/>
  <c r="I34" i="160"/>
  <c r="J34" i="160"/>
  <c r="D34" i="160"/>
  <c r="E34" i="160"/>
  <c r="K34" i="160"/>
  <c r="G34" i="160"/>
  <c r="C34" i="160"/>
  <c r="I35" i="160"/>
  <c r="J35" i="160"/>
  <c r="D35" i="160"/>
  <c r="E35" i="160"/>
  <c r="K35" i="160"/>
  <c r="G35" i="160"/>
  <c r="C35" i="160"/>
  <c r="I36" i="160"/>
  <c r="J36" i="160"/>
  <c r="D36" i="160"/>
  <c r="E36" i="160"/>
  <c r="K36" i="160"/>
  <c r="G36" i="160"/>
  <c r="C36" i="160"/>
  <c r="I37" i="160"/>
  <c r="J37" i="160"/>
  <c r="D37" i="160"/>
  <c r="E37" i="160"/>
  <c r="K37" i="160"/>
  <c r="G37" i="160"/>
  <c r="C37" i="160"/>
  <c r="I38" i="160"/>
  <c r="J38" i="160"/>
  <c r="D38" i="160"/>
  <c r="E38" i="160"/>
  <c r="K38" i="160"/>
  <c r="G38" i="160"/>
  <c r="C38" i="160"/>
  <c r="I39" i="160"/>
  <c r="J39" i="160"/>
  <c r="D39" i="160"/>
  <c r="E39" i="160"/>
  <c r="K39" i="160"/>
  <c r="G39" i="160"/>
  <c r="C39" i="160"/>
  <c r="I40" i="160"/>
  <c r="J40" i="160"/>
  <c r="D40" i="160"/>
  <c r="E40" i="160"/>
  <c r="K40" i="160"/>
  <c r="G40" i="160"/>
  <c r="C40" i="160"/>
  <c r="I41" i="160"/>
  <c r="J41" i="160"/>
  <c r="D41" i="160"/>
  <c r="E41" i="160"/>
  <c r="K41" i="160"/>
  <c r="G41" i="160"/>
  <c r="C41" i="160"/>
  <c r="I42" i="160"/>
  <c r="D42" i="160"/>
  <c r="J42" i="160"/>
  <c r="E42" i="160"/>
  <c r="K42" i="160"/>
  <c r="G42" i="160"/>
  <c r="C42" i="160"/>
  <c r="I43" i="160"/>
  <c r="D43" i="160"/>
  <c r="J43" i="160"/>
  <c r="E43" i="160"/>
  <c r="K43" i="160"/>
  <c r="G43" i="160"/>
  <c r="C43" i="160"/>
  <c r="I44" i="160"/>
  <c r="D44" i="160"/>
  <c r="J44" i="160"/>
  <c r="E44" i="160"/>
  <c r="K44" i="160"/>
  <c r="G44" i="160"/>
  <c r="C44" i="160"/>
  <c r="I45" i="160"/>
  <c r="D45" i="160"/>
  <c r="J45" i="160"/>
  <c r="E45" i="160"/>
  <c r="K45" i="160"/>
  <c r="G45" i="160"/>
  <c r="C45" i="160"/>
  <c r="I46" i="160"/>
  <c r="D46" i="160"/>
  <c r="J46" i="160"/>
  <c r="E46" i="160"/>
  <c r="K46" i="160"/>
  <c r="G46" i="160"/>
  <c r="C46" i="160"/>
  <c r="I47" i="160"/>
  <c r="D47" i="160"/>
  <c r="J47" i="160"/>
  <c r="E47" i="160"/>
  <c r="K47" i="160"/>
  <c r="G47" i="160"/>
  <c r="C47" i="160"/>
  <c r="I48" i="160"/>
  <c r="D48" i="160"/>
  <c r="J48" i="160"/>
  <c r="E48" i="160"/>
  <c r="K48" i="160"/>
  <c r="G48" i="160"/>
  <c r="C48" i="160"/>
  <c r="I49" i="160"/>
  <c r="D49" i="160"/>
  <c r="J49" i="160"/>
  <c r="E49" i="160"/>
  <c r="K49" i="160"/>
  <c r="G49" i="160"/>
  <c r="C49" i="160"/>
  <c r="I50" i="160"/>
  <c r="D50" i="160"/>
  <c r="J50" i="160"/>
  <c r="E50" i="160"/>
  <c r="K50" i="160"/>
  <c r="G50" i="160"/>
  <c r="C50" i="160"/>
  <c r="I51" i="160"/>
  <c r="D51" i="160"/>
  <c r="J51" i="160"/>
  <c r="E51" i="160"/>
  <c r="K51" i="160"/>
  <c r="G51" i="160"/>
  <c r="C51" i="160"/>
  <c r="I52" i="160"/>
  <c r="D52" i="160"/>
  <c r="J52" i="160"/>
  <c r="E52" i="160"/>
  <c r="K52" i="160"/>
  <c r="G52" i="160"/>
  <c r="C52" i="160"/>
  <c r="I53" i="160"/>
  <c r="D53" i="160"/>
  <c r="J53" i="160"/>
  <c r="E53" i="160"/>
  <c r="K53" i="160"/>
  <c r="G53" i="160"/>
  <c r="C53" i="160"/>
  <c r="I54" i="160"/>
  <c r="D54" i="160"/>
  <c r="J54" i="160"/>
  <c r="E54" i="160"/>
  <c r="K54" i="160"/>
  <c r="G54" i="160"/>
  <c r="C54" i="160"/>
  <c r="I55" i="160"/>
  <c r="D55" i="160"/>
  <c r="J55" i="160"/>
  <c r="E55" i="160"/>
  <c r="K55" i="160"/>
  <c r="G55" i="160"/>
  <c r="C55" i="160"/>
  <c r="I56" i="160"/>
  <c r="D56" i="160"/>
  <c r="J56" i="160"/>
  <c r="E56" i="160"/>
  <c r="K56" i="160"/>
  <c r="G56" i="160"/>
  <c r="C56" i="160"/>
  <c r="I57" i="160"/>
  <c r="D57" i="160"/>
  <c r="J57" i="160"/>
  <c r="E57" i="160"/>
  <c r="K57" i="160"/>
  <c r="G57" i="160"/>
  <c r="C57" i="160"/>
  <c r="I58" i="160"/>
  <c r="D58" i="160"/>
  <c r="J58" i="160"/>
  <c r="E58" i="160"/>
  <c r="K58" i="160"/>
  <c r="G58" i="160"/>
  <c r="C58" i="160"/>
  <c r="I59" i="160"/>
  <c r="D59" i="160"/>
  <c r="J59" i="160"/>
  <c r="E59" i="160"/>
  <c r="K59" i="160"/>
  <c r="G59" i="160"/>
  <c r="C59" i="160"/>
  <c r="I60" i="160"/>
  <c r="D60" i="160"/>
  <c r="J60" i="160"/>
  <c r="E60" i="160"/>
  <c r="K60" i="160"/>
  <c r="G60" i="160"/>
  <c r="C60" i="160"/>
  <c r="I61" i="160"/>
  <c r="D61" i="160"/>
  <c r="J61" i="160"/>
  <c r="E61" i="160"/>
  <c r="K61" i="160"/>
  <c r="G61" i="160"/>
  <c r="C61" i="160"/>
  <c r="I62" i="160"/>
  <c r="D62" i="160"/>
  <c r="J62" i="160"/>
  <c r="E62" i="160"/>
  <c r="K62" i="160"/>
  <c r="G62" i="160"/>
  <c r="C62" i="160"/>
  <c r="I63" i="160"/>
  <c r="D63" i="160"/>
  <c r="J63" i="160"/>
  <c r="E63" i="160"/>
  <c r="K63" i="160"/>
  <c r="G63" i="160"/>
  <c r="C63" i="160"/>
  <c r="I64" i="160"/>
  <c r="D64" i="160"/>
  <c r="J64" i="160"/>
  <c r="E64" i="160"/>
  <c r="K64" i="160"/>
  <c r="G64" i="160"/>
  <c r="C64" i="160"/>
  <c r="I65" i="160"/>
  <c r="D65" i="160"/>
  <c r="J65" i="160"/>
  <c r="E65" i="160"/>
  <c r="K65" i="160"/>
  <c r="G65" i="160"/>
  <c r="C65" i="160"/>
  <c r="I66" i="160"/>
  <c r="D66" i="160"/>
  <c r="J66" i="160"/>
  <c r="E66" i="160"/>
  <c r="K66" i="160"/>
  <c r="G66" i="160"/>
  <c r="C66" i="160"/>
  <c r="I67" i="160"/>
  <c r="D67" i="160"/>
  <c r="J67" i="160"/>
  <c r="E67" i="160"/>
  <c r="K67" i="160"/>
  <c r="G67" i="160"/>
  <c r="C67" i="160"/>
  <c r="I68" i="160"/>
  <c r="D68" i="160"/>
  <c r="J68" i="160"/>
  <c r="E68" i="160"/>
  <c r="K68" i="160"/>
  <c r="G68" i="160"/>
  <c r="C68" i="160"/>
  <c r="I69" i="160"/>
  <c r="D69" i="160"/>
  <c r="J69" i="160"/>
  <c r="E69" i="160"/>
  <c r="K69" i="160"/>
  <c r="G69" i="160"/>
  <c r="C69" i="160"/>
  <c r="I70" i="160"/>
  <c r="D70" i="160"/>
  <c r="J70" i="160"/>
  <c r="E70" i="160"/>
  <c r="K70" i="160"/>
  <c r="G70" i="160"/>
  <c r="C70" i="160"/>
  <c r="I71" i="160"/>
  <c r="D71" i="160"/>
  <c r="J71" i="160"/>
  <c r="E71" i="160"/>
  <c r="K71" i="160"/>
  <c r="G71" i="160"/>
  <c r="C71" i="160"/>
  <c r="I72" i="160"/>
  <c r="D72" i="160"/>
  <c r="J72" i="160"/>
  <c r="E72" i="160"/>
  <c r="K72" i="160"/>
  <c r="G72" i="160"/>
  <c r="C72" i="160"/>
  <c r="I73" i="160"/>
  <c r="D73" i="160"/>
  <c r="J73" i="160"/>
  <c r="E73" i="160"/>
  <c r="K73" i="160"/>
  <c r="G73" i="160"/>
  <c r="C73" i="160"/>
  <c r="I74" i="160"/>
  <c r="D74" i="160"/>
  <c r="J74" i="160"/>
  <c r="E74" i="160"/>
  <c r="K74" i="160"/>
  <c r="G74" i="160"/>
  <c r="C74" i="160"/>
  <c r="I75" i="160"/>
  <c r="D75" i="160"/>
  <c r="J75" i="160"/>
  <c r="E75" i="160"/>
  <c r="K75" i="160"/>
  <c r="G75" i="160"/>
  <c r="C75" i="160"/>
  <c r="I76" i="160"/>
  <c r="D76" i="160"/>
  <c r="J76" i="160"/>
  <c r="E76" i="160"/>
  <c r="K76" i="160"/>
  <c r="G76" i="160"/>
  <c r="C76" i="160"/>
  <c r="I77" i="160"/>
  <c r="D77" i="160"/>
  <c r="J77" i="160"/>
  <c r="E77" i="160"/>
  <c r="K77" i="160"/>
  <c r="G77" i="160"/>
  <c r="C77" i="160"/>
  <c r="I78" i="160"/>
  <c r="D78" i="160"/>
  <c r="J78" i="160"/>
  <c r="E78" i="160"/>
  <c r="K78" i="160"/>
  <c r="G78" i="160"/>
  <c r="C78" i="160"/>
  <c r="I79" i="160"/>
  <c r="D79" i="160"/>
  <c r="J79" i="160"/>
  <c r="E79" i="160"/>
  <c r="K79" i="160"/>
  <c r="G79" i="160"/>
  <c r="C79" i="160"/>
  <c r="I80" i="160"/>
  <c r="D80" i="160"/>
  <c r="J80" i="160"/>
  <c r="E80" i="160"/>
  <c r="K80" i="160"/>
  <c r="G80" i="160"/>
  <c r="C80" i="160"/>
  <c r="I81" i="160"/>
  <c r="D81" i="160"/>
  <c r="J81" i="160"/>
  <c r="E81" i="160"/>
  <c r="K81" i="160"/>
  <c r="G81" i="160"/>
  <c r="C81" i="160"/>
  <c r="I82" i="160"/>
  <c r="D82" i="160"/>
  <c r="J82" i="160"/>
  <c r="E82" i="160"/>
  <c r="K82" i="160"/>
  <c r="G82" i="160"/>
  <c r="C82" i="160"/>
  <c r="I83" i="160"/>
  <c r="D83" i="160"/>
  <c r="J83" i="160"/>
  <c r="E83" i="160"/>
  <c r="K83" i="160"/>
  <c r="G83" i="160"/>
  <c r="C83" i="160"/>
  <c r="I84" i="160"/>
  <c r="D84" i="160"/>
  <c r="J84" i="160"/>
  <c r="E84" i="160"/>
  <c r="K84" i="160"/>
  <c r="G84" i="160"/>
  <c r="C84" i="160"/>
  <c r="I85" i="160"/>
  <c r="D85" i="160"/>
  <c r="J85" i="160"/>
  <c r="E85" i="160"/>
  <c r="K85" i="160"/>
  <c r="G85" i="160"/>
  <c r="C85" i="160"/>
  <c r="I86" i="160"/>
  <c r="D86" i="160"/>
  <c r="J86" i="160"/>
  <c r="E86" i="160"/>
  <c r="K86" i="160"/>
  <c r="G86" i="160"/>
  <c r="C86" i="160"/>
  <c r="I87" i="160"/>
  <c r="D87" i="160"/>
  <c r="J87" i="160"/>
  <c r="E87" i="160"/>
  <c r="K87" i="160"/>
  <c r="G87" i="160"/>
  <c r="C87" i="160"/>
  <c r="I88" i="160"/>
  <c r="D88" i="160"/>
  <c r="J88" i="160"/>
  <c r="E88" i="160"/>
  <c r="K88" i="160"/>
  <c r="G88" i="160"/>
  <c r="C88" i="160"/>
  <c r="I89" i="160"/>
  <c r="D89" i="160"/>
  <c r="J89" i="160"/>
  <c r="E89" i="160"/>
  <c r="K89" i="160"/>
  <c r="G89" i="160"/>
  <c r="C89" i="160"/>
  <c r="I90" i="160"/>
  <c r="D90" i="160"/>
  <c r="J90" i="160"/>
  <c r="E90" i="160"/>
  <c r="K90" i="160"/>
  <c r="G90" i="160"/>
  <c r="C90" i="160"/>
  <c r="I91" i="160"/>
  <c r="D91" i="160"/>
  <c r="J91" i="160"/>
  <c r="E91" i="160"/>
  <c r="K91" i="160"/>
  <c r="G91" i="160"/>
  <c r="C91" i="160"/>
  <c r="I92" i="160"/>
  <c r="D92" i="160"/>
  <c r="J92" i="160"/>
  <c r="E92" i="160"/>
  <c r="K92" i="160"/>
  <c r="G92" i="160"/>
  <c r="C92" i="160"/>
  <c r="I93" i="160"/>
  <c r="D93" i="160"/>
  <c r="J93" i="160"/>
  <c r="E93" i="160"/>
  <c r="K93" i="160"/>
  <c r="G93" i="160"/>
  <c r="C93" i="160"/>
  <c r="I94" i="160"/>
  <c r="D94" i="160"/>
  <c r="J94" i="160"/>
  <c r="E94" i="160"/>
  <c r="K94" i="160"/>
  <c r="G94" i="160"/>
  <c r="C94" i="160"/>
  <c r="I95" i="160"/>
  <c r="D95" i="160"/>
  <c r="J95" i="160"/>
  <c r="E95" i="160"/>
  <c r="K95" i="160"/>
  <c r="G95" i="160"/>
  <c r="C95" i="160"/>
  <c r="I96" i="160"/>
  <c r="D96" i="160"/>
  <c r="J96" i="160"/>
  <c r="E96" i="160"/>
  <c r="K96" i="160"/>
  <c r="G96" i="160"/>
  <c r="C96" i="160"/>
  <c r="I97" i="160"/>
  <c r="D97" i="160"/>
  <c r="J97" i="160"/>
  <c r="E97" i="160"/>
  <c r="K97" i="160"/>
  <c r="G97" i="160"/>
  <c r="C97" i="160"/>
  <c r="I98" i="160"/>
  <c r="D98" i="160"/>
  <c r="J98" i="160"/>
  <c r="E98" i="160"/>
  <c r="K98" i="160"/>
  <c r="G98" i="160"/>
  <c r="C98" i="160"/>
  <c r="I99" i="160"/>
  <c r="D99" i="160"/>
  <c r="J99" i="160"/>
  <c r="E99" i="160"/>
  <c r="K99" i="160"/>
  <c r="G99" i="160"/>
  <c r="C99" i="160"/>
  <c r="I100" i="160"/>
  <c r="D100" i="160"/>
  <c r="J100" i="160"/>
  <c r="E100" i="160"/>
  <c r="K100" i="160"/>
  <c r="G100" i="160"/>
  <c r="C100" i="160"/>
  <c r="I101" i="160"/>
  <c r="D101" i="160"/>
  <c r="J101" i="160"/>
  <c r="E101" i="160"/>
  <c r="K101" i="160"/>
  <c r="G101" i="160"/>
  <c r="C101" i="160"/>
  <c r="I102" i="160"/>
  <c r="D102" i="160"/>
  <c r="J102" i="160"/>
  <c r="E102" i="160"/>
  <c r="K102" i="160"/>
  <c r="G102" i="160"/>
  <c r="C102" i="160"/>
  <c r="I103" i="160"/>
  <c r="D103" i="160"/>
  <c r="J103" i="160"/>
  <c r="E103" i="160"/>
  <c r="K103" i="160"/>
  <c r="G103" i="160"/>
  <c r="C103" i="160"/>
  <c r="I104" i="160"/>
  <c r="D104" i="160"/>
  <c r="J104" i="160"/>
  <c r="E104" i="160"/>
  <c r="K104" i="160"/>
  <c r="G104" i="160"/>
  <c r="C104" i="160"/>
  <c r="I105" i="160"/>
  <c r="D105" i="160"/>
  <c r="J105" i="160"/>
  <c r="E105" i="160"/>
  <c r="K105" i="160"/>
  <c r="G105" i="160"/>
  <c r="C105" i="160"/>
  <c r="I106" i="160"/>
  <c r="D106" i="160"/>
  <c r="J106" i="160"/>
  <c r="E106" i="160"/>
  <c r="K106" i="160"/>
  <c r="G106" i="160"/>
  <c r="C106" i="160"/>
  <c r="I107" i="160"/>
  <c r="D107" i="160"/>
  <c r="J107" i="160"/>
  <c r="E107" i="160"/>
  <c r="K107" i="160"/>
  <c r="G107" i="160"/>
  <c r="C107" i="160"/>
  <c r="I108" i="160"/>
  <c r="D108" i="160"/>
  <c r="J108" i="160"/>
  <c r="E108" i="160"/>
  <c r="K108" i="160"/>
  <c r="G108" i="160"/>
  <c r="C108" i="160"/>
  <c r="I109" i="160"/>
  <c r="D109" i="160"/>
  <c r="J109" i="160"/>
  <c r="E109" i="160"/>
  <c r="K109" i="160"/>
  <c r="G109" i="160"/>
  <c r="C109" i="160"/>
  <c r="I110" i="160"/>
  <c r="D110" i="160"/>
  <c r="J110" i="160"/>
  <c r="E110" i="160"/>
  <c r="K110" i="160"/>
  <c r="G110" i="160"/>
  <c r="C110" i="160"/>
  <c r="I111" i="160"/>
  <c r="D111" i="160"/>
  <c r="J111" i="160"/>
  <c r="E111" i="160"/>
  <c r="K111" i="160"/>
  <c r="G111" i="160"/>
  <c r="C111" i="160"/>
  <c r="I112" i="160"/>
  <c r="D112" i="160"/>
  <c r="J112" i="160"/>
  <c r="E112" i="160"/>
  <c r="K112" i="160"/>
  <c r="G112" i="160"/>
  <c r="C112" i="160"/>
  <c r="I113" i="160"/>
  <c r="D113" i="160"/>
  <c r="J113" i="160"/>
  <c r="E113" i="160"/>
  <c r="K113" i="160"/>
  <c r="G113" i="160"/>
  <c r="C113" i="160"/>
  <c r="I114" i="160"/>
  <c r="D114" i="160"/>
  <c r="J114" i="160"/>
  <c r="E114" i="160"/>
  <c r="K114" i="160"/>
  <c r="G114" i="160"/>
  <c r="C114" i="160"/>
  <c r="I115" i="160"/>
  <c r="D115" i="160"/>
  <c r="J115" i="160"/>
  <c r="E115" i="160"/>
  <c r="K115" i="160"/>
  <c r="G115" i="160"/>
  <c r="C115" i="160"/>
  <c r="I116" i="160"/>
  <c r="D116" i="160"/>
  <c r="J116" i="160"/>
  <c r="E116" i="160"/>
  <c r="K116" i="160"/>
  <c r="G116" i="160"/>
  <c r="C116" i="160"/>
  <c r="I117" i="160"/>
  <c r="D117" i="160"/>
  <c r="J117" i="160"/>
  <c r="E117" i="160"/>
  <c r="K117" i="160"/>
  <c r="G117" i="160"/>
  <c r="C117" i="160"/>
  <c r="I118" i="160"/>
  <c r="D118" i="160"/>
  <c r="J118" i="160"/>
  <c r="E118" i="160"/>
  <c r="K118" i="160"/>
  <c r="G118" i="160"/>
  <c r="C118" i="160"/>
  <c r="I119" i="160"/>
  <c r="D119" i="160"/>
  <c r="J119" i="160"/>
  <c r="E119" i="160"/>
  <c r="K119" i="160"/>
  <c r="G119" i="160"/>
  <c r="C119" i="160"/>
  <c r="I120" i="160"/>
  <c r="D120" i="160"/>
  <c r="J120" i="160"/>
  <c r="E120" i="160"/>
  <c r="K120" i="160"/>
  <c r="G120" i="160"/>
  <c r="C120" i="160"/>
  <c r="I121" i="160"/>
  <c r="D121" i="160"/>
  <c r="J121" i="160"/>
  <c r="E121" i="160"/>
  <c r="K121" i="160"/>
  <c r="G121" i="160"/>
  <c r="C121" i="160"/>
  <c r="I122" i="160"/>
  <c r="D122" i="160"/>
  <c r="J122" i="160"/>
  <c r="E122" i="160"/>
  <c r="K122" i="160"/>
  <c r="G122" i="160"/>
  <c r="C122" i="160"/>
  <c r="I123" i="160"/>
  <c r="D123" i="160"/>
  <c r="J123" i="160"/>
  <c r="E123" i="160"/>
  <c r="K123" i="160"/>
  <c r="G123" i="160"/>
  <c r="C123" i="160"/>
  <c r="I124" i="160"/>
  <c r="D124" i="160"/>
  <c r="J124" i="160"/>
  <c r="E124" i="160"/>
  <c r="K124" i="160"/>
  <c r="G124" i="160"/>
  <c r="C124" i="160"/>
  <c r="I125" i="160"/>
  <c r="D125" i="160"/>
  <c r="J125" i="160"/>
  <c r="E125" i="160"/>
  <c r="K125" i="160"/>
  <c r="G125" i="160"/>
  <c r="C125" i="160"/>
  <c r="I126" i="160"/>
  <c r="D126" i="160"/>
  <c r="J126" i="160"/>
  <c r="E126" i="160"/>
  <c r="K126" i="160"/>
  <c r="G126" i="160"/>
  <c r="C126" i="160"/>
  <c r="I127" i="160"/>
  <c r="D127" i="160"/>
  <c r="J127" i="160"/>
  <c r="E127" i="160"/>
  <c r="K127" i="160"/>
  <c r="G127" i="160"/>
  <c r="C127" i="160"/>
  <c r="I128" i="160"/>
  <c r="D128" i="160"/>
  <c r="J128" i="160"/>
  <c r="E128" i="160"/>
  <c r="K128" i="160"/>
  <c r="G128" i="160"/>
  <c r="C128" i="160"/>
  <c r="I129" i="160"/>
  <c r="D129" i="160"/>
  <c r="J129" i="160"/>
  <c r="E129" i="160"/>
  <c r="K129" i="160"/>
  <c r="G129" i="160"/>
  <c r="C129" i="160"/>
  <c r="I130" i="160"/>
  <c r="D130" i="160"/>
  <c r="J130" i="160"/>
  <c r="E130" i="160"/>
  <c r="K130" i="160"/>
  <c r="G130" i="160"/>
  <c r="C130" i="160"/>
  <c r="I131" i="160"/>
  <c r="D131" i="160"/>
  <c r="J131" i="160"/>
  <c r="E131" i="160"/>
  <c r="K131" i="160"/>
  <c r="G131" i="160"/>
  <c r="C131" i="160"/>
  <c r="I132" i="160"/>
  <c r="D132" i="160"/>
  <c r="J132" i="160"/>
  <c r="E132" i="160"/>
  <c r="K132" i="160"/>
  <c r="G132" i="160"/>
  <c r="C132" i="160"/>
  <c r="I133" i="160"/>
  <c r="D133" i="160"/>
  <c r="J133" i="160"/>
  <c r="E133" i="160"/>
  <c r="K133" i="160"/>
  <c r="G133" i="160"/>
  <c r="C133" i="160"/>
  <c r="I134" i="160"/>
  <c r="D134" i="160"/>
  <c r="J134" i="160"/>
  <c r="E134" i="160"/>
  <c r="K134" i="160"/>
  <c r="G134" i="160"/>
  <c r="C134" i="160"/>
  <c r="I135" i="160"/>
  <c r="D135" i="160"/>
  <c r="J135" i="160"/>
  <c r="E135" i="160"/>
  <c r="K135" i="160"/>
  <c r="G135" i="160"/>
  <c r="C135" i="160"/>
  <c r="I136" i="160"/>
  <c r="D136" i="160"/>
  <c r="J136" i="160"/>
  <c r="E136" i="160"/>
  <c r="K136" i="160"/>
  <c r="G136" i="160"/>
  <c r="C136" i="160"/>
  <c r="I137" i="160"/>
  <c r="D137" i="160"/>
  <c r="J137" i="160"/>
  <c r="E137" i="160"/>
  <c r="K137" i="160"/>
  <c r="G137" i="160"/>
  <c r="C137" i="160"/>
  <c r="I138" i="160"/>
  <c r="D138" i="160"/>
  <c r="J138" i="160"/>
  <c r="E138" i="160"/>
  <c r="K138" i="160"/>
  <c r="G138" i="160"/>
  <c r="C138" i="160"/>
  <c r="I139" i="160"/>
  <c r="D139" i="160"/>
  <c r="J139" i="160"/>
  <c r="E139" i="160"/>
  <c r="K139" i="160"/>
  <c r="G139" i="160"/>
  <c r="C139" i="160"/>
  <c r="I140" i="160"/>
  <c r="D140" i="160"/>
  <c r="J140" i="160"/>
  <c r="E140" i="160"/>
  <c r="K140" i="160"/>
  <c r="G140" i="160"/>
  <c r="C140" i="160"/>
  <c r="I141" i="160"/>
  <c r="D141" i="160"/>
  <c r="J141" i="160"/>
  <c r="E141" i="160"/>
  <c r="K141" i="160"/>
  <c r="G141" i="160"/>
  <c r="C141" i="160"/>
  <c r="I142" i="160"/>
  <c r="D142" i="160"/>
  <c r="J142" i="160"/>
  <c r="E142" i="160"/>
  <c r="K142" i="160"/>
  <c r="G142" i="160"/>
  <c r="C142" i="160"/>
  <c r="I143" i="160"/>
  <c r="D143" i="160"/>
  <c r="J143" i="160"/>
  <c r="E143" i="160"/>
  <c r="K143" i="160"/>
  <c r="G143" i="160"/>
  <c r="C143" i="160"/>
  <c r="I144" i="160"/>
  <c r="D144" i="160"/>
  <c r="J144" i="160"/>
  <c r="E144" i="160"/>
  <c r="K144" i="160"/>
  <c r="G144" i="160"/>
  <c r="C144" i="160"/>
  <c r="I145" i="160"/>
  <c r="D145" i="160"/>
  <c r="J145" i="160"/>
  <c r="E145" i="160"/>
  <c r="K145" i="160"/>
  <c r="G145" i="160"/>
  <c r="C145" i="160"/>
  <c r="I146" i="160"/>
  <c r="D146" i="160"/>
  <c r="J146" i="160"/>
  <c r="E146" i="160"/>
  <c r="K146" i="160"/>
  <c r="G146" i="160"/>
  <c r="C146" i="160"/>
  <c r="I147" i="160"/>
  <c r="D147" i="160"/>
  <c r="J147" i="160"/>
  <c r="E147" i="160"/>
  <c r="K147" i="160"/>
  <c r="G147" i="160"/>
  <c r="C147" i="160"/>
  <c r="I148" i="160"/>
  <c r="D148" i="160"/>
  <c r="J148" i="160"/>
  <c r="E148" i="160"/>
  <c r="K148" i="160"/>
  <c r="G148" i="160"/>
  <c r="C148" i="160"/>
  <c r="I149" i="160"/>
  <c r="D149" i="160"/>
  <c r="J149" i="160"/>
  <c r="E149" i="160"/>
  <c r="K149" i="160"/>
  <c r="G149" i="160"/>
  <c r="C149" i="160"/>
  <c r="I150" i="160"/>
  <c r="D150" i="160"/>
  <c r="J150" i="160"/>
  <c r="E150" i="160"/>
  <c r="K150" i="160"/>
  <c r="G150" i="160"/>
  <c r="C150" i="160"/>
  <c r="I151" i="160"/>
  <c r="D151" i="160"/>
  <c r="J151" i="160"/>
  <c r="E151" i="160"/>
  <c r="K151" i="160"/>
  <c r="G151" i="160"/>
  <c r="C151" i="160"/>
  <c r="I152" i="160"/>
  <c r="D152" i="160"/>
  <c r="J152" i="160"/>
  <c r="E152" i="160"/>
  <c r="K152" i="160"/>
  <c r="G152" i="160"/>
  <c r="C152" i="160"/>
  <c r="I153" i="160"/>
  <c r="D153" i="160"/>
  <c r="J153" i="160"/>
  <c r="E153" i="160"/>
  <c r="K153" i="160"/>
  <c r="G153" i="160"/>
  <c r="C153" i="160"/>
  <c r="I154" i="160"/>
  <c r="D154" i="160"/>
  <c r="J154" i="160"/>
  <c r="E154" i="160"/>
  <c r="K154" i="160"/>
  <c r="G154" i="160"/>
  <c r="C154" i="160"/>
  <c r="I155" i="160"/>
  <c r="D155" i="160"/>
  <c r="J155" i="160"/>
  <c r="E155" i="160"/>
  <c r="K155" i="160"/>
  <c r="G155" i="160"/>
  <c r="C155" i="160"/>
  <c r="I156" i="160"/>
  <c r="D156" i="160"/>
  <c r="J156" i="160"/>
  <c r="E156" i="160"/>
  <c r="K156" i="160"/>
  <c r="G156" i="160"/>
  <c r="C156" i="160"/>
  <c r="I157" i="160"/>
  <c r="D157" i="160"/>
  <c r="J157" i="160"/>
  <c r="E157" i="160"/>
  <c r="K157" i="160"/>
  <c r="G157" i="160"/>
  <c r="C157" i="160"/>
  <c r="I158" i="160"/>
  <c r="D158" i="160"/>
  <c r="J158" i="160"/>
  <c r="E158" i="160"/>
  <c r="K158" i="160"/>
  <c r="G158" i="160"/>
  <c r="C158" i="160"/>
  <c r="I159" i="160"/>
  <c r="D159" i="160"/>
  <c r="J159" i="160"/>
  <c r="E159" i="160"/>
  <c r="K159" i="160"/>
  <c r="G159" i="160"/>
  <c r="C159" i="160"/>
  <c r="I160" i="160"/>
  <c r="D160" i="160"/>
  <c r="J160" i="160"/>
  <c r="E160" i="160"/>
  <c r="K160" i="160"/>
  <c r="G160" i="160"/>
  <c r="C160" i="160"/>
  <c r="I161" i="160"/>
  <c r="D161" i="160"/>
  <c r="J161" i="160"/>
  <c r="E161" i="160"/>
  <c r="K161" i="160"/>
  <c r="G161" i="160"/>
  <c r="C161" i="160"/>
  <c r="I162" i="160"/>
  <c r="D162" i="160"/>
  <c r="J162" i="160"/>
  <c r="E162" i="160"/>
  <c r="K162" i="160"/>
  <c r="G162" i="160"/>
  <c r="C162" i="160"/>
  <c r="I163" i="160"/>
  <c r="D163" i="160"/>
  <c r="J163" i="160"/>
  <c r="E163" i="160"/>
  <c r="K163" i="160"/>
  <c r="G163" i="160"/>
  <c r="C163" i="160"/>
  <c r="I164" i="160"/>
  <c r="D164" i="160"/>
  <c r="J164" i="160"/>
  <c r="E164" i="160"/>
  <c r="K164" i="160"/>
  <c r="G164" i="160"/>
  <c r="C164" i="160"/>
  <c r="I165" i="160"/>
  <c r="D165" i="160"/>
  <c r="J165" i="160"/>
  <c r="E165" i="160"/>
  <c r="K165" i="160"/>
  <c r="G165" i="160"/>
  <c r="C165" i="160"/>
  <c r="I166" i="160"/>
  <c r="D166" i="160"/>
  <c r="J166" i="160"/>
  <c r="E166" i="160"/>
  <c r="K166" i="160"/>
  <c r="G166" i="160"/>
  <c r="C166" i="160"/>
  <c r="I167" i="160"/>
  <c r="D167" i="160"/>
  <c r="J167" i="160"/>
  <c r="E167" i="160"/>
  <c r="K167" i="160"/>
  <c r="G167" i="160"/>
  <c r="C167" i="160"/>
  <c r="I168" i="160"/>
  <c r="D168" i="160"/>
  <c r="J168" i="160"/>
  <c r="E168" i="160"/>
  <c r="K168" i="160"/>
  <c r="G168" i="160"/>
  <c r="C168" i="160"/>
  <c r="I169" i="160"/>
  <c r="D169" i="160"/>
  <c r="J169" i="160"/>
  <c r="E169" i="160"/>
  <c r="K169" i="160"/>
  <c r="G169" i="160"/>
  <c r="C169" i="160"/>
  <c r="I170" i="160"/>
  <c r="D170" i="160"/>
  <c r="J170" i="160"/>
  <c r="E170" i="160"/>
  <c r="K170" i="160"/>
  <c r="G170" i="160"/>
  <c r="C170" i="160"/>
  <c r="I171" i="160"/>
  <c r="D171" i="160"/>
  <c r="J171" i="160"/>
  <c r="E171" i="160"/>
  <c r="K171" i="160"/>
  <c r="G171" i="160"/>
  <c r="C171" i="160"/>
  <c r="I172" i="160"/>
  <c r="D172" i="160"/>
  <c r="J172" i="160"/>
  <c r="E172" i="160"/>
  <c r="K172" i="160"/>
  <c r="G172" i="160"/>
  <c r="C172" i="160"/>
  <c r="I173" i="160"/>
  <c r="D173" i="160"/>
  <c r="J173" i="160"/>
  <c r="E173" i="160"/>
  <c r="K173" i="160"/>
  <c r="G173" i="160"/>
  <c r="C173" i="160"/>
  <c r="I174" i="160"/>
  <c r="D174" i="160"/>
  <c r="J174" i="160"/>
  <c r="E174" i="160"/>
  <c r="K174" i="160"/>
  <c r="G174" i="160"/>
  <c r="C174" i="160"/>
  <c r="I175" i="160"/>
  <c r="D175" i="160"/>
  <c r="J175" i="160"/>
  <c r="E175" i="160"/>
  <c r="K175" i="160"/>
  <c r="G175" i="160"/>
  <c r="C175" i="160"/>
  <c r="I176" i="160"/>
  <c r="D176" i="160"/>
  <c r="J176" i="160"/>
  <c r="E176" i="160"/>
  <c r="K176" i="160"/>
  <c r="G176" i="160"/>
  <c r="C176" i="160"/>
  <c r="I177" i="160"/>
  <c r="D177" i="160"/>
  <c r="J177" i="160"/>
  <c r="E177" i="160"/>
  <c r="K177" i="160"/>
  <c r="G177" i="160"/>
  <c r="C177" i="160"/>
  <c r="I178" i="160"/>
  <c r="D178" i="160"/>
  <c r="J178" i="160"/>
  <c r="E178" i="160"/>
  <c r="K178" i="160"/>
  <c r="G178" i="160"/>
  <c r="C178" i="160"/>
  <c r="I179" i="160"/>
  <c r="D179" i="160"/>
  <c r="J179" i="160"/>
  <c r="E179" i="160"/>
  <c r="K179" i="160"/>
  <c r="G179" i="160"/>
  <c r="C179" i="160"/>
  <c r="I180" i="160"/>
  <c r="D180" i="160"/>
  <c r="J180" i="160"/>
  <c r="E180" i="160"/>
  <c r="K180" i="160"/>
  <c r="G180" i="160"/>
  <c r="C180" i="160"/>
  <c r="I181" i="160"/>
  <c r="D181" i="160"/>
  <c r="J181" i="160"/>
  <c r="E181" i="160"/>
  <c r="K181" i="160"/>
  <c r="G181" i="160"/>
  <c r="C181" i="160"/>
  <c r="I182" i="160"/>
  <c r="D182" i="160"/>
  <c r="J182" i="160"/>
  <c r="E182" i="160"/>
  <c r="K182" i="160"/>
  <c r="G182" i="160"/>
  <c r="C182" i="160"/>
  <c r="I183" i="160"/>
  <c r="D183" i="160"/>
  <c r="J183" i="160"/>
  <c r="E183" i="160"/>
  <c r="K183" i="160"/>
  <c r="G183" i="160"/>
  <c r="C183" i="160"/>
  <c r="I184" i="160"/>
  <c r="D184" i="160"/>
  <c r="J184" i="160"/>
  <c r="E184" i="160"/>
  <c r="K184" i="160"/>
  <c r="G184" i="160"/>
  <c r="C184" i="160"/>
  <c r="I185" i="160"/>
  <c r="D185" i="160"/>
  <c r="J185" i="160"/>
  <c r="E185" i="160"/>
  <c r="K185" i="160"/>
  <c r="G185" i="160"/>
  <c r="C185" i="160"/>
  <c r="I186" i="160"/>
  <c r="D186" i="160"/>
  <c r="J186" i="160"/>
  <c r="E186" i="160"/>
  <c r="K186" i="160"/>
  <c r="G186" i="160"/>
  <c r="C186" i="160"/>
  <c r="I187" i="160"/>
  <c r="D187" i="160"/>
  <c r="J187" i="160"/>
  <c r="E187" i="160"/>
  <c r="K187" i="160"/>
  <c r="G187" i="160"/>
  <c r="C187" i="160"/>
  <c r="I188" i="160"/>
  <c r="D188" i="160"/>
  <c r="J188" i="160"/>
  <c r="E188" i="160"/>
  <c r="K188" i="160"/>
  <c r="G188" i="160"/>
  <c r="C188" i="160"/>
  <c r="I189" i="160"/>
  <c r="D189" i="160"/>
  <c r="J189" i="160"/>
  <c r="E189" i="160"/>
  <c r="K189" i="160"/>
  <c r="G189" i="160"/>
  <c r="C189" i="160"/>
  <c r="I190" i="160"/>
  <c r="D190" i="160"/>
  <c r="J190" i="160"/>
  <c r="E190" i="160"/>
  <c r="K190" i="160"/>
  <c r="G190" i="160"/>
  <c r="C190" i="160"/>
  <c r="I191" i="160"/>
  <c r="D191" i="160"/>
  <c r="J191" i="160"/>
  <c r="E191" i="160"/>
  <c r="K191" i="160"/>
  <c r="G191" i="160"/>
  <c r="C191" i="160"/>
  <c r="I192" i="160"/>
  <c r="D192" i="160"/>
  <c r="J192" i="160"/>
  <c r="E192" i="160"/>
  <c r="K192" i="160"/>
  <c r="G192" i="160"/>
  <c r="C192" i="160"/>
  <c r="I193" i="160"/>
  <c r="D193" i="160"/>
  <c r="J193" i="160"/>
  <c r="E193" i="160"/>
  <c r="K193" i="160"/>
  <c r="G193" i="160"/>
  <c r="C193" i="160"/>
  <c r="I194" i="160"/>
  <c r="D194" i="160"/>
  <c r="J194" i="160"/>
  <c r="E194" i="160"/>
  <c r="K194" i="160"/>
  <c r="G194" i="160"/>
  <c r="C194" i="160"/>
  <c r="I195" i="160"/>
  <c r="D195" i="160"/>
  <c r="J195" i="160"/>
  <c r="E195" i="160"/>
  <c r="K195" i="160"/>
  <c r="G195" i="160"/>
  <c r="C195" i="160"/>
  <c r="I196" i="160"/>
  <c r="D196" i="160"/>
  <c r="J196" i="160"/>
  <c r="E196" i="160"/>
  <c r="K196" i="160"/>
  <c r="G196" i="160"/>
  <c r="C196" i="160"/>
  <c r="I197" i="160"/>
  <c r="D197" i="160"/>
  <c r="J197" i="160"/>
  <c r="E197" i="160"/>
  <c r="K197" i="160"/>
  <c r="G197" i="160"/>
  <c r="C197" i="160"/>
  <c r="I198" i="160"/>
  <c r="D198" i="160"/>
  <c r="J198" i="160"/>
  <c r="E198" i="160"/>
  <c r="K198" i="160"/>
  <c r="G198" i="160"/>
  <c r="C198" i="160"/>
  <c r="I199" i="160"/>
  <c r="D199" i="160"/>
  <c r="J199" i="160"/>
  <c r="E199" i="160"/>
  <c r="K199" i="160"/>
  <c r="G199" i="160"/>
  <c r="C199" i="160"/>
  <c r="I200" i="160"/>
  <c r="D200" i="160"/>
  <c r="J200" i="160"/>
  <c r="E200" i="160"/>
  <c r="K200" i="160"/>
  <c r="G200" i="160"/>
  <c r="C200" i="160"/>
  <c r="I201" i="160"/>
  <c r="D201" i="160"/>
  <c r="J201" i="160"/>
  <c r="E201" i="160"/>
  <c r="K201" i="160"/>
  <c r="G201" i="160"/>
  <c r="C201" i="160"/>
  <c r="I202" i="160"/>
  <c r="D202" i="160"/>
  <c r="J202" i="160"/>
  <c r="E202" i="160"/>
  <c r="K202" i="160"/>
  <c r="G202" i="160"/>
  <c r="C202" i="160"/>
  <c r="I203" i="160"/>
  <c r="D203" i="160"/>
  <c r="J203" i="160"/>
  <c r="E203" i="160"/>
  <c r="K203" i="160"/>
  <c r="G203" i="160"/>
  <c r="C203" i="160"/>
  <c r="I204" i="160"/>
  <c r="D204" i="160"/>
  <c r="J204" i="160"/>
  <c r="E204" i="160"/>
  <c r="K204" i="160"/>
  <c r="G204" i="160"/>
  <c r="C204" i="160"/>
  <c r="I205" i="160"/>
  <c r="D205" i="160"/>
  <c r="J205" i="160"/>
  <c r="E205" i="160"/>
  <c r="K205" i="160"/>
  <c r="G205" i="160"/>
  <c r="C205" i="160"/>
  <c r="I206" i="160"/>
  <c r="D206" i="160"/>
  <c r="J206" i="160"/>
  <c r="E206" i="160"/>
  <c r="K206" i="160"/>
  <c r="G206" i="160"/>
  <c r="C206" i="160"/>
  <c r="I207" i="160"/>
  <c r="D207" i="160"/>
  <c r="J207" i="160"/>
  <c r="E207" i="160"/>
  <c r="K207" i="160"/>
  <c r="G207" i="160"/>
  <c r="C207" i="160"/>
  <c r="I208" i="160"/>
  <c r="D208" i="160"/>
  <c r="J208" i="160"/>
  <c r="E208" i="160"/>
  <c r="K208" i="160"/>
  <c r="G208" i="160"/>
  <c r="C208" i="160"/>
  <c r="I209" i="160"/>
  <c r="D209" i="160"/>
  <c r="J209" i="160"/>
  <c r="E209" i="160"/>
  <c r="K209" i="160"/>
  <c r="G209" i="160"/>
  <c r="C209" i="160"/>
  <c r="I210" i="160"/>
  <c r="D210" i="160"/>
  <c r="J210" i="160"/>
  <c r="E210" i="160"/>
  <c r="K210" i="160"/>
  <c r="G210" i="160"/>
  <c r="C210" i="160"/>
  <c r="I211" i="160"/>
  <c r="D211" i="160"/>
  <c r="J211" i="160"/>
  <c r="E211" i="160"/>
  <c r="K211" i="160"/>
  <c r="G211" i="160"/>
  <c r="C211" i="160"/>
  <c r="I212" i="160"/>
  <c r="D212" i="160"/>
  <c r="J212" i="160"/>
  <c r="E212" i="160"/>
  <c r="K212" i="160"/>
  <c r="G212" i="160"/>
  <c r="C212" i="160"/>
  <c r="I213" i="160"/>
  <c r="D213" i="160"/>
  <c r="J213" i="160"/>
  <c r="E213" i="160"/>
  <c r="K213" i="160"/>
  <c r="G213" i="160"/>
  <c r="C213" i="160"/>
  <c r="I214" i="160"/>
  <c r="D214" i="160"/>
  <c r="J214" i="160"/>
  <c r="E214" i="160"/>
  <c r="K214" i="160"/>
  <c r="G214" i="160"/>
  <c r="C214" i="160"/>
  <c r="I215" i="160"/>
  <c r="J215" i="160"/>
  <c r="D215" i="160"/>
  <c r="E215" i="160"/>
  <c r="K215" i="160"/>
  <c r="G215" i="160"/>
  <c r="C215" i="160"/>
  <c r="I216" i="160"/>
  <c r="J216" i="160"/>
  <c r="D216" i="160"/>
  <c r="E216" i="160"/>
  <c r="K216" i="160"/>
  <c r="G216" i="160"/>
  <c r="C216" i="160"/>
  <c r="I217" i="160"/>
  <c r="J217" i="160"/>
  <c r="D217" i="160"/>
  <c r="E217" i="160"/>
  <c r="K217" i="160"/>
  <c r="G217" i="160"/>
  <c r="C217" i="160"/>
  <c r="I218" i="160"/>
  <c r="J218" i="160"/>
  <c r="D218" i="160"/>
  <c r="E218" i="160"/>
  <c r="K218" i="160"/>
  <c r="G218" i="160"/>
  <c r="C218" i="160"/>
  <c r="I219" i="160"/>
  <c r="J219" i="160"/>
  <c r="D219" i="160"/>
  <c r="E219" i="160"/>
  <c r="K219" i="160"/>
  <c r="G219" i="160"/>
  <c r="C219" i="160"/>
  <c r="I220" i="160"/>
  <c r="J220" i="160"/>
  <c r="D220" i="160"/>
  <c r="E220" i="160"/>
  <c r="K220" i="160"/>
  <c r="G220" i="160"/>
  <c r="C220" i="160"/>
  <c r="I221" i="160"/>
  <c r="D221" i="160"/>
  <c r="J221" i="160"/>
  <c r="E221" i="160"/>
  <c r="K221" i="160"/>
  <c r="G221" i="160"/>
  <c r="C221" i="160"/>
  <c r="I222" i="160"/>
  <c r="D222" i="160"/>
  <c r="J222" i="160"/>
  <c r="E222" i="160"/>
  <c r="K222" i="160"/>
  <c r="G222" i="160"/>
  <c r="C222" i="160"/>
  <c r="I223" i="160"/>
  <c r="D223" i="160"/>
  <c r="J223" i="160"/>
  <c r="E223" i="160"/>
  <c r="K223" i="160"/>
  <c r="G223" i="160"/>
  <c r="C223" i="160"/>
  <c r="I224" i="160"/>
  <c r="D224" i="160"/>
  <c r="J224" i="160"/>
  <c r="E224" i="160"/>
  <c r="K224" i="160"/>
  <c r="G224" i="160"/>
  <c r="C224" i="160"/>
  <c r="I225" i="160"/>
  <c r="D225" i="160"/>
  <c r="J225" i="160"/>
  <c r="E225" i="160"/>
  <c r="K225" i="160"/>
  <c r="G225" i="160"/>
  <c r="C225" i="160"/>
  <c r="I226" i="160"/>
  <c r="D226" i="160"/>
  <c r="J226" i="160"/>
  <c r="E226" i="160"/>
  <c r="K226" i="160"/>
  <c r="G226" i="160"/>
  <c r="C226" i="160"/>
  <c r="I227" i="160"/>
  <c r="D227" i="160"/>
  <c r="J227" i="160"/>
  <c r="E227" i="160"/>
  <c r="K227" i="160"/>
  <c r="G227" i="160"/>
  <c r="C227" i="160"/>
  <c r="I228" i="160"/>
  <c r="D228" i="160"/>
  <c r="J228" i="160"/>
  <c r="E228" i="160"/>
  <c r="K228" i="160"/>
  <c r="G228" i="160"/>
  <c r="C228" i="160"/>
  <c r="I229" i="160"/>
  <c r="D229" i="160"/>
  <c r="J229" i="160"/>
  <c r="E229" i="160"/>
  <c r="K229" i="160"/>
  <c r="G229" i="160"/>
  <c r="C229" i="160"/>
  <c r="I230" i="160"/>
  <c r="D230" i="160"/>
  <c r="J230" i="160"/>
  <c r="E230" i="160"/>
  <c r="K230" i="160"/>
  <c r="G230" i="160"/>
  <c r="C230" i="160"/>
  <c r="I231" i="160"/>
  <c r="D231" i="160"/>
  <c r="J231" i="160"/>
  <c r="E231" i="160"/>
  <c r="K231" i="160"/>
  <c r="G231" i="160"/>
  <c r="C231" i="160"/>
  <c r="I232" i="160"/>
  <c r="D232" i="160"/>
  <c r="J232" i="160"/>
  <c r="E232" i="160"/>
  <c r="K232" i="160"/>
  <c r="G232" i="160"/>
  <c r="C232" i="160"/>
  <c r="I233" i="160"/>
  <c r="D233" i="160"/>
  <c r="J233" i="160"/>
  <c r="E233" i="160"/>
  <c r="K233" i="160"/>
  <c r="G233" i="160"/>
  <c r="C233" i="160"/>
  <c r="I234" i="160"/>
  <c r="D234" i="160"/>
  <c r="J234" i="160"/>
  <c r="E234" i="160"/>
  <c r="K234" i="160"/>
  <c r="G234" i="160"/>
  <c r="C234" i="160"/>
  <c r="I235" i="160"/>
  <c r="D235" i="160"/>
  <c r="J235" i="160"/>
  <c r="E235" i="160"/>
  <c r="K235" i="160"/>
  <c r="G235" i="160"/>
  <c r="C235" i="160"/>
  <c r="I236" i="160"/>
  <c r="D236" i="160"/>
  <c r="J236" i="160"/>
  <c r="E236" i="160"/>
  <c r="K236" i="160"/>
  <c r="G236" i="160"/>
  <c r="C236" i="160"/>
  <c r="I237" i="160"/>
  <c r="D237" i="160"/>
  <c r="J237" i="160"/>
  <c r="E237" i="160"/>
  <c r="K237" i="160"/>
  <c r="G237" i="160"/>
  <c r="C237" i="160"/>
  <c r="I238" i="160"/>
  <c r="D238" i="160"/>
  <c r="J238" i="160"/>
  <c r="E238" i="160"/>
  <c r="K238" i="160"/>
  <c r="G238" i="160"/>
  <c r="C238" i="160"/>
  <c r="I239" i="160"/>
  <c r="D239" i="160"/>
  <c r="J239" i="160"/>
  <c r="E239" i="160"/>
  <c r="K239" i="160"/>
  <c r="G239" i="160"/>
  <c r="C239" i="160"/>
  <c r="I240" i="160"/>
  <c r="D240" i="160"/>
  <c r="J240" i="160"/>
  <c r="E240" i="160"/>
  <c r="K240" i="160"/>
  <c r="G240" i="160"/>
  <c r="C240" i="160"/>
  <c r="I241" i="160"/>
  <c r="D241" i="160"/>
  <c r="J241" i="160"/>
  <c r="E241" i="160"/>
  <c r="K241" i="160"/>
  <c r="G241" i="160"/>
  <c r="C241" i="160"/>
  <c r="I242" i="160"/>
  <c r="D242" i="160"/>
  <c r="J242" i="160"/>
  <c r="E242" i="160"/>
  <c r="K242" i="160"/>
  <c r="G242" i="160"/>
  <c r="C242" i="160"/>
  <c r="I243" i="160"/>
  <c r="D243" i="160"/>
  <c r="J243" i="160"/>
  <c r="E243" i="160"/>
  <c r="K243" i="160"/>
  <c r="G243" i="160"/>
  <c r="C243" i="160"/>
  <c r="I244" i="160"/>
  <c r="D244" i="160"/>
  <c r="J244" i="160"/>
  <c r="E244" i="160"/>
  <c r="K244" i="160"/>
  <c r="G244" i="160"/>
  <c r="C244" i="160"/>
  <c r="I245" i="160"/>
  <c r="D245" i="160"/>
  <c r="J245" i="160"/>
  <c r="E245" i="160"/>
  <c r="K245" i="160"/>
  <c r="G245" i="160"/>
  <c r="C245" i="160"/>
  <c r="I246" i="160"/>
  <c r="D246" i="160"/>
  <c r="J246" i="160"/>
  <c r="E246" i="160"/>
  <c r="K246" i="160"/>
  <c r="G246" i="160"/>
  <c r="C246" i="160"/>
  <c r="I247" i="160"/>
  <c r="D247" i="160"/>
  <c r="J247" i="160"/>
  <c r="E247" i="160"/>
  <c r="K247" i="160"/>
  <c r="G247" i="160"/>
  <c r="C247" i="160"/>
  <c r="I248" i="160"/>
  <c r="D248" i="160"/>
  <c r="J248" i="160"/>
  <c r="E248" i="160"/>
  <c r="K248" i="160"/>
  <c r="G248" i="160"/>
  <c r="C248" i="160"/>
  <c r="I249" i="160"/>
  <c r="D249" i="160"/>
  <c r="J249" i="160"/>
  <c r="E249" i="160"/>
  <c r="K249" i="160"/>
  <c r="G249" i="160"/>
  <c r="C249" i="160"/>
  <c r="I250" i="160"/>
  <c r="D250" i="160"/>
  <c r="J250" i="160"/>
  <c r="E250" i="160"/>
  <c r="K250" i="160"/>
  <c r="G250" i="160"/>
  <c r="C250" i="160"/>
  <c r="I251" i="160"/>
  <c r="D251" i="160"/>
  <c r="J251" i="160"/>
  <c r="E251" i="160"/>
  <c r="K251" i="160"/>
  <c r="G251" i="160"/>
  <c r="C251" i="160"/>
  <c r="I252" i="160"/>
  <c r="D252" i="160"/>
  <c r="J252" i="160"/>
  <c r="E252" i="160"/>
  <c r="K252" i="160"/>
  <c r="G252" i="160"/>
  <c r="C252" i="160"/>
  <c r="I253" i="160"/>
  <c r="D253" i="160"/>
  <c r="J253" i="160"/>
  <c r="E253" i="160"/>
  <c r="K253" i="160"/>
  <c r="G253" i="160"/>
  <c r="C253" i="160"/>
  <c r="I254" i="160"/>
  <c r="D254" i="160"/>
  <c r="J254" i="160"/>
  <c r="E254" i="160"/>
  <c r="K254" i="160"/>
  <c r="G254" i="160"/>
  <c r="C254" i="160"/>
  <c r="I255" i="160"/>
  <c r="D255" i="160"/>
  <c r="J255" i="160"/>
  <c r="E255" i="160"/>
  <c r="K255" i="160"/>
  <c r="G255" i="160"/>
  <c r="C255" i="160"/>
  <c r="I256" i="160"/>
  <c r="D256" i="160"/>
  <c r="J256" i="160"/>
  <c r="E256" i="160"/>
  <c r="K256" i="160"/>
  <c r="G256" i="160"/>
  <c r="C256" i="160"/>
  <c r="I257" i="160"/>
  <c r="D257" i="160"/>
  <c r="J257" i="160"/>
  <c r="E257" i="160"/>
  <c r="K257" i="160"/>
  <c r="G257" i="160"/>
  <c r="C257" i="160"/>
  <c r="I258" i="160"/>
  <c r="D258" i="160"/>
  <c r="J258" i="160"/>
  <c r="E258" i="160"/>
  <c r="K258" i="160"/>
  <c r="G258" i="160"/>
  <c r="C258" i="160"/>
  <c r="I259" i="160"/>
  <c r="D259" i="160"/>
  <c r="J259" i="160"/>
  <c r="E259" i="160"/>
  <c r="K259" i="160"/>
  <c r="G259" i="160"/>
  <c r="C259" i="160"/>
  <c r="I260" i="160"/>
  <c r="D260" i="160"/>
  <c r="J260" i="160"/>
  <c r="E260" i="160"/>
  <c r="K260" i="160"/>
  <c r="G260" i="160"/>
  <c r="C260" i="160"/>
  <c r="I261" i="160"/>
  <c r="D261" i="160"/>
  <c r="J261" i="160"/>
  <c r="E261" i="160"/>
  <c r="K261" i="160"/>
  <c r="G261" i="160"/>
  <c r="C261" i="160"/>
  <c r="I262" i="160"/>
  <c r="D262" i="160"/>
  <c r="J262" i="160"/>
  <c r="E262" i="160"/>
  <c r="K262" i="160"/>
  <c r="G262" i="160"/>
  <c r="C262" i="160"/>
  <c r="I263" i="160"/>
  <c r="D263" i="160"/>
  <c r="J263" i="160"/>
  <c r="E263" i="160"/>
  <c r="K263" i="160"/>
  <c r="G263" i="160"/>
  <c r="C263" i="160"/>
  <c r="I264" i="160"/>
  <c r="D264" i="160"/>
  <c r="J264" i="160"/>
  <c r="E264" i="160"/>
  <c r="K264" i="160"/>
  <c r="G264" i="160"/>
  <c r="C264" i="160"/>
  <c r="I265" i="160"/>
  <c r="D265" i="160"/>
  <c r="J265" i="160"/>
  <c r="E265" i="160"/>
  <c r="K265" i="160"/>
  <c r="G265" i="160"/>
  <c r="C265" i="160"/>
  <c r="I266" i="160"/>
  <c r="D266" i="160"/>
  <c r="J266" i="160"/>
  <c r="E266" i="160"/>
  <c r="K266" i="160"/>
  <c r="G266" i="160"/>
  <c r="C266" i="160"/>
  <c r="I267" i="160"/>
  <c r="D267" i="160"/>
  <c r="J267" i="160"/>
  <c r="E267" i="160"/>
  <c r="K267" i="160"/>
  <c r="G267" i="160"/>
  <c r="C267" i="160"/>
  <c r="I268" i="160"/>
  <c r="D268" i="160"/>
  <c r="J268" i="160"/>
  <c r="E268" i="160"/>
  <c r="K268" i="160"/>
  <c r="G268" i="160"/>
  <c r="C268" i="160"/>
  <c r="I269" i="160"/>
  <c r="D269" i="160"/>
  <c r="J269" i="160"/>
  <c r="E269" i="160"/>
  <c r="K269" i="160"/>
  <c r="G269" i="160"/>
  <c r="C269" i="160"/>
  <c r="I270" i="160"/>
  <c r="D270" i="160"/>
  <c r="J270" i="160"/>
  <c r="E270" i="160"/>
  <c r="K270" i="160"/>
  <c r="G270" i="160"/>
  <c r="C270" i="160"/>
  <c r="I271" i="160"/>
  <c r="D271" i="160"/>
  <c r="J271" i="160"/>
  <c r="E271" i="160"/>
  <c r="K271" i="160"/>
  <c r="G271" i="160"/>
  <c r="C271" i="160"/>
  <c r="I272" i="160"/>
  <c r="D272" i="160"/>
  <c r="J272" i="160"/>
  <c r="E272" i="160"/>
  <c r="K272" i="160"/>
  <c r="G272" i="160"/>
  <c r="C272" i="160"/>
  <c r="I273" i="160"/>
  <c r="D273" i="160"/>
  <c r="J273" i="160"/>
  <c r="E273" i="160"/>
  <c r="K273" i="160"/>
  <c r="G273" i="160"/>
  <c r="C273" i="160"/>
  <c r="I274" i="160"/>
  <c r="D274" i="160"/>
  <c r="J274" i="160"/>
  <c r="E274" i="160"/>
  <c r="K274" i="160"/>
  <c r="G274" i="160"/>
  <c r="C274" i="160"/>
  <c r="I275" i="160"/>
  <c r="D275" i="160"/>
  <c r="J275" i="160"/>
  <c r="E275" i="160"/>
  <c r="K275" i="160"/>
  <c r="G275" i="160"/>
  <c r="C275" i="160"/>
  <c r="I276" i="160"/>
  <c r="D276" i="160"/>
  <c r="J276" i="160"/>
  <c r="E276" i="160"/>
  <c r="K276" i="160"/>
  <c r="G276" i="160"/>
  <c r="C276" i="160"/>
  <c r="I277" i="160"/>
  <c r="D277" i="160"/>
  <c r="J277" i="160"/>
  <c r="E277" i="160"/>
  <c r="K277" i="160"/>
  <c r="G277" i="160"/>
  <c r="C277" i="160"/>
  <c r="I278" i="160"/>
  <c r="D278" i="160"/>
  <c r="J278" i="160"/>
  <c r="E278" i="160"/>
  <c r="K278" i="160"/>
  <c r="G278" i="160"/>
  <c r="C278" i="160"/>
  <c r="I279" i="160"/>
  <c r="D279" i="160"/>
  <c r="J279" i="160"/>
  <c r="E279" i="160"/>
  <c r="K279" i="160"/>
  <c r="G279" i="160"/>
  <c r="C279" i="160"/>
  <c r="I280" i="160"/>
  <c r="D280" i="160"/>
  <c r="J280" i="160"/>
  <c r="E280" i="160"/>
  <c r="K280" i="160"/>
  <c r="G280" i="160"/>
  <c r="C280" i="160"/>
  <c r="I281" i="160"/>
  <c r="D281" i="160"/>
  <c r="J281" i="160"/>
  <c r="E281" i="160"/>
  <c r="K281" i="160"/>
  <c r="G281" i="160"/>
  <c r="C281" i="160"/>
  <c r="I282" i="160"/>
  <c r="D282" i="160"/>
  <c r="J282" i="160"/>
  <c r="E282" i="160"/>
  <c r="K282" i="160"/>
  <c r="G282" i="160"/>
  <c r="C282" i="160"/>
  <c r="I283" i="160"/>
  <c r="D283" i="160"/>
  <c r="J283" i="160"/>
  <c r="E283" i="160"/>
  <c r="K283" i="160"/>
  <c r="G283" i="160"/>
  <c r="C283" i="160"/>
  <c r="I284" i="160"/>
  <c r="D284" i="160"/>
  <c r="J284" i="160"/>
  <c r="E284" i="160"/>
  <c r="K284" i="160"/>
  <c r="G284" i="160"/>
  <c r="C284" i="160"/>
  <c r="I285" i="160"/>
  <c r="D285" i="160"/>
  <c r="J285" i="160"/>
  <c r="E285" i="160"/>
  <c r="K285" i="160"/>
  <c r="G285" i="160"/>
  <c r="C285" i="160"/>
  <c r="I286" i="160"/>
  <c r="D286" i="160"/>
  <c r="J286" i="160"/>
  <c r="E286" i="160"/>
  <c r="K286" i="160"/>
  <c r="G286" i="160"/>
  <c r="C286" i="160"/>
  <c r="I287" i="160"/>
  <c r="D287" i="160"/>
  <c r="J287" i="160"/>
  <c r="E287" i="160"/>
  <c r="K287" i="160"/>
  <c r="G287" i="160"/>
  <c r="C287" i="160"/>
  <c r="I288" i="160"/>
  <c r="D288" i="160"/>
  <c r="J288" i="160"/>
  <c r="E288" i="160"/>
  <c r="K288" i="160"/>
  <c r="G288" i="160"/>
  <c r="C288" i="160"/>
  <c r="I289" i="160"/>
  <c r="D289" i="160"/>
  <c r="J289" i="160"/>
  <c r="E289" i="160"/>
  <c r="K289" i="160"/>
  <c r="G289" i="160"/>
  <c r="C289" i="160"/>
  <c r="I290" i="160"/>
  <c r="D290" i="160"/>
  <c r="J290" i="160"/>
  <c r="E290" i="160"/>
  <c r="K290" i="160"/>
  <c r="G290" i="160"/>
  <c r="C290" i="160"/>
  <c r="I291" i="160"/>
  <c r="D291" i="160"/>
  <c r="J291" i="160"/>
  <c r="E291" i="160"/>
  <c r="K291" i="160"/>
  <c r="G291" i="160"/>
  <c r="C291" i="160"/>
  <c r="I292" i="160"/>
  <c r="D292" i="160"/>
  <c r="J292" i="160"/>
  <c r="E292" i="160"/>
  <c r="K292" i="160"/>
  <c r="G292" i="160"/>
  <c r="C292" i="160"/>
  <c r="I293" i="160"/>
  <c r="D293" i="160"/>
  <c r="J293" i="160"/>
  <c r="E293" i="160"/>
  <c r="K293" i="160"/>
  <c r="G293" i="160"/>
  <c r="C293" i="160"/>
  <c r="I294" i="160"/>
  <c r="D294" i="160"/>
  <c r="J294" i="160"/>
  <c r="E294" i="160"/>
  <c r="K294" i="160"/>
  <c r="G294" i="160"/>
  <c r="C294" i="160"/>
  <c r="I295" i="160"/>
  <c r="D295" i="160"/>
  <c r="J295" i="160"/>
  <c r="E295" i="160"/>
  <c r="K295" i="160"/>
  <c r="G295" i="160"/>
  <c r="C295" i="160"/>
  <c r="I296" i="160"/>
  <c r="D296" i="160"/>
  <c r="J296" i="160"/>
  <c r="E296" i="160"/>
  <c r="K296" i="160"/>
  <c r="G296" i="160"/>
  <c r="C296" i="160"/>
  <c r="I297" i="160"/>
  <c r="D297" i="160"/>
  <c r="J297" i="160"/>
  <c r="E297" i="160"/>
  <c r="K297" i="160"/>
  <c r="G297" i="160"/>
  <c r="C297" i="160"/>
  <c r="I298" i="160"/>
  <c r="D298" i="160"/>
  <c r="J298" i="160"/>
  <c r="E298" i="160"/>
  <c r="K298" i="160"/>
  <c r="G298" i="160"/>
  <c r="C298" i="160"/>
  <c r="I299" i="160"/>
  <c r="D299" i="160"/>
  <c r="J299" i="160"/>
  <c r="E299" i="160"/>
  <c r="K299" i="160"/>
  <c r="G299" i="160"/>
  <c r="C299" i="160"/>
  <c r="I300" i="160"/>
  <c r="D300" i="160"/>
  <c r="J300" i="160"/>
  <c r="E300" i="160"/>
  <c r="K300" i="160"/>
  <c r="G300" i="160"/>
  <c r="C300" i="160"/>
  <c r="I301" i="160"/>
  <c r="D301" i="160"/>
  <c r="J301" i="160"/>
  <c r="E301" i="160"/>
  <c r="K301" i="160"/>
  <c r="G301" i="160"/>
  <c r="C301" i="160"/>
  <c r="I302" i="160"/>
  <c r="D302" i="160"/>
  <c r="J302" i="160"/>
  <c r="E302" i="160"/>
  <c r="K302" i="160"/>
  <c r="G302" i="160"/>
  <c r="C302" i="160"/>
  <c r="I303" i="160"/>
  <c r="D303" i="160"/>
  <c r="J303" i="160"/>
  <c r="E303" i="160"/>
  <c r="K303" i="160"/>
  <c r="G303" i="160"/>
  <c r="C303" i="160"/>
  <c r="I304" i="160"/>
  <c r="D304" i="160"/>
  <c r="J304" i="160"/>
  <c r="E304" i="160"/>
  <c r="K304" i="160"/>
  <c r="G304" i="160"/>
  <c r="C304" i="160"/>
  <c r="I305" i="160"/>
  <c r="D305" i="160"/>
  <c r="J305" i="160"/>
  <c r="E305" i="160"/>
  <c r="K305" i="160"/>
  <c r="G305" i="160"/>
  <c r="C305" i="160"/>
  <c r="I306" i="160"/>
  <c r="D306" i="160"/>
  <c r="J306" i="160"/>
  <c r="E306" i="160"/>
  <c r="K306" i="160"/>
  <c r="G306" i="160"/>
  <c r="C306" i="160"/>
  <c r="I307" i="160"/>
  <c r="D307" i="160"/>
  <c r="J307" i="160"/>
  <c r="E307" i="160"/>
  <c r="K307" i="160"/>
  <c r="G307" i="160"/>
  <c r="C307" i="160"/>
  <c r="I308" i="160"/>
  <c r="D308" i="160"/>
  <c r="J308" i="160"/>
  <c r="E308" i="160"/>
  <c r="K308" i="160"/>
  <c r="G308" i="160"/>
  <c r="C308" i="160"/>
  <c r="I309" i="160"/>
  <c r="D309" i="160"/>
  <c r="J309" i="160"/>
  <c r="E309" i="160"/>
  <c r="K309" i="160"/>
  <c r="G309" i="160"/>
  <c r="C309" i="160"/>
  <c r="I310" i="160"/>
  <c r="D310" i="160"/>
  <c r="J310" i="160"/>
  <c r="E310" i="160"/>
  <c r="K310" i="160"/>
  <c r="G310" i="160"/>
  <c r="C310" i="160"/>
  <c r="I311" i="160"/>
  <c r="D311" i="160"/>
  <c r="J311" i="160"/>
  <c r="E311" i="160"/>
  <c r="K311" i="160"/>
  <c r="G311" i="160"/>
  <c r="C311" i="160"/>
  <c r="I312" i="160"/>
  <c r="D312" i="160"/>
  <c r="J312" i="160"/>
  <c r="E312" i="160"/>
  <c r="K312" i="160"/>
  <c r="G312" i="160"/>
  <c r="C312" i="160"/>
  <c r="I313" i="160"/>
  <c r="D313" i="160"/>
  <c r="J313" i="160"/>
  <c r="E313" i="160"/>
  <c r="K313" i="160"/>
  <c r="G313" i="160"/>
  <c r="C313" i="160"/>
  <c r="I314" i="160"/>
  <c r="D314" i="160"/>
  <c r="J314" i="160"/>
  <c r="E314" i="160"/>
  <c r="K314" i="160"/>
  <c r="G314" i="160"/>
  <c r="C314" i="160"/>
  <c r="I315" i="160"/>
  <c r="D315" i="160"/>
  <c r="J315" i="160"/>
  <c r="E315" i="160"/>
  <c r="K315" i="160"/>
  <c r="G315" i="160"/>
  <c r="C315" i="160"/>
  <c r="I316" i="160"/>
  <c r="D316" i="160"/>
  <c r="J316" i="160"/>
  <c r="E316" i="160"/>
  <c r="K316" i="160"/>
  <c r="G316" i="160"/>
  <c r="C316" i="160"/>
  <c r="I317" i="160"/>
  <c r="D317" i="160"/>
  <c r="J317" i="160"/>
  <c r="E317" i="160"/>
  <c r="K317" i="160"/>
  <c r="G317" i="160"/>
  <c r="C317" i="160"/>
  <c r="I318" i="160"/>
  <c r="D318" i="160"/>
  <c r="J318" i="160"/>
  <c r="E318" i="160"/>
  <c r="K318" i="160"/>
  <c r="G318" i="160"/>
  <c r="C318" i="160"/>
  <c r="I319" i="160"/>
  <c r="D319" i="160"/>
  <c r="J319" i="160"/>
  <c r="E319" i="160"/>
  <c r="K319" i="160"/>
  <c r="G319" i="160"/>
  <c r="C319" i="160"/>
  <c r="I320" i="160"/>
  <c r="D320" i="160"/>
  <c r="J320" i="160"/>
  <c r="E320" i="160"/>
  <c r="K320" i="160"/>
  <c r="G320" i="160"/>
  <c r="C320" i="160"/>
  <c r="I321" i="160"/>
  <c r="D321" i="160"/>
  <c r="J321" i="160"/>
  <c r="E321" i="160"/>
  <c r="K321" i="160"/>
  <c r="G321" i="160"/>
  <c r="C321" i="160"/>
  <c r="I322" i="160"/>
  <c r="D322" i="160"/>
  <c r="J322" i="160"/>
  <c r="E322" i="160"/>
  <c r="K322" i="160"/>
  <c r="G322" i="160"/>
  <c r="C322" i="160"/>
  <c r="I323" i="160"/>
  <c r="D323" i="160"/>
  <c r="J323" i="160"/>
  <c r="E323" i="160"/>
  <c r="K323" i="160"/>
  <c r="G323" i="160"/>
  <c r="C323" i="160"/>
  <c r="I324" i="160"/>
  <c r="D324" i="160"/>
  <c r="J324" i="160"/>
  <c r="E324" i="160"/>
  <c r="K324" i="160"/>
  <c r="G324" i="160"/>
  <c r="C324" i="160"/>
  <c r="I325" i="160"/>
  <c r="D325" i="160"/>
  <c r="J325" i="160"/>
  <c r="E325" i="160"/>
  <c r="K325" i="160"/>
  <c r="G325" i="160"/>
  <c r="C325" i="160"/>
  <c r="I326" i="160"/>
  <c r="D326" i="160"/>
  <c r="J326" i="160"/>
  <c r="E326" i="160"/>
  <c r="K326" i="160"/>
  <c r="G326" i="160"/>
  <c r="C326" i="160"/>
  <c r="I327" i="160"/>
  <c r="D327" i="160"/>
  <c r="J327" i="160"/>
  <c r="E327" i="160"/>
  <c r="K327" i="160"/>
  <c r="G327" i="160"/>
  <c r="C327" i="160"/>
  <c r="I328" i="160"/>
  <c r="D328" i="160"/>
  <c r="J328" i="160"/>
  <c r="E328" i="160"/>
  <c r="K328" i="160"/>
  <c r="G328" i="160"/>
  <c r="C328" i="160"/>
  <c r="I329" i="160"/>
  <c r="D329" i="160"/>
  <c r="J329" i="160"/>
  <c r="E329" i="160"/>
  <c r="K329" i="160"/>
  <c r="G329" i="160"/>
  <c r="C329" i="160"/>
  <c r="I330" i="160"/>
  <c r="D330" i="160"/>
  <c r="J330" i="160"/>
  <c r="E330" i="160"/>
  <c r="K330" i="160"/>
  <c r="G330" i="160"/>
  <c r="C330" i="160"/>
  <c r="I331" i="160"/>
  <c r="D331" i="160"/>
  <c r="J331" i="160"/>
  <c r="E331" i="160"/>
  <c r="K331" i="160"/>
  <c r="G331" i="160"/>
  <c r="C331" i="160"/>
  <c r="I332" i="160"/>
  <c r="D332" i="160"/>
  <c r="J332" i="160"/>
  <c r="E332" i="160"/>
  <c r="K332" i="160"/>
  <c r="G332" i="160"/>
  <c r="C332" i="160"/>
  <c r="I333" i="160"/>
  <c r="D333" i="160"/>
  <c r="J333" i="160"/>
  <c r="E333" i="160"/>
  <c r="K333" i="160"/>
  <c r="G333" i="160"/>
  <c r="C333" i="160"/>
  <c r="I334" i="160"/>
  <c r="D334" i="160"/>
  <c r="J334" i="160"/>
  <c r="E334" i="160"/>
  <c r="K334" i="160"/>
  <c r="G334" i="160"/>
  <c r="C334" i="160"/>
  <c r="I335" i="160"/>
  <c r="D335" i="160"/>
  <c r="J335" i="160"/>
  <c r="E335" i="160"/>
  <c r="K335" i="160"/>
  <c r="G335" i="160"/>
  <c r="C335" i="160"/>
  <c r="I336" i="160"/>
  <c r="D336" i="160"/>
  <c r="J336" i="160"/>
  <c r="E336" i="160"/>
  <c r="K336" i="160"/>
  <c r="G336" i="160"/>
  <c r="C336" i="160"/>
  <c r="I337" i="160"/>
  <c r="D337" i="160"/>
  <c r="J337" i="160"/>
  <c r="E337" i="160"/>
  <c r="K337" i="160"/>
  <c r="G337" i="160"/>
  <c r="C337" i="160"/>
  <c r="I338" i="160"/>
  <c r="D338" i="160"/>
  <c r="J338" i="160"/>
  <c r="E338" i="160"/>
  <c r="K338" i="160"/>
  <c r="G338" i="160"/>
  <c r="C338" i="160"/>
  <c r="I339" i="160"/>
  <c r="D339" i="160"/>
  <c r="J339" i="160"/>
  <c r="E339" i="160"/>
  <c r="K339" i="160"/>
  <c r="G339" i="160"/>
  <c r="C339" i="160"/>
  <c r="I340" i="160"/>
  <c r="D340" i="160"/>
  <c r="J340" i="160"/>
  <c r="E340" i="160"/>
  <c r="K340" i="160"/>
  <c r="G340" i="160"/>
  <c r="C340" i="160"/>
  <c r="F5" i="159"/>
  <c r="F6" i="159"/>
  <c r="A36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9" i="159"/>
  <c r="B19" i="159"/>
  <c r="E24" i="159"/>
  <c r="B24" i="159"/>
  <c r="B17" i="159"/>
  <c r="G17" i="159"/>
  <c r="E17" i="159"/>
  <c r="H17" i="159"/>
  <c r="O6" i="160"/>
  <c r="E18" i="159"/>
  <c r="B18" i="159"/>
  <c r="G18" i="159"/>
  <c r="H18" i="159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O42" i="160"/>
  <c r="O43" i="160"/>
  <c r="O44" i="160"/>
  <c r="O45" i="160"/>
  <c r="O46" i="160"/>
  <c r="O47" i="160"/>
  <c r="G24" i="159"/>
  <c r="H24" i="159"/>
  <c r="O48" i="160"/>
  <c r="E25" i="159"/>
  <c r="B25" i="159"/>
  <c r="G25" i="159"/>
  <c r="H25" i="159"/>
  <c r="O49" i="160"/>
  <c r="E26" i="159"/>
  <c r="B26" i="159"/>
  <c r="G26" i="159"/>
  <c r="H26" i="159"/>
  <c r="O50" i="160"/>
  <c r="O51" i="160"/>
  <c r="O52" i="160"/>
  <c r="O53" i="160"/>
  <c r="O54" i="160"/>
  <c r="O55" i="160"/>
  <c r="O56" i="160"/>
  <c r="O57" i="160"/>
  <c r="O58" i="160"/>
  <c r="O59" i="160"/>
  <c r="G19" i="159"/>
  <c r="H19" i="159"/>
  <c r="O60" i="160"/>
  <c r="E20" i="159"/>
  <c r="B20" i="159"/>
  <c r="G20" i="159"/>
  <c r="H20" i="159"/>
  <c r="O61" i="160"/>
  <c r="E23" i="159"/>
  <c r="B23" i="159"/>
  <c r="E5" i="159"/>
  <c r="E28" i="159"/>
  <c r="B28" i="159"/>
  <c r="E29" i="159"/>
  <c r="B29" i="159"/>
  <c r="B21" i="159"/>
  <c r="G21" i="159"/>
  <c r="E21" i="159"/>
  <c r="H21" i="159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O138" i="160"/>
  <c r="O139" i="160"/>
  <c r="O140" i="160"/>
  <c r="O141" i="160"/>
  <c r="E27" i="159"/>
  <c r="B27" i="159"/>
  <c r="G27" i="159"/>
  <c r="H27" i="159"/>
  <c r="O142" i="160"/>
  <c r="G28" i="159"/>
  <c r="H28" i="159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G23" i="159"/>
  <c r="H23" i="159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O262" i="160"/>
  <c r="O263" i="160"/>
  <c r="O264" i="160"/>
  <c r="O265" i="160"/>
  <c r="G29" i="159"/>
  <c r="H29" i="159"/>
  <c r="O266" i="160"/>
  <c r="O267" i="160"/>
  <c r="O268" i="160"/>
  <c r="O269" i="160"/>
  <c r="E22" i="159"/>
  <c r="B22" i="159"/>
  <c r="G22" i="159"/>
  <c r="H22" i="159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2" i="160"/>
  <c r="A2" i="157"/>
  <c r="I2" i="158"/>
  <c r="J2" i="158"/>
  <c r="D2" i="158"/>
  <c r="E2" i="158"/>
  <c r="K2" i="158"/>
  <c r="G2" i="158"/>
  <c r="C2" i="158"/>
  <c r="I3" i="158"/>
  <c r="J3" i="158"/>
  <c r="D3" i="158"/>
  <c r="E3" i="158"/>
  <c r="K3" i="158"/>
  <c r="G3" i="158"/>
  <c r="C3" i="158"/>
  <c r="I4" i="158"/>
  <c r="J4" i="158"/>
  <c r="D4" i="158"/>
  <c r="E4" i="158"/>
  <c r="K4" i="158"/>
  <c r="G4" i="158"/>
  <c r="C4" i="158"/>
  <c r="I5" i="158"/>
  <c r="J5" i="158"/>
  <c r="D5" i="158"/>
  <c r="E5" i="158"/>
  <c r="K5" i="158"/>
  <c r="G5" i="158"/>
  <c r="C5" i="158"/>
  <c r="I6" i="158"/>
  <c r="J6" i="158"/>
  <c r="D6" i="158"/>
  <c r="E6" i="158"/>
  <c r="K6" i="158"/>
  <c r="G6" i="158"/>
  <c r="C6" i="158"/>
  <c r="I7" i="158"/>
  <c r="J7" i="158"/>
  <c r="D7" i="158"/>
  <c r="E7" i="158"/>
  <c r="K7" i="158"/>
  <c r="G7" i="158"/>
  <c r="C7" i="158"/>
  <c r="I8" i="158"/>
  <c r="J8" i="158"/>
  <c r="D8" i="158"/>
  <c r="E8" i="158"/>
  <c r="K8" i="158"/>
  <c r="G8" i="158"/>
  <c r="C8" i="158"/>
  <c r="I9" i="158"/>
  <c r="J9" i="158"/>
  <c r="D9" i="158"/>
  <c r="E9" i="158"/>
  <c r="K9" i="158"/>
  <c r="G9" i="158"/>
  <c r="C9" i="158"/>
  <c r="I10" i="158"/>
  <c r="J10" i="158"/>
  <c r="D10" i="158"/>
  <c r="E10" i="158"/>
  <c r="K10" i="158"/>
  <c r="G10" i="158"/>
  <c r="C10" i="158"/>
  <c r="I11" i="158"/>
  <c r="J11" i="158"/>
  <c r="D11" i="158"/>
  <c r="E11" i="158"/>
  <c r="K11" i="158"/>
  <c r="G11" i="158"/>
  <c r="C11" i="158"/>
  <c r="I12" i="158"/>
  <c r="J12" i="158"/>
  <c r="D12" i="158"/>
  <c r="E12" i="158"/>
  <c r="K12" i="158"/>
  <c r="G12" i="158"/>
  <c r="C12" i="158"/>
  <c r="I13" i="158"/>
  <c r="J13" i="158"/>
  <c r="D13" i="158"/>
  <c r="E13" i="158"/>
  <c r="K13" i="158"/>
  <c r="G13" i="158"/>
  <c r="C13" i="158"/>
  <c r="I14" i="158"/>
  <c r="J14" i="158"/>
  <c r="D14" i="158"/>
  <c r="E14" i="158"/>
  <c r="K14" i="158"/>
  <c r="G14" i="158"/>
  <c r="C14" i="158"/>
  <c r="I15" i="158"/>
  <c r="J15" i="158"/>
  <c r="D15" i="158"/>
  <c r="E15" i="158"/>
  <c r="K15" i="158"/>
  <c r="G15" i="158"/>
  <c r="C15" i="158"/>
  <c r="I16" i="158"/>
  <c r="J16" i="158"/>
  <c r="D16" i="158"/>
  <c r="E16" i="158"/>
  <c r="K16" i="158"/>
  <c r="G16" i="158"/>
  <c r="C16" i="158"/>
  <c r="I17" i="158"/>
  <c r="J17" i="158"/>
  <c r="D17" i="158"/>
  <c r="E17" i="158"/>
  <c r="K17" i="158"/>
  <c r="G17" i="158"/>
  <c r="C17" i="158"/>
  <c r="I18" i="158"/>
  <c r="J18" i="158"/>
  <c r="D18" i="158"/>
  <c r="E18" i="158"/>
  <c r="K18" i="158"/>
  <c r="G18" i="158"/>
  <c r="C18" i="158"/>
  <c r="I19" i="158"/>
  <c r="J19" i="158"/>
  <c r="D19" i="158"/>
  <c r="E19" i="158"/>
  <c r="K19" i="158"/>
  <c r="G19" i="158"/>
  <c r="C19" i="158"/>
  <c r="I20" i="158"/>
  <c r="J20" i="158"/>
  <c r="D20" i="158"/>
  <c r="E20" i="158"/>
  <c r="K20" i="158"/>
  <c r="G20" i="158"/>
  <c r="C20" i="158"/>
  <c r="I21" i="158"/>
  <c r="J21" i="158"/>
  <c r="D21" i="158"/>
  <c r="E21" i="158"/>
  <c r="K21" i="158"/>
  <c r="G21" i="158"/>
  <c r="C21" i="158"/>
  <c r="I22" i="158"/>
  <c r="J22" i="158"/>
  <c r="D22" i="158"/>
  <c r="E22" i="158"/>
  <c r="K22" i="158"/>
  <c r="G22" i="158"/>
  <c r="C22" i="158"/>
  <c r="I23" i="158"/>
  <c r="J23" i="158"/>
  <c r="D23" i="158"/>
  <c r="E23" i="158"/>
  <c r="K23" i="158"/>
  <c r="G23" i="158"/>
  <c r="C23" i="158"/>
  <c r="I24" i="158"/>
  <c r="J24" i="158"/>
  <c r="D24" i="158"/>
  <c r="E24" i="158"/>
  <c r="K24" i="158"/>
  <c r="G24" i="158"/>
  <c r="C24" i="158"/>
  <c r="I25" i="158"/>
  <c r="J25" i="158"/>
  <c r="D25" i="158"/>
  <c r="E25" i="158"/>
  <c r="K25" i="158"/>
  <c r="G25" i="158"/>
  <c r="C25" i="158"/>
  <c r="I26" i="158"/>
  <c r="J26" i="158"/>
  <c r="D26" i="158"/>
  <c r="E26" i="158"/>
  <c r="K26" i="158"/>
  <c r="G26" i="158"/>
  <c r="C26" i="158"/>
  <c r="I27" i="158"/>
  <c r="J27" i="158"/>
  <c r="D27" i="158"/>
  <c r="E27" i="158"/>
  <c r="K27" i="158"/>
  <c r="G27" i="158"/>
  <c r="C27" i="158"/>
  <c r="I28" i="158"/>
  <c r="J28" i="158"/>
  <c r="D28" i="158"/>
  <c r="E28" i="158"/>
  <c r="K28" i="158"/>
  <c r="G28" i="158"/>
  <c r="C28" i="158"/>
  <c r="I29" i="158"/>
  <c r="J29" i="158"/>
  <c r="D29" i="158"/>
  <c r="E29" i="158"/>
  <c r="K29" i="158"/>
  <c r="G29" i="158"/>
  <c r="C29" i="158"/>
  <c r="I30" i="158"/>
  <c r="J30" i="158"/>
  <c r="D30" i="158"/>
  <c r="E30" i="158"/>
  <c r="K30" i="158"/>
  <c r="G30" i="158"/>
  <c r="C30" i="158"/>
  <c r="I31" i="158"/>
  <c r="J31" i="158"/>
  <c r="D31" i="158"/>
  <c r="E31" i="158"/>
  <c r="K31" i="158"/>
  <c r="G31" i="158"/>
  <c r="C31" i="158"/>
  <c r="I32" i="158"/>
  <c r="J32" i="158"/>
  <c r="D32" i="158"/>
  <c r="E32" i="158"/>
  <c r="K32" i="158"/>
  <c r="G32" i="158"/>
  <c r="C32" i="158"/>
  <c r="I33" i="158"/>
  <c r="J33" i="158"/>
  <c r="D33" i="158"/>
  <c r="E33" i="158"/>
  <c r="K33" i="158"/>
  <c r="G33" i="158"/>
  <c r="C33" i="158"/>
  <c r="I34" i="158"/>
  <c r="J34" i="158"/>
  <c r="D34" i="158"/>
  <c r="E34" i="158"/>
  <c r="K34" i="158"/>
  <c r="G34" i="158"/>
  <c r="C34" i="158"/>
  <c r="I35" i="158"/>
  <c r="J35" i="158"/>
  <c r="D35" i="158"/>
  <c r="E35" i="158"/>
  <c r="K35" i="158"/>
  <c r="G35" i="158"/>
  <c r="C35" i="158"/>
  <c r="I36" i="158"/>
  <c r="J36" i="158"/>
  <c r="D36" i="158"/>
  <c r="E36" i="158"/>
  <c r="K36" i="158"/>
  <c r="G36" i="158"/>
  <c r="C36" i="158"/>
  <c r="I37" i="158"/>
  <c r="J37" i="158"/>
  <c r="D37" i="158"/>
  <c r="E37" i="158"/>
  <c r="K37" i="158"/>
  <c r="G37" i="158"/>
  <c r="C37" i="158"/>
  <c r="I38" i="158"/>
  <c r="J38" i="158"/>
  <c r="D38" i="158"/>
  <c r="E38" i="158"/>
  <c r="K38" i="158"/>
  <c r="G38" i="158"/>
  <c r="C38" i="158"/>
  <c r="I39" i="158"/>
  <c r="J39" i="158"/>
  <c r="D39" i="158"/>
  <c r="E39" i="158"/>
  <c r="K39" i="158"/>
  <c r="G39" i="158"/>
  <c r="C39" i="158"/>
  <c r="I40" i="158"/>
  <c r="J40" i="158"/>
  <c r="D40" i="158"/>
  <c r="E40" i="158"/>
  <c r="K40" i="158"/>
  <c r="G40" i="158"/>
  <c r="C40" i="158"/>
  <c r="I41" i="158"/>
  <c r="J41" i="158"/>
  <c r="D41" i="158"/>
  <c r="E41" i="158"/>
  <c r="K41" i="158"/>
  <c r="G41" i="158"/>
  <c r="C41" i="158"/>
  <c r="I42" i="158"/>
  <c r="D42" i="158"/>
  <c r="J42" i="158"/>
  <c r="E42" i="158"/>
  <c r="K42" i="158"/>
  <c r="G42" i="158"/>
  <c r="C42" i="158"/>
  <c r="I43" i="158"/>
  <c r="D43" i="158"/>
  <c r="J43" i="158"/>
  <c r="E43" i="158"/>
  <c r="K43" i="158"/>
  <c r="G43" i="158"/>
  <c r="C43" i="158"/>
  <c r="I44" i="158"/>
  <c r="D44" i="158"/>
  <c r="J44" i="158"/>
  <c r="E44" i="158"/>
  <c r="K44" i="158"/>
  <c r="G44" i="158"/>
  <c r="C44" i="158"/>
  <c r="I45" i="158"/>
  <c r="D45" i="158"/>
  <c r="J45" i="158"/>
  <c r="E45" i="158"/>
  <c r="K45" i="158"/>
  <c r="G45" i="158"/>
  <c r="C45" i="158"/>
  <c r="I46" i="158"/>
  <c r="D46" i="158"/>
  <c r="J46" i="158"/>
  <c r="E46" i="158"/>
  <c r="K46" i="158"/>
  <c r="G46" i="158"/>
  <c r="C46" i="158"/>
  <c r="I47" i="158"/>
  <c r="D47" i="158"/>
  <c r="J47" i="158"/>
  <c r="E47" i="158"/>
  <c r="K47" i="158"/>
  <c r="G47" i="158"/>
  <c r="C47" i="158"/>
  <c r="I48" i="158"/>
  <c r="D48" i="158"/>
  <c r="J48" i="158"/>
  <c r="E48" i="158"/>
  <c r="K48" i="158"/>
  <c r="G48" i="158"/>
  <c r="C48" i="158"/>
  <c r="I49" i="158"/>
  <c r="D49" i="158"/>
  <c r="J49" i="158"/>
  <c r="E49" i="158"/>
  <c r="K49" i="158"/>
  <c r="G49" i="158"/>
  <c r="C49" i="158"/>
  <c r="I50" i="158"/>
  <c r="D50" i="158"/>
  <c r="J50" i="158"/>
  <c r="E50" i="158"/>
  <c r="K50" i="158"/>
  <c r="G50" i="158"/>
  <c r="C50" i="158"/>
  <c r="I51" i="158"/>
  <c r="D51" i="158"/>
  <c r="J51" i="158"/>
  <c r="E51" i="158"/>
  <c r="K51" i="158"/>
  <c r="G51" i="158"/>
  <c r="C51" i="158"/>
  <c r="I52" i="158"/>
  <c r="D52" i="158"/>
  <c r="J52" i="158"/>
  <c r="E52" i="158"/>
  <c r="K52" i="158"/>
  <c r="G52" i="158"/>
  <c r="C52" i="158"/>
  <c r="I53" i="158"/>
  <c r="D53" i="158"/>
  <c r="J53" i="158"/>
  <c r="E53" i="158"/>
  <c r="K53" i="158"/>
  <c r="G53" i="158"/>
  <c r="C53" i="158"/>
  <c r="I54" i="158"/>
  <c r="D54" i="158"/>
  <c r="J54" i="158"/>
  <c r="E54" i="158"/>
  <c r="K54" i="158"/>
  <c r="G54" i="158"/>
  <c r="C54" i="158"/>
  <c r="I55" i="158"/>
  <c r="D55" i="158"/>
  <c r="J55" i="158"/>
  <c r="E55" i="158"/>
  <c r="K55" i="158"/>
  <c r="G55" i="158"/>
  <c r="C55" i="158"/>
  <c r="I56" i="158"/>
  <c r="D56" i="158"/>
  <c r="J56" i="158"/>
  <c r="E56" i="158"/>
  <c r="K56" i="158"/>
  <c r="G56" i="158"/>
  <c r="C56" i="158"/>
  <c r="I57" i="158"/>
  <c r="D57" i="158"/>
  <c r="J57" i="158"/>
  <c r="E57" i="158"/>
  <c r="K57" i="158"/>
  <c r="G57" i="158"/>
  <c r="C57" i="158"/>
  <c r="I58" i="158"/>
  <c r="D58" i="158"/>
  <c r="J58" i="158"/>
  <c r="E58" i="158"/>
  <c r="K58" i="158"/>
  <c r="G58" i="158"/>
  <c r="C58" i="158"/>
  <c r="I59" i="158"/>
  <c r="D59" i="158"/>
  <c r="J59" i="158"/>
  <c r="E59" i="158"/>
  <c r="K59" i="158"/>
  <c r="G59" i="158"/>
  <c r="C59" i="158"/>
  <c r="I60" i="158"/>
  <c r="D60" i="158"/>
  <c r="J60" i="158"/>
  <c r="E60" i="158"/>
  <c r="K60" i="158"/>
  <c r="G60" i="158"/>
  <c r="C60" i="158"/>
  <c r="I61" i="158"/>
  <c r="D61" i="158"/>
  <c r="J61" i="158"/>
  <c r="E61" i="158"/>
  <c r="K61" i="158"/>
  <c r="G61" i="158"/>
  <c r="C61" i="158"/>
  <c r="I62" i="158"/>
  <c r="D62" i="158"/>
  <c r="J62" i="158"/>
  <c r="E62" i="158"/>
  <c r="K62" i="158"/>
  <c r="G62" i="158"/>
  <c r="C62" i="158"/>
  <c r="I63" i="158"/>
  <c r="D63" i="158"/>
  <c r="J63" i="158"/>
  <c r="E63" i="158"/>
  <c r="K63" i="158"/>
  <c r="G63" i="158"/>
  <c r="C63" i="158"/>
  <c r="I64" i="158"/>
  <c r="D64" i="158"/>
  <c r="J64" i="158"/>
  <c r="E64" i="158"/>
  <c r="K64" i="158"/>
  <c r="G64" i="158"/>
  <c r="C64" i="158"/>
  <c r="I65" i="158"/>
  <c r="D65" i="158"/>
  <c r="J65" i="158"/>
  <c r="E65" i="158"/>
  <c r="K65" i="158"/>
  <c r="G65" i="158"/>
  <c r="C65" i="158"/>
  <c r="I66" i="158"/>
  <c r="D66" i="158"/>
  <c r="J66" i="158"/>
  <c r="E66" i="158"/>
  <c r="K66" i="158"/>
  <c r="G66" i="158"/>
  <c r="C66" i="158"/>
  <c r="I67" i="158"/>
  <c r="D67" i="158"/>
  <c r="J67" i="158"/>
  <c r="E67" i="158"/>
  <c r="K67" i="158"/>
  <c r="G67" i="158"/>
  <c r="C67" i="158"/>
  <c r="I68" i="158"/>
  <c r="D68" i="158"/>
  <c r="J68" i="158"/>
  <c r="E68" i="158"/>
  <c r="K68" i="158"/>
  <c r="G68" i="158"/>
  <c r="C68" i="158"/>
  <c r="I69" i="158"/>
  <c r="D69" i="158"/>
  <c r="J69" i="158"/>
  <c r="E69" i="158"/>
  <c r="K69" i="158"/>
  <c r="G69" i="158"/>
  <c r="C69" i="158"/>
  <c r="I70" i="158"/>
  <c r="D70" i="158"/>
  <c r="J70" i="158"/>
  <c r="E70" i="158"/>
  <c r="K70" i="158"/>
  <c r="G70" i="158"/>
  <c r="C70" i="158"/>
  <c r="I71" i="158"/>
  <c r="D71" i="158"/>
  <c r="J71" i="158"/>
  <c r="E71" i="158"/>
  <c r="K71" i="158"/>
  <c r="G71" i="158"/>
  <c r="C71" i="158"/>
  <c r="I72" i="158"/>
  <c r="D72" i="158"/>
  <c r="J72" i="158"/>
  <c r="E72" i="158"/>
  <c r="K72" i="158"/>
  <c r="G72" i="158"/>
  <c r="C72" i="158"/>
  <c r="I73" i="158"/>
  <c r="D73" i="158"/>
  <c r="J73" i="158"/>
  <c r="E73" i="158"/>
  <c r="K73" i="158"/>
  <c r="G73" i="158"/>
  <c r="C73" i="158"/>
  <c r="I74" i="158"/>
  <c r="D74" i="158"/>
  <c r="J74" i="158"/>
  <c r="E74" i="158"/>
  <c r="K74" i="158"/>
  <c r="G74" i="158"/>
  <c r="C74" i="158"/>
  <c r="I75" i="158"/>
  <c r="D75" i="158"/>
  <c r="J75" i="158"/>
  <c r="E75" i="158"/>
  <c r="K75" i="158"/>
  <c r="G75" i="158"/>
  <c r="C75" i="158"/>
  <c r="I76" i="158"/>
  <c r="D76" i="158"/>
  <c r="J76" i="158"/>
  <c r="E76" i="158"/>
  <c r="K76" i="158"/>
  <c r="G76" i="158"/>
  <c r="C76" i="158"/>
  <c r="I77" i="158"/>
  <c r="D77" i="158"/>
  <c r="J77" i="158"/>
  <c r="E77" i="158"/>
  <c r="K77" i="158"/>
  <c r="G77" i="158"/>
  <c r="C77" i="158"/>
  <c r="I78" i="158"/>
  <c r="D78" i="158"/>
  <c r="J78" i="158"/>
  <c r="E78" i="158"/>
  <c r="K78" i="158"/>
  <c r="G78" i="158"/>
  <c r="C78" i="158"/>
  <c r="I79" i="158"/>
  <c r="D79" i="158"/>
  <c r="J79" i="158"/>
  <c r="E79" i="158"/>
  <c r="K79" i="158"/>
  <c r="G79" i="158"/>
  <c r="C79" i="158"/>
  <c r="I80" i="158"/>
  <c r="D80" i="158"/>
  <c r="J80" i="158"/>
  <c r="E80" i="158"/>
  <c r="K80" i="158"/>
  <c r="G80" i="158"/>
  <c r="C80" i="158"/>
  <c r="I81" i="158"/>
  <c r="D81" i="158"/>
  <c r="J81" i="158"/>
  <c r="E81" i="158"/>
  <c r="K81" i="158"/>
  <c r="G81" i="158"/>
  <c r="C81" i="158"/>
  <c r="I82" i="158"/>
  <c r="D82" i="158"/>
  <c r="J82" i="158"/>
  <c r="E82" i="158"/>
  <c r="K82" i="158"/>
  <c r="G82" i="158"/>
  <c r="C82" i="158"/>
  <c r="I83" i="158"/>
  <c r="D83" i="158"/>
  <c r="J83" i="158"/>
  <c r="E83" i="158"/>
  <c r="K83" i="158"/>
  <c r="G83" i="158"/>
  <c r="C83" i="158"/>
  <c r="I84" i="158"/>
  <c r="D84" i="158"/>
  <c r="J84" i="158"/>
  <c r="E84" i="158"/>
  <c r="K84" i="158"/>
  <c r="G84" i="158"/>
  <c r="C84" i="158"/>
  <c r="I85" i="158"/>
  <c r="D85" i="158"/>
  <c r="J85" i="158"/>
  <c r="E85" i="158"/>
  <c r="K85" i="158"/>
  <c r="G85" i="158"/>
  <c r="C85" i="158"/>
  <c r="I86" i="158"/>
  <c r="D86" i="158"/>
  <c r="J86" i="158"/>
  <c r="E86" i="158"/>
  <c r="K86" i="158"/>
  <c r="G86" i="158"/>
  <c r="C86" i="158"/>
  <c r="I87" i="158"/>
  <c r="D87" i="158"/>
  <c r="J87" i="158"/>
  <c r="E87" i="158"/>
  <c r="K87" i="158"/>
  <c r="G87" i="158"/>
  <c r="C87" i="158"/>
  <c r="I88" i="158"/>
  <c r="D88" i="158"/>
  <c r="J88" i="158"/>
  <c r="E88" i="158"/>
  <c r="K88" i="158"/>
  <c r="G88" i="158"/>
  <c r="C88" i="158"/>
  <c r="I89" i="158"/>
  <c r="D89" i="158"/>
  <c r="J89" i="158"/>
  <c r="E89" i="158"/>
  <c r="K89" i="158"/>
  <c r="G89" i="158"/>
  <c r="C89" i="158"/>
  <c r="I90" i="158"/>
  <c r="D90" i="158"/>
  <c r="J90" i="158"/>
  <c r="E90" i="158"/>
  <c r="K90" i="158"/>
  <c r="G90" i="158"/>
  <c r="C90" i="158"/>
  <c r="I91" i="158"/>
  <c r="D91" i="158"/>
  <c r="J91" i="158"/>
  <c r="E91" i="158"/>
  <c r="K91" i="158"/>
  <c r="G91" i="158"/>
  <c r="C91" i="158"/>
  <c r="I92" i="158"/>
  <c r="D92" i="158"/>
  <c r="J92" i="158"/>
  <c r="E92" i="158"/>
  <c r="K92" i="158"/>
  <c r="G92" i="158"/>
  <c r="C92" i="158"/>
  <c r="I93" i="158"/>
  <c r="D93" i="158"/>
  <c r="J93" i="158"/>
  <c r="E93" i="158"/>
  <c r="K93" i="158"/>
  <c r="G93" i="158"/>
  <c r="C93" i="158"/>
  <c r="I94" i="158"/>
  <c r="D94" i="158"/>
  <c r="J94" i="158"/>
  <c r="E94" i="158"/>
  <c r="K94" i="158"/>
  <c r="G94" i="158"/>
  <c r="C94" i="158"/>
  <c r="I95" i="158"/>
  <c r="D95" i="158"/>
  <c r="J95" i="158"/>
  <c r="E95" i="158"/>
  <c r="K95" i="158"/>
  <c r="G95" i="158"/>
  <c r="C95" i="158"/>
  <c r="I96" i="158"/>
  <c r="D96" i="158"/>
  <c r="J96" i="158"/>
  <c r="E96" i="158"/>
  <c r="K96" i="158"/>
  <c r="G96" i="158"/>
  <c r="C96" i="158"/>
  <c r="I97" i="158"/>
  <c r="D97" i="158"/>
  <c r="J97" i="158"/>
  <c r="E97" i="158"/>
  <c r="K97" i="158"/>
  <c r="G97" i="158"/>
  <c r="C97" i="158"/>
  <c r="I98" i="158"/>
  <c r="D98" i="158"/>
  <c r="J98" i="158"/>
  <c r="E98" i="158"/>
  <c r="K98" i="158"/>
  <c r="G98" i="158"/>
  <c r="C98" i="158"/>
  <c r="I99" i="158"/>
  <c r="D99" i="158"/>
  <c r="J99" i="158"/>
  <c r="E99" i="158"/>
  <c r="K99" i="158"/>
  <c r="G99" i="158"/>
  <c r="C99" i="158"/>
  <c r="I100" i="158"/>
  <c r="D100" i="158"/>
  <c r="J100" i="158"/>
  <c r="E100" i="158"/>
  <c r="K100" i="158"/>
  <c r="G100" i="158"/>
  <c r="C100" i="158"/>
  <c r="I101" i="158"/>
  <c r="D101" i="158"/>
  <c r="J101" i="158"/>
  <c r="E101" i="158"/>
  <c r="K101" i="158"/>
  <c r="G101" i="158"/>
  <c r="C101" i="158"/>
  <c r="I102" i="158"/>
  <c r="D102" i="158"/>
  <c r="J102" i="158"/>
  <c r="E102" i="158"/>
  <c r="K102" i="158"/>
  <c r="G102" i="158"/>
  <c r="C102" i="158"/>
  <c r="I103" i="158"/>
  <c r="D103" i="158"/>
  <c r="J103" i="158"/>
  <c r="E103" i="158"/>
  <c r="K103" i="158"/>
  <c r="G103" i="158"/>
  <c r="C103" i="158"/>
  <c r="I104" i="158"/>
  <c r="D104" i="158"/>
  <c r="J104" i="158"/>
  <c r="E104" i="158"/>
  <c r="K104" i="158"/>
  <c r="G104" i="158"/>
  <c r="C104" i="158"/>
  <c r="I105" i="158"/>
  <c r="D105" i="158"/>
  <c r="J105" i="158"/>
  <c r="E105" i="158"/>
  <c r="K105" i="158"/>
  <c r="G105" i="158"/>
  <c r="C105" i="158"/>
  <c r="I106" i="158"/>
  <c r="D106" i="158"/>
  <c r="J106" i="158"/>
  <c r="E106" i="158"/>
  <c r="K106" i="158"/>
  <c r="G106" i="158"/>
  <c r="C106" i="158"/>
  <c r="I107" i="158"/>
  <c r="D107" i="158"/>
  <c r="J107" i="158"/>
  <c r="E107" i="158"/>
  <c r="K107" i="158"/>
  <c r="G107" i="158"/>
  <c r="C107" i="158"/>
  <c r="I108" i="158"/>
  <c r="D108" i="158"/>
  <c r="J108" i="158"/>
  <c r="E108" i="158"/>
  <c r="K108" i="158"/>
  <c r="G108" i="158"/>
  <c r="C108" i="158"/>
  <c r="I109" i="158"/>
  <c r="D109" i="158"/>
  <c r="J109" i="158"/>
  <c r="E109" i="158"/>
  <c r="K109" i="158"/>
  <c r="G109" i="158"/>
  <c r="C109" i="158"/>
  <c r="I110" i="158"/>
  <c r="D110" i="158"/>
  <c r="J110" i="158"/>
  <c r="E110" i="158"/>
  <c r="K110" i="158"/>
  <c r="G110" i="158"/>
  <c r="C110" i="158"/>
  <c r="I111" i="158"/>
  <c r="D111" i="158"/>
  <c r="J111" i="158"/>
  <c r="E111" i="158"/>
  <c r="K111" i="158"/>
  <c r="G111" i="158"/>
  <c r="C111" i="158"/>
  <c r="I112" i="158"/>
  <c r="D112" i="158"/>
  <c r="J112" i="158"/>
  <c r="E112" i="158"/>
  <c r="K112" i="158"/>
  <c r="G112" i="158"/>
  <c r="C112" i="158"/>
  <c r="I113" i="158"/>
  <c r="D113" i="158"/>
  <c r="J113" i="158"/>
  <c r="E113" i="158"/>
  <c r="K113" i="158"/>
  <c r="G113" i="158"/>
  <c r="C113" i="158"/>
  <c r="I114" i="158"/>
  <c r="D114" i="158"/>
  <c r="J114" i="158"/>
  <c r="E114" i="158"/>
  <c r="K114" i="158"/>
  <c r="G114" i="158"/>
  <c r="C114" i="158"/>
  <c r="I115" i="158"/>
  <c r="D115" i="158"/>
  <c r="J115" i="158"/>
  <c r="E115" i="158"/>
  <c r="K115" i="158"/>
  <c r="G115" i="158"/>
  <c r="C115" i="158"/>
  <c r="I116" i="158"/>
  <c r="D116" i="158"/>
  <c r="J116" i="158"/>
  <c r="E116" i="158"/>
  <c r="K116" i="158"/>
  <c r="G116" i="158"/>
  <c r="C116" i="158"/>
  <c r="I117" i="158"/>
  <c r="D117" i="158"/>
  <c r="J117" i="158"/>
  <c r="E117" i="158"/>
  <c r="K117" i="158"/>
  <c r="G117" i="158"/>
  <c r="C117" i="158"/>
  <c r="I118" i="158"/>
  <c r="D118" i="158"/>
  <c r="J118" i="158"/>
  <c r="E118" i="158"/>
  <c r="K118" i="158"/>
  <c r="G118" i="158"/>
  <c r="C118" i="158"/>
  <c r="I119" i="158"/>
  <c r="D119" i="158"/>
  <c r="J119" i="158"/>
  <c r="E119" i="158"/>
  <c r="K119" i="158"/>
  <c r="G119" i="158"/>
  <c r="C119" i="158"/>
  <c r="I120" i="158"/>
  <c r="D120" i="158"/>
  <c r="J120" i="158"/>
  <c r="E120" i="158"/>
  <c r="K120" i="158"/>
  <c r="G120" i="158"/>
  <c r="C120" i="158"/>
  <c r="I121" i="158"/>
  <c r="D121" i="158"/>
  <c r="J121" i="158"/>
  <c r="E121" i="158"/>
  <c r="K121" i="158"/>
  <c r="G121" i="158"/>
  <c r="C121" i="158"/>
  <c r="I122" i="158"/>
  <c r="D122" i="158"/>
  <c r="J122" i="158"/>
  <c r="E122" i="158"/>
  <c r="K122" i="158"/>
  <c r="G122" i="158"/>
  <c r="C122" i="158"/>
  <c r="I123" i="158"/>
  <c r="D123" i="158"/>
  <c r="J123" i="158"/>
  <c r="E123" i="158"/>
  <c r="K123" i="158"/>
  <c r="G123" i="158"/>
  <c r="C123" i="158"/>
  <c r="I124" i="158"/>
  <c r="D124" i="158"/>
  <c r="J124" i="158"/>
  <c r="E124" i="158"/>
  <c r="K124" i="158"/>
  <c r="G124" i="158"/>
  <c r="C124" i="158"/>
  <c r="I125" i="158"/>
  <c r="D125" i="158"/>
  <c r="J125" i="158"/>
  <c r="E125" i="158"/>
  <c r="K125" i="158"/>
  <c r="G125" i="158"/>
  <c r="C125" i="158"/>
  <c r="I126" i="158"/>
  <c r="D126" i="158"/>
  <c r="J126" i="158"/>
  <c r="E126" i="158"/>
  <c r="K126" i="158"/>
  <c r="G126" i="158"/>
  <c r="C126" i="158"/>
  <c r="I127" i="158"/>
  <c r="D127" i="158"/>
  <c r="J127" i="158"/>
  <c r="E127" i="158"/>
  <c r="K127" i="158"/>
  <c r="G127" i="158"/>
  <c r="C127" i="158"/>
  <c r="I128" i="158"/>
  <c r="D128" i="158"/>
  <c r="J128" i="158"/>
  <c r="E128" i="158"/>
  <c r="K128" i="158"/>
  <c r="G128" i="158"/>
  <c r="C128" i="158"/>
  <c r="I129" i="158"/>
  <c r="D129" i="158"/>
  <c r="J129" i="158"/>
  <c r="E129" i="158"/>
  <c r="K129" i="158"/>
  <c r="G129" i="158"/>
  <c r="C129" i="158"/>
  <c r="I130" i="158"/>
  <c r="D130" i="158"/>
  <c r="J130" i="158"/>
  <c r="E130" i="158"/>
  <c r="K130" i="158"/>
  <c r="G130" i="158"/>
  <c r="C130" i="158"/>
  <c r="I131" i="158"/>
  <c r="D131" i="158"/>
  <c r="J131" i="158"/>
  <c r="E131" i="158"/>
  <c r="K131" i="158"/>
  <c r="G131" i="158"/>
  <c r="C131" i="158"/>
  <c r="I132" i="158"/>
  <c r="D132" i="158"/>
  <c r="J132" i="158"/>
  <c r="E132" i="158"/>
  <c r="K132" i="158"/>
  <c r="G132" i="158"/>
  <c r="C132" i="158"/>
  <c r="I133" i="158"/>
  <c r="D133" i="158"/>
  <c r="J133" i="158"/>
  <c r="E133" i="158"/>
  <c r="K133" i="158"/>
  <c r="G133" i="158"/>
  <c r="C133" i="158"/>
  <c r="I134" i="158"/>
  <c r="D134" i="158"/>
  <c r="J134" i="158"/>
  <c r="E134" i="158"/>
  <c r="K134" i="158"/>
  <c r="G134" i="158"/>
  <c r="C134" i="158"/>
  <c r="I135" i="158"/>
  <c r="D135" i="158"/>
  <c r="J135" i="158"/>
  <c r="E135" i="158"/>
  <c r="K135" i="158"/>
  <c r="G135" i="158"/>
  <c r="C135" i="158"/>
  <c r="I136" i="158"/>
  <c r="D136" i="158"/>
  <c r="J136" i="158"/>
  <c r="E136" i="158"/>
  <c r="K136" i="158"/>
  <c r="G136" i="158"/>
  <c r="C136" i="158"/>
  <c r="I137" i="158"/>
  <c r="D137" i="158"/>
  <c r="J137" i="158"/>
  <c r="E137" i="158"/>
  <c r="K137" i="158"/>
  <c r="G137" i="158"/>
  <c r="C137" i="158"/>
  <c r="I138" i="158"/>
  <c r="D138" i="158"/>
  <c r="J138" i="158"/>
  <c r="E138" i="158"/>
  <c r="K138" i="158"/>
  <c r="G138" i="158"/>
  <c r="C138" i="158"/>
  <c r="I139" i="158"/>
  <c r="D139" i="158"/>
  <c r="J139" i="158"/>
  <c r="E139" i="158"/>
  <c r="K139" i="158"/>
  <c r="G139" i="158"/>
  <c r="C139" i="158"/>
  <c r="I140" i="158"/>
  <c r="D140" i="158"/>
  <c r="J140" i="158"/>
  <c r="E140" i="158"/>
  <c r="K140" i="158"/>
  <c r="G140" i="158"/>
  <c r="C140" i="158"/>
  <c r="I141" i="158"/>
  <c r="D141" i="158"/>
  <c r="J141" i="158"/>
  <c r="E141" i="158"/>
  <c r="K141" i="158"/>
  <c r="G141" i="158"/>
  <c r="C141" i="158"/>
  <c r="I142" i="158"/>
  <c r="D142" i="158"/>
  <c r="J142" i="158"/>
  <c r="E142" i="158"/>
  <c r="K142" i="158"/>
  <c r="G142" i="158"/>
  <c r="C142" i="158"/>
  <c r="I143" i="158"/>
  <c r="D143" i="158"/>
  <c r="J143" i="158"/>
  <c r="E143" i="158"/>
  <c r="K143" i="158"/>
  <c r="G143" i="158"/>
  <c r="C143" i="158"/>
  <c r="I144" i="158"/>
  <c r="D144" i="158"/>
  <c r="J144" i="158"/>
  <c r="E144" i="158"/>
  <c r="K144" i="158"/>
  <c r="G144" i="158"/>
  <c r="C144" i="158"/>
  <c r="I145" i="158"/>
  <c r="D145" i="158"/>
  <c r="J145" i="158"/>
  <c r="E145" i="158"/>
  <c r="K145" i="158"/>
  <c r="G145" i="158"/>
  <c r="C145" i="158"/>
  <c r="I146" i="158"/>
  <c r="D146" i="158"/>
  <c r="J146" i="158"/>
  <c r="E146" i="158"/>
  <c r="K146" i="158"/>
  <c r="G146" i="158"/>
  <c r="C146" i="158"/>
  <c r="I147" i="158"/>
  <c r="D147" i="158"/>
  <c r="J147" i="158"/>
  <c r="E147" i="158"/>
  <c r="K147" i="158"/>
  <c r="G147" i="158"/>
  <c r="C147" i="158"/>
  <c r="I148" i="158"/>
  <c r="D148" i="158"/>
  <c r="J148" i="158"/>
  <c r="E148" i="158"/>
  <c r="K148" i="158"/>
  <c r="G148" i="158"/>
  <c r="C148" i="158"/>
  <c r="I149" i="158"/>
  <c r="D149" i="158"/>
  <c r="J149" i="158"/>
  <c r="E149" i="158"/>
  <c r="K149" i="158"/>
  <c r="G149" i="158"/>
  <c r="C149" i="158"/>
  <c r="I150" i="158"/>
  <c r="D150" i="158"/>
  <c r="J150" i="158"/>
  <c r="E150" i="158"/>
  <c r="K150" i="158"/>
  <c r="G150" i="158"/>
  <c r="C150" i="158"/>
  <c r="I151" i="158"/>
  <c r="D151" i="158"/>
  <c r="J151" i="158"/>
  <c r="E151" i="158"/>
  <c r="K151" i="158"/>
  <c r="G151" i="158"/>
  <c r="C151" i="158"/>
  <c r="I152" i="158"/>
  <c r="D152" i="158"/>
  <c r="J152" i="158"/>
  <c r="E152" i="158"/>
  <c r="K152" i="158"/>
  <c r="G152" i="158"/>
  <c r="C152" i="158"/>
  <c r="I153" i="158"/>
  <c r="D153" i="158"/>
  <c r="J153" i="158"/>
  <c r="E153" i="158"/>
  <c r="K153" i="158"/>
  <c r="G153" i="158"/>
  <c r="C153" i="158"/>
  <c r="I154" i="158"/>
  <c r="D154" i="158"/>
  <c r="J154" i="158"/>
  <c r="E154" i="158"/>
  <c r="K154" i="158"/>
  <c r="G154" i="158"/>
  <c r="C154" i="158"/>
  <c r="I155" i="158"/>
  <c r="D155" i="158"/>
  <c r="J155" i="158"/>
  <c r="E155" i="158"/>
  <c r="K155" i="158"/>
  <c r="G155" i="158"/>
  <c r="C155" i="158"/>
  <c r="I156" i="158"/>
  <c r="D156" i="158"/>
  <c r="J156" i="158"/>
  <c r="E156" i="158"/>
  <c r="K156" i="158"/>
  <c r="G156" i="158"/>
  <c r="C156" i="158"/>
  <c r="I157" i="158"/>
  <c r="D157" i="158"/>
  <c r="J157" i="158"/>
  <c r="E157" i="158"/>
  <c r="K157" i="158"/>
  <c r="G157" i="158"/>
  <c r="C157" i="158"/>
  <c r="I158" i="158"/>
  <c r="D158" i="158"/>
  <c r="J158" i="158"/>
  <c r="E158" i="158"/>
  <c r="K158" i="158"/>
  <c r="G158" i="158"/>
  <c r="C158" i="158"/>
  <c r="I159" i="158"/>
  <c r="D159" i="158"/>
  <c r="J159" i="158"/>
  <c r="E159" i="158"/>
  <c r="K159" i="158"/>
  <c r="G159" i="158"/>
  <c r="C159" i="158"/>
  <c r="I160" i="158"/>
  <c r="D160" i="158"/>
  <c r="J160" i="158"/>
  <c r="E160" i="158"/>
  <c r="K160" i="158"/>
  <c r="G160" i="158"/>
  <c r="C160" i="158"/>
  <c r="I161" i="158"/>
  <c r="D161" i="158"/>
  <c r="J161" i="158"/>
  <c r="E161" i="158"/>
  <c r="K161" i="158"/>
  <c r="G161" i="158"/>
  <c r="C161" i="158"/>
  <c r="I162" i="158"/>
  <c r="D162" i="158"/>
  <c r="J162" i="158"/>
  <c r="E162" i="158"/>
  <c r="K162" i="158"/>
  <c r="G162" i="158"/>
  <c r="C162" i="158"/>
  <c r="I163" i="158"/>
  <c r="D163" i="158"/>
  <c r="J163" i="158"/>
  <c r="E163" i="158"/>
  <c r="K163" i="158"/>
  <c r="G163" i="158"/>
  <c r="C163" i="158"/>
  <c r="I164" i="158"/>
  <c r="D164" i="158"/>
  <c r="J164" i="158"/>
  <c r="E164" i="158"/>
  <c r="K164" i="158"/>
  <c r="G164" i="158"/>
  <c r="C164" i="158"/>
  <c r="I165" i="158"/>
  <c r="D165" i="158"/>
  <c r="J165" i="158"/>
  <c r="E165" i="158"/>
  <c r="K165" i="158"/>
  <c r="G165" i="158"/>
  <c r="C165" i="158"/>
  <c r="I166" i="158"/>
  <c r="D166" i="158"/>
  <c r="J166" i="158"/>
  <c r="E166" i="158"/>
  <c r="K166" i="158"/>
  <c r="G166" i="158"/>
  <c r="C166" i="158"/>
  <c r="I167" i="158"/>
  <c r="D167" i="158"/>
  <c r="J167" i="158"/>
  <c r="E167" i="158"/>
  <c r="K167" i="158"/>
  <c r="G167" i="158"/>
  <c r="C167" i="158"/>
  <c r="I168" i="158"/>
  <c r="D168" i="158"/>
  <c r="J168" i="158"/>
  <c r="E168" i="158"/>
  <c r="K168" i="158"/>
  <c r="G168" i="158"/>
  <c r="C168" i="158"/>
  <c r="I169" i="158"/>
  <c r="D169" i="158"/>
  <c r="J169" i="158"/>
  <c r="E169" i="158"/>
  <c r="K169" i="158"/>
  <c r="G169" i="158"/>
  <c r="C169" i="158"/>
  <c r="I170" i="158"/>
  <c r="D170" i="158"/>
  <c r="J170" i="158"/>
  <c r="E170" i="158"/>
  <c r="K170" i="158"/>
  <c r="G170" i="158"/>
  <c r="C170" i="158"/>
  <c r="I171" i="158"/>
  <c r="D171" i="158"/>
  <c r="J171" i="158"/>
  <c r="E171" i="158"/>
  <c r="K171" i="158"/>
  <c r="G171" i="158"/>
  <c r="C171" i="158"/>
  <c r="I172" i="158"/>
  <c r="D172" i="158"/>
  <c r="J172" i="158"/>
  <c r="E172" i="158"/>
  <c r="K172" i="158"/>
  <c r="G172" i="158"/>
  <c r="C172" i="158"/>
  <c r="I173" i="158"/>
  <c r="D173" i="158"/>
  <c r="J173" i="158"/>
  <c r="E173" i="158"/>
  <c r="K173" i="158"/>
  <c r="G173" i="158"/>
  <c r="C173" i="158"/>
  <c r="I174" i="158"/>
  <c r="D174" i="158"/>
  <c r="J174" i="158"/>
  <c r="E174" i="158"/>
  <c r="K174" i="158"/>
  <c r="G174" i="158"/>
  <c r="C174" i="158"/>
  <c r="I175" i="158"/>
  <c r="D175" i="158"/>
  <c r="J175" i="158"/>
  <c r="E175" i="158"/>
  <c r="K175" i="158"/>
  <c r="G175" i="158"/>
  <c r="C175" i="158"/>
  <c r="I176" i="158"/>
  <c r="D176" i="158"/>
  <c r="J176" i="158"/>
  <c r="E176" i="158"/>
  <c r="K176" i="158"/>
  <c r="G176" i="158"/>
  <c r="C176" i="158"/>
  <c r="I177" i="158"/>
  <c r="D177" i="158"/>
  <c r="J177" i="158"/>
  <c r="E177" i="158"/>
  <c r="K177" i="158"/>
  <c r="G177" i="158"/>
  <c r="C177" i="158"/>
  <c r="I178" i="158"/>
  <c r="D178" i="158"/>
  <c r="J178" i="158"/>
  <c r="E178" i="158"/>
  <c r="K178" i="158"/>
  <c r="G178" i="158"/>
  <c r="C178" i="158"/>
  <c r="I179" i="158"/>
  <c r="D179" i="158"/>
  <c r="J179" i="158"/>
  <c r="E179" i="158"/>
  <c r="K179" i="158"/>
  <c r="G179" i="158"/>
  <c r="C179" i="158"/>
  <c r="I180" i="158"/>
  <c r="D180" i="158"/>
  <c r="J180" i="158"/>
  <c r="E180" i="158"/>
  <c r="K180" i="158"/>
  <c r="G180" i="158"/>
  <c r="C180" i="158"/>
  <c r="I181" i="158"/>
  <c r="D181" i="158"/>
  <c r="J181" i="158"/>
  <c r="E181" i="158"/>
  <c r="K181" i="158"/>
  <c r="G181" i="158"/>
  <c r="C181" i="158"/>
  <c r="I182" i="158"/>
  <c r="D182" i="158"/>
  <c r="J182" i="158"/>
  <c r="E182" i="158"/>
  <c r="K182" i="158"/>
  <c r="G182" i="158"/>
  <c r="C182" i="158"/>
  <c r="I183" i="158"/>
  <c r="D183" i="158"/>
  <c r="J183" i="158"/>
  <c r="E183" i="158"/>
  <c r="K183" i="158"/>
  <c r="G183" i="158"/>
  <c r="C183" i="158"/>
  <c r="I184" i="158"/>
  <c r="D184" i="158"/>
  <c r="J184" i="158"/>
  <c r="E184" i="158"/>
  <c r="K184" i="158"/>
  <c r="G184" i="158"/>
  <c r="C184" i="158"/>
  <c r="I185" i="158"/>
  <c r="D185" i="158"/>
  <c r="J185" i="158"/>
  <c r="E185" i="158"/>
  <c r="K185" i="158"/>
  <c r="G185" i="158"/>
  <c r="C185" i="158"/>
  <c r="I186" i="158"/>
  <c r="D186" i="158"/>
  <c r="J186" i="158"/>
  <c r="E186" i="158"/>
  <c r="K186" i="158"/>
  <c r="G186" i="158"/>
  <c r="C186" i="158"/>
  <c r="I187" i="158"/>
  <c r="D187" i="158"/>
  <c r="J187" i="158"/>
  <c r="E187" i="158"/>
  <c r="K187" i="158"/>
  <c r="G187" i="158"/>
  <c r="C187" i="158"/>
  <c r="I188" i="158"/>
  <c r="D188" i="158"/>
  <c r="J188" i="158"/>
  <c r="E188" i="158"/>
  <c r="K188" i="158"/>
  <c r="G188" i="158"/>
  <c r="C188" i="158"/>
  <c r="I189" i="158"/>
  <c r="D189" i="158"/>
  <c r="J189" i="158"/>
  <c r="E189" i="158"/>
  <c r="K189" i="158"/>
  <c r="G189" i="158"/>
  <c r="C189" i="158"/>
  <c r="I190" i="158"/>
  <c r="D190" i="158"/>
  <c r="J190" i="158"/>
  <c r="E190" i="158"/>
  <c r="K190" i="158"/>
  <c r="G190" i="158"/>
  <c r="C190" i="158"/>
  <c r="I191" i="158"/>
  <c r="D191" i="158"/>
  <c r="J191" i="158"/>
  <c r="E191" i="158"/>
  <c r="K191" i="158"/>
  <c r="G191" i="158"/>
  <c r="C191" i="158"/>
  <c r="I192" i="158"/>
  <c r="D192" i="158"/>
  <c r="J192" i="158"/>
  <c r="E192" i="158"/>
  <c r="K192" i="158"/>
  <c r="G192" i="158"/>
  <c r="C192" i="158"/>
  <c r="I193" i="158"/>
  <c r="D193" i="158"/>
  <c r="J193" i="158"/>
  <c r="E193" i="158"/>
  <c r="K193" i="158"/>
  <c r="G193" i="158"/>
  <c r="C193" i="158"/>
  <c r="I194" i="158"/>
  <c r="D194" i="158"/>
  <c r="J194" i="158"/>
  <c r="E194" i="158"/>
  <c r="K194" i="158"/>
  <c r="G194" i="158"/>
  <c r="C194" i="158"/>
  <c r="I195" i="158"/>
  <c r="D195" i="158"/>
  <c r="J195" i="158"/>
  <c r="E195" i="158"/>
  <c r="K195" i="158"/>
  <c r="G195" i="158"/>
  <c r="C195" i="158"/>
  <c r="I196" i="158"/>
  <c r="D196" i="158"/>
  <c r="J196" i="158"/>
  <c r="E196" i="158"/>
  <c r="K196" i="158"/>
  <c r="G196" i="158"/>
  <c r="C196" i="158"/>
  <c r="I197" i="158"/>
  <c r="D197" i="158"/>
  <c r="J197" i="158"/>
  <c r="E197" i="158"/>
  <c r="K197" i="158"/>
  <c r="G197" i="158"/>
  <c r="C197" i="158"/>
  <c r="I198" i="158"/>
  <c r="D198" i="158"/>
  <c r="J198" i="158"/>
  <c r="E198" i="158"/>
  <c r="K198" i="158"/>
  <c r="G198" i="158"/>
  <c r="C198" i="158"/>
  <c r="I199" i="158"/>
  <c r="D199" i="158"/>
  <c r="J199" i="158"/>
  <c r="E199" i="158"/>
  <c r="K199" i="158"/>
  <c r="G199" i="158"/>
  <c r="C199" i="158"/>
  <c r="I200" i="158"/>
  <c r="D200" i="158"/>
  <c r="J200" i="158"/>
  <c r="E200" i="158"/>
  <c r="K200" i="158"/>
  <c r="G200" i="158"/>
  <c r="C200" i="158"/>
  <c r="I201" i="158"/>
  <c r="D201" i="158"/>
  <c r="J201" i="158"/>
  <c r="E201" i="158"/>
  <c r="K201" i="158"/>
  <c r="G201" i="158"/>
  <c r="C201" i="158"/>
  <c r="I202" i="158"/>
  <c r="D202" i="158"/>
  <c r="J202" i="158"/>
  <c r="E202" i="158"/>
  <c r="K202" i="158"/>
  <c r="G202" i="158"/>
  <c r="C202" i="158"/>
  <c r="I203" i="158"/>
  <c r="D203" i="158"/>
  <c r="J203" i="158"/>
  <c r="E203" i="158"/>
  <c r="K203" i="158"/>
  <c r="G203" i="158"/>
  <c r="C203" i="158"/>
  <c r="I204" i="158"/>
  <c r="D204" i="158"/>
  <c r="J204" i="158"/>
  <c r="E204" i="158"/>
  <c r="K204" i="158"/>
  <c r="G204" i="158"/>
  <c r="C204" i="158"/>
  <c r="I205" i="158"/>
  <c r="D205" i="158"/>
  <c r="J205" i="158"/>
  <c r="E205" i="158"/>
  <c r="K205" i="158"/>
  <c r="G205" i="158"/>
  <c r="C205" i="158"/>
  <c r="I206" i="158"/>
  <c r="D206" i="158"/>
  <c r="J206" i="158"/>
  <c r="E206" i="158"/>
  <c r="K206" i="158"/>
  <c r="G206" i="158"/>
  <c r="C206" i="158"/>
  <c r="I207" i="158"/>
  <c r="D207" i="158"/>
  <c r="J207" i="158"/>
  <c r="E207" i="158"/>
  <c r="K207" i="158"/>
  <c r="G207" i="158"/>
  <c r="C207" i="158"/>
  <c r="I208" i="158"/>
  <c r="D208" i="158"/>
  <c r="J208" i="158"/>
  <c r="E208" i="158"/>
  <c r="K208" i="158"/>
  <c r="G208" i="158"/>
  <c r="C208" i="158"/>
  <c r="I209" i="158"/>
  <c r="D209" i="158"/>
  <c r="J209" i="158"/>
  <c r="E209" i="158"/>
  <c r="K209" i="158"/>
  <c r="G209" i="158"/>
  <c r="C209" i="158"/>
  <c r="I210" i="158"/>
  <c r="D210" i="158"/>
  <c r="J210" i="158"/>
  <c r="E210" i="158"/>
  <c r="K210" i="158"/>
  <c r="G210" i="158"/>
  <c r="C210" i="158"/>
  <c r="I211" i="158"/>
  <c r="D211" i="158"/>
  <c r="J211" i="158"/>
  <c r="E211" i="158"/>
  <c r="K211" i="158"/>
  <c r="G211" i="158"/>
  <c r="C211" i="158"/>
  <c r="I212" i="158"/>
  <c r="D212" i="158"/>
  <c r="J212" i="158"/>
  <c r="E212" i="158"/>
  <c r="K212" i="158"/>
  <c r="G212" i="158"/>
  <c r="C212" i="158"/>
  <c r="I213" i="158"/>
  <c r="D213" i="158"/>
  <c r="J213" i="158"/>
  <c r="E213" i="158"/>
  <c r="K213" i="158"/>
  <c r="G213" i="158"/>
  <c r="C213" i="158"/>
  <c r="I214" i="158"/>
  <c r="D214" i="158"/>
  <c r="J214" i="158"/>
  <c r="E214" i="158"/>
  <c r="K214" i="158"/>
  <c r="G214" i="158"/>
  <c r="C214" i="158"/>
  <c r="I215" i="158"/>
  <c r="J215" i="158"/>
  <c r="D215" i="158"/>
  <c r="E215" i="158"/>
  <c r="K215" i="158"/>
  <c r="G215" i="158"/>
  <c r="C215" i="158"/>
  <c r="I216" i="158"/>
  <c r="J216" i="158"/>
  <c r="D216" i="158"/>
  <c r="E216" i="158"/>
  <c r="K216" i="158"/>
  <c r="G216" i="158"/>
  <c r="C216" i="158"/>
  <c r="I217" i="158"/>
  <c r="J217" i="158"/>
  <c r="D217" i="158"/>
  <c r="E217" i="158"/>
  <c r="K217" i="158"/>
  <c r="G217" i="158"/>
  <c r="C217" i="158"/>
  <c r="I218" i="158"/>
  <c r="J218" i="158"/>
  <c r="D218" i="158"/>
  <c r="E218" i="158"/>
  <c r="K218" i="158"/>
  <c r="G218" i="158"/>
  <c r="C218" i="158"/>
  <c r="I219" i="158"/>
  <c r="J219" i="158"/>
  <c r="D219" i="158"/>
  <c r="E219" i="158"/>
  <c r="K219" i="158"/>
  <c r="G219" i="158"/>
  <c r="C219" i="158"/>
  <c r="I220" i="158"/>
  <c r="J220" i="158"/>
  <c r="D220" i="158"/>
  <c r="E220" i="158"/>
  <c r="K220" i="158"/>
  <c r="G220" i="158"/>
  <c r="C220" i="158"/>
  <c r="I221" i="158"/>
  <c r="D221" i="158"/>
  <c r="J221" i="158"/>
  <c r="E221" i="158"/>
  <c r="K221" i="158"/>
  <c r="G221" i="158"/>
  <c r="C221" i="158"/>
  <c r="I222" i="158"/>
  <c r="D222" i="158"/>
  <c r="J222" i="158"/>
  <c r="E222" i="158"/>
  <c r="K222" i="158"/>
  <c r="G222" i="158"/>
  <c r="C222" i="158"/>
  <c r="I223" i="158"/>
  <c r="D223" i="158"/>
  <c r="J223" i="158"/>
  <c r="E223" i="158"/>
  <c r="K223" i="158"/>
  <c r="G223" i="158"/>
  <c r="C223" i="158"/>
  <c r="I224" i="158"/>
  <c r="D224" i="158"/>
  <c r="J224" i="158"/>
  <c r="E224" i="158"/>
  <c r="K224" i="158"/>
  <c r="G224" i="158"/>
  <c r="C224" i="158"/>
  <c r="I225" i="158"/>
  <c r="D225" i="158"/>
  <c r="J225" i="158"/>
  <c r="E225" i="158"/>
  <c r="K225" i="158"/>
  <c r="G225" i="158"/>
  <c r="C225" i="158"/>
  <c r="I226" i="158"/>
  <c r="D226" i="158"/>
  <c r="J226" i="158"/>
  <c r="E226" i="158"/>
  <c r="K226" i="158"/>
  <c r="G226" i="158"/>
  <c r="C226" i="158"/>
  <c r="I227" i="158"/>
  <c r="D227" i="158"/>
  <c r="J227" i="158"/>
  <c r="E227" i="158"/>
  <c r="K227" i="158"/>
  <c r="G227" i="158"/>
  <c r="C227" i="158"/>
  <c r="I228" i="158"/>
  <c r="D228" i="158"/>
  <c r="J228" i="158"/>
  <c r="E228" i="158"/>
  <c r="K228" i="158"/>
  <c r="G228" i="158"/>
  <c r="C228" i="158"/>
  <c r="I229" i="158"/>
  <c r="D229" i="158"/>
  <c r="J229" i="158"/>
  <c r="E229" i="158"/>
  <c r="K229" i="158"/>
  <c r="G229" i="158"/>
  <c r="C229" i="158"/>
  <c r="I230" i="158"/>
  <c r="D230" i="158"/>
  <c r="J230" i="158"/>
  <c r="E230" i="158"/>
  <c r="K230" i="158"/>
  <c r="G230" i="158"/>
  <c r="C230" i="158"/>
  <c r="I231" i="158"/>
  <c r="D231" i="158"/>
  <c r="J231" i="158"/>
  <c r="E231" i="158"/>
  <c r="K231" i="158"/>
  <c r="G231" i="158"/>
  <c r="C231" i="158"/>
  <c r="I232" i="158"/>
  <c r="D232" i="158"/>
  <c r="J232" i="158"/>
  <c r="E232" i="158"/>
  <c r="K232" i="158"/>
  <c r="G232" i="158"/>
  <c r="C232" i="158"/>
  <c r="I233" i="158"/>
  <c r="D233" i="158"/>
  <c r="J233" i="158"/>
  <c r="E233" i="158"/>
  <c r="K233" i="158"/>
  <c r="G233" i="158"/>
  <c r="C233" i="158"/>
  <c r="I234" i="158"/>
  <c r="D234" i="158"/>
  <c r="J234" i="158"/>
  <c r="E234" i="158"/>
  <c r="K234" i="158"/>
  <c r="G234" i="158"/>
  <c r="C234" i="158"/>
  <c r="I235" i="158"/>
  <c r="D235" i="158"/>
  <c r="J235" i="158"/>
  <c r="E235" i="158"/>
  <c r="K235" i="158"/>
  <c r="G235" i="158"/>
  <c r="C235" i="158"/>
  <c r="I236" i="158"/>
  <c r="D236" i="158"/>
  <c r="J236" i="158"/>
  <c r="E236" i="158"/>
  <c r="K236" i="158"/>
  <c r="G236" i="158"/>
  <c r="C236" i="158"/>
  <c r="I237" i="158"/>
  <c r="D237" i="158"/>
  <c r="J237" i="158"/>
  <c r="E237" i="158"/>
  <c r="K237" i="158"/>
  <c r="G237" i="158"/>
  <c r="C237" i="158"/>
  <c r="I238" i="158"/>
  <c r="D238" i="158"/>
  <c r="J238" i="158"/>
  <c r="E238" i="158"/>
  <c r="K238" i="158"/>
  <c r="G238" i="158"/>
  <c r="C238" i="158"/>
  <c r="I239" i="158"/>
  <c r="D239" i="158"/>
  <c r="J239" i="158"/>
  <c r="E239" i="158"/>
  <c r="K239" i="158"/>
  <c r="G239" i="158"/>
  <c r="C239" i="158"/>
  <c r="I240" i="158"/>
  <c r="D240" i="158"/>
  <c r="J240" i="158"/>
  <c r="E240" i="158"/>
  <c r="K240" i="158"/>
  <c r="G240" i="158"/>
  <c r="C240" i="158"/>
  <c r="I241" i="158"/>
  <c r="D241" i="158"/>
  <c r="J241" i="158"/>
  <c r="E241" i="158"/>
  <c r="K241" i="158"/>
  <c r="G241" i="158"/>
  <c r="C241" i="158"/>
  <c r="I242" i="158"/>
  <c r="D242" i="158"/>
  <c r="J242" i="158"/>
  <c r="E242" i="158"/>
  <c r="K242" i="158"/>
  <c r="G242" i="158"/>
  <c r="C242" i="158"/>
  <c r="I243" i="158"/>
  <c r="D243" i="158"/>
  <c r="J243" i="158"/>
  <c r="E243" i="158"/>
  <c r="K243" i="158"/>
  <c r="G243" i="158"/>
  <c r="C243" i="158"/>
  <c r="I244" i="158"/>
  <c r="D244" i="158"/>
  <c r="J244" i="158"/>
  <c r="E244" i="158"/>
  <c r="K244" i="158"/>
  <c r="G244" i="158"/>
  <c r="C244" i="158"/>
  <c r="I245" i="158"/>
  <c r="D245" i="158"/>
  <c r="J245" i="158"/>
  <c r="E245" i="158"/>
  <c r="K245" i="158"/>
  <c r="G245" i="158"/>
  <c r="C245" i="158"/>
  <c r="I246" i="158"/>
  <c r="D246" i="158"/>
  <c r="J246" i="158"/>
  <c r="E246" i="158"/>
  <c r="K246" i="158"/>
  <c r="G246" i="158"/>
  <c r="C246" i="158"/>
  <c r="I247" i="158"/>
  <c r="D247" i="158"/>
  <c r="J247" i="158"/>
  <c r="E247" i="158"/>
  <c r="K247" i="158"/>
  <c r="G247" i="158"/>
  <c r="C247" i="158"/>
  <c r="I248" i="158"/>
  <c r="D248" i="158"/>
  <c r="J248" i="158"/>
  <c r="E248" i="158"/>
  <c r="K248" i="158"/>
  <c r="G248" i="158"/>
  <c r="C248" i="158"/>
  <c r="I249" i="158"/>
  <c r="D249" i="158"/>
  <c r="J249" i="158"/>
  <c r="E249" i="158"/>
  <c r="K249" i="158"/>
  <c r="G249" i="158"/>
  <c r="C249" i="158"/>
  <c r="I250" i="158"/>
  <c r="D250" i="158"/>
  <c r="J250" i="158"/>
  <c r="E250" i="158"/>
  <c r="K250" i="158"/>
  <c r="G250" i="158"/>
  <c r="C250" i="158"/>
  <c r="I251" i="158"/>
  <c r="D251" i="158"/>
  <c r="J251" i="158"/>
  <c r="E251" i="158"/>
  <c r="K251" i="158"/>
  <c r="G251" i="158"/>
  <c r="C251" i="158"/>
  <c r="I252" i="158"/>
  <c r="D252" i="158"/>
  <c r="J252" i="158"/>
  <c r="E252" i="158"/>
  <c r="K252" i="158"/>
  <c r="G252" i="158"/>
  <c r="C252" i="158"/>
  <c r="I253" i="158"/>
  <c r="D253" i="158"/>
  <c r="J253" i="158"/>
  <c r="E253" i="158"/>
  <c r="K253" i="158"/>
  <c r="G253" i="158"/>
  <c r="C253" i="158"/>
  <c r="I254" i="158"/>
  <c r="D254" i="158"/>
  <c r="J254" i="158"/>
  <c r="E254" i="158"/>
  <c r="K254" i="158"/>
  <c r="G254" i="158"/>
  <c r="C254" i="158"/>
  <c r="I255" i="158"/>
  <c r="D255" i="158"/>
  <c r="J255" i="158"/>
  <c r="E255" i="158"/>
  <c r="K255" i="158"/>
  <c r="G255" i="158"/>
  <c r="C255" i="158"/>
  <c r="I256" i="158"/>
  <c r="D256" i="158"/>
  <c r="J256" i="158"/>
  <c r="E256" i="158"/>
  <c r="K256" i="158"/>
  <c r="G256" i="158"/>
  <c r="C256" i="158"/>
  <c r="I257" i="158"/>
  <c r="D257" i="158"/>
  <c r="J257" i="158"/>
  <c r="E257" i="158"/>
  <c r="K257" i="158"/>
  <c r="G257" i="158"/>
  <c r="C257" i="158"/>
  <c r="I258" i="158"/>
  <c r="D258" i="158"/>
  <c r="J258" i="158"/>
  <c r="E258" i="158"/>
  <c r="K258" i="158"/>
  <c r="G258" i="158"/>
  <c r="C258" i="158"/>
  <c r="I259" i="158"/>
  <c r="D259" i="158"/>
  <c r="J259" i="158"/>
  <c r="E259" i="158"/>
  <c r="K259" i="158"/>
  <c r="G259" i="158"/>
  <c r="C259" i="158"/>
  <c r="I260" i="158"/>
  <c r="D260" i="158"/>
  <c r="J260" i="158"/>
  <c r="E260" i="158"/>
  <c r="K260" i="158"/>
  <c r="G260" i="158"/>
  <c r="C260" i="158"/>
  <c r="I261" i="158"/>
  <c r="D261" i="158"/>
  <c r="J261" i="158"/>
  <c r="E261" i="158"/>
  <c r="K261" i="158"/>
  <c r="G261" i="158"/>
  <c r="C261" i="158"/>
  <c r="I262" i="158"/>
  <c r="D262" i="158"/>
  <c r="J262" i="158"/>
  <c r="E262" i="158"/>
  <c r="K262" i="158"/>
  <c r="G262" i="158"/>
  <c r="C262" i="158"/>
  <c r="I263" i="158"/>
  <c r="D263" i="158"/>
  <c r="J263" i="158"/>
  <c r="E263" i="158"/>
  <c r="K263" i="158"/>
  <c r="G263" i="158"/>
  <c r="C263" i="158"/>
  <c r="I264" i="158"/>
  <c r="D264" i="158"/>
  <c r="J264" i="158"/>
  <c r="E264" i="158"/>
  <c r="K264" i="158"/>
  <c r="G264" i="158"/>
  <c r="C264" i="158"/>
  <c r="I265" i="158"/>
  <c r="D265" i="158"/>
  <c r="J265" i="158"/>
  <c r="E265" i="158"/>
  <c r="K265" i="158"/>
  <c r="G265" i="158"/>
  <c r="C265" i="158"/>
  <c r="I266" i="158"/>
  <c r="D266" i="158"/>
  <c r="J266" i="158"/>
  <c r="E266" i="158"/>
  <c r="K266" i="158"/>
  <c r="G266" i="158"/>
  <c r="C266" i="158"/>
  <c r="I267" i="158"/>
  <c r="D267" i="158"/>
  <c r="J267" i="158"/>
  <c r="E267" i="158"/>
  <c r="K267" i="158"/>
  <c r="G267" i="158"/>
  <c r="C267" i="158"/>
  <c r="I268" i="158"/>
  <c r="D268" i="158"/>
  <c r="J268" i="158"/>
  <c r="E268" i="158"/>
  <c r="K268" i="158"/>
  <c r="G268" i="158"/>
  <c r="C268" i="158"/>
  <c r="I269" i="158"/>
  <c r="D269" i="158"/>
  <c r="J269" i="158"/>
  <c r="E269" i="158"/>
  <c r="K269" i="158"/>
  <c r="G269" i="158"/>
  <c r="C269" i="158"/>
  <c r="I270" i="158"/>
  <c r="D270" i="158"/>
  <c r="J270" i="158"/>
  <c r="E270" i="158"/>
  <c r="K270" i="158"/>
  <c r="G270" i="158"/>
  <c r="C270" i="158"/>
  <c r="I271" i="158"/>
  <c r="D271" i="158"/>
  <c r="J271" i="158"/>
  <c r="E271" i="158"/>
  <c r="K271" i="158"/>
  <c r="G271" i="158"/>
  <c r="C271" i="158"/>
  <c r="I272" i="158"/>
  <c r="D272" i="158"/>
  <c r="J272" i="158"/>
  <c r="E272" i="158"/>
  <c r="K272" i="158"/>
  <c r="G272" i="158"/>
  <c r="C272" i="158"/>
  <c r="I273" i="158"/>
  <c r="D273" i="158"/>
  <c r="J273" i="158"/>
  <c r="E273" i="158"/>
  <c r="K273" i="158"/>
  <c r="G273" i="158"/>
  <c r="C273" i="158"/>
  <c r="I274" i="158"/>
  <c r="D274" i="158"/>
  <c r="J274" i="158"/>
  <c r="E274" i="158"/>
  <c r="K274" i="158"/>
  <c r="G274" i="158"/>
  <c r="C274" i="158"/>
  <c r="I275" i="158"/>
  <c r="D275" i="158"/>
  <c r="J275" i="158"/>
  <c r="E275" i="158"/>
  <c r="K275" i="158"/>
  <c r="G275" i="158"/>
  <c r="C275" i="158"/>
  <c r="I276" i="158"/>
  <c r="D276" i="158"/>
  <c r="J276" i="158"/>
  <c r="E276" i="158"/>
  <c r="K276" i="158"/>
  <c r="G276" i="158"/>
  <c r="C276" i="158"/>
  <c r="I277" i="158"/>
  <c r="D277" i="158"/>
  <c r="J277" i="158"/>
  <c r="E277" i="158"/>
  <c r="K277" i="158"/>
  <c r="G277" i="158"/>
  <c r="C277" i="158"/>
  <c r="I278" i="158"/>
  <c r="D278" i="158"/>
  <c r="J278" i="158"/>
  <c r="E278" i="158"/>
  <c r="K278" i="158"/>
  <c r="G278" i="158"/>
  <c r="C278" i="158"/>
  <c r="I279" i="158"/>
  <c r="D279" i="158"/>
  <c r="J279" i="158"/>
  <c r="E279" i="158"/>
  <c r="K279" i="158"/>
  <c r="G279" i="158"/>
  <c r="C279" i="158"/>
  <c r="I280" i="158"/>
  <c r="D280" i="158"/>
  <c r="J280" i="158"/>
  <c r="E280" i="158"/>
  <c r="K280" i="158"/>
  <c r="G280" i="158"/>
  <c r="C280" i="158"/>
  <c r="I281" i="158"/>
  <c r="D281" i="158"/>
  <c r="J281" i="158"/>
  <c r="E281" i="158"/>
  <c r="K281" i="158"/>
  <c r="G281" i="158"/>
  <c r="C281" i="158"/>
  <c r="I282" i="158"/>
  <c r="D282" i="158"/>
  <c r="J282" i="158"/>
  <c r="E282" i="158"/>
  <c r="K282" i="158"/>
  <c r="G282" i="158"/>
  <c r="C282" i="158"/>
  <c r="I283" i="158"/>
  <c r="D283" i="158"/>
  <c r="J283" i="158"/>
  <c r="E283" i="158"/>
  <c r="K283" i="158"/>
  <c r="G283" i="158"/>
  <c r="C283" i="158"/>
  <c r="I284" i="158"/>
  <c r="D284" i="158"/>
  <c r="J284" i="158"/>
  <c r="E284" i="158"/>
  <c r="K284" i="158"/>
  <c r="G284" i="158"/>
  <c r="C284" i="158"/>
  <c r="I285" i="158"/>
  <c r="D285" i="158"/>
  <c r="J285" i="158"/>
  <c r="E285" i="158"/>
  <c r="K285" i="158"/>
  <c r="G285" i="158"/>
  <c r="C285" i="158"/>
  <c r="I286" i="158"/>
  <c r="D286" i="158"/>
  <c r="J286" i="158"/>
  <c r="E286" i="158"/>
  <c r="K286" i="158"/>
  <c r="G286" i="158"/>
  <c r="C286" i="158"/>
  <c r="I287" i="158"/>
  <c r="D287" i="158"/>
  <c r="J287" i="158"/>
  <c r="E287" i="158"/>
  <c r="K287" i="158"/>
  <c r="G287" i="158"/>
  <c r="C287" i="158"/>
  <c r="I288" i="158"/>
  <c r="D288" i="158"/>
  <c r="J288" i="158"/>
  <c r="E288" i="158"/>
  <c r="K288" i="158"/>
  <c r="G288" i="158"/>
  <c r="C288" i="158"/>
  <c r="I289" i="158"/>
  <c r="D289" i="158"/>
  <c r="J289" i="158"/>
  <c r="E289" i="158"/>
  <c r="K289" i="158"/>
  <c r="G289" i="158"/>
  <c r="C289" i="158"/>
  <c r="I290" i="158"/>
  <c r="D290" i="158"/>
  <c r="J290" i="158"/>
  <c r="E290" i="158"/>
  <c r="K290" i="158"/>
  <c r="G290" i="158"/>
  <c r="C290" i="158"/>
  <c r="I291" i="158"/>
  <c r="D291" i="158"/>
  <c r="J291" i="158"/>
  <c r="E291" i="158"/>
  <c r="K291" i="158"/>
  <c r="G291" i="158"/>
  <c r="C291" i="158"/>
  <c r="I292" i="158"/>
  <c r="D292" i="158"/>
  <c r="J292" i="158"/>
  <c r="E292" i="158"/>
  <c r="K292" i="158"/>
  <c r="G292" i="158"/>
  <c r="C292" i="158"/>
  <c r="I293" i="158"/>
  <c r="D293" i="158"/>
  <c r="J293" i="158"/>
  <c r="E293" i="158"/>
  <c r="K293" i="158"/>
  <c r="G293" i="158"/>
  <c r="C293" i="158"/>
  <c r="I294" i="158"/>
  <c r="D294" i="158"/>
  <c r="J294" i="158"/>
  <c r="E294" i="158"/>
  <c r="K294" i="158"/>
  <c r="G294" i="158"/>
  <c r="C294" i="158"/>
  <c r="I295" i="158"/>
  <c r="D295" i="158"/>
  <c r="J295" i="158"/>
  <c r="E295" i="158"/>
  <c r="K295" i="158"/>
  <c r="G295" i="158"/>
  <c r="C295" i="158"/>
  <c r="I296" i="158"/>
  <c r="D296" i="158"/>
  <c r="J296" i="158"/>
  <c r="E296" i="158"/>
  <c r="K296" i="158"/>
  <c r="G296" i="158"/>
  <c r="C296" i="158"/>
  <c r="I297" i="158"/>
  <c r="D297" i="158"/>
  <c r="J297" i="158"/>
  <c r="E297" i="158"/>
  <c r="K297" i="158"/>
  <c r="G297" i="158"/>
  <c r="C297" i="158"/>
  <c r="I298" i="158"/>
  <c r="D298" i="158"/>
  <c r="J298" i="158"/>
  <c r="E298" i="158"/>
  <c r="K298" i="158"/>
  <c r="G298" i="158"/>
  <c r="C298" i="158"/>
  <c r="I299" i="158"/>
  <c r="D299" i="158"/>
  <c r="J299" i="158"/>
  <c r="E299" i="158"/>
  <c r="K299" i="158"/>
  <c r="G299" i="158"/>
  <c r="C299" i="158"/>
  <c r="I300" i="158"/>
  <c r="D300" i="158"/>
  <c r="J300" i="158"/>
  <c r="E300" i="158"/>
  <c r="K300" i="158"/>
  <c r="G300" i="158"/>
  <c r="C300" i="158"/>
  <c r="I301" i="158"/>
  <c r="D301" i="158"/>
  <c r="J301" i="158"/>
  <c r="E301" i="158"/>
  <c r="K301" i="158"/>
  <c r="G301" i="158"/>
  <c r="C301" i="158"/>
  <c r="I302" i="158"/>
  <c r="D302" i="158"/>
  <c r="J302" i="158"/>
  <c r="E302" i="158"/>
  <c r="K302" i="158"/>
  <c r="G302" i="158"/>
  <c r="C302" i="158"/>
  <c r="I303" i="158"/>
  <c r="D303" i="158"/>
  <c r="J303" i="158"/>
  <c r="E303" i="158"/>
  <c r="K303" i="158"/>
  <c r="G303" i="158"/>
  <c r="C303" i="158"/>
  <c r="I304" i="158"/>
  <c r="D304" i="158"/>
  <c r="J304" i="158"/>
  <c r="E304" i="158"/>
  <c r="K304" i="158"/>
  <c r="G304" i="158"/>
  <c r="C304" i="158"/>
  <c r="I305" i="158"/>
  <c r="D305" i="158"/>
  <c r="J305" i="158"/>
  <c r="E305" i="158"/>
  <c r="K305" i="158"/>
  <c r="G305" i="158"/>
  <c r="C305" i="158"/>
  <c r="I306" i="158"/>
  <c r="D306" i="158"/>
  <c r="J306" i="158"/>
  <c r="E306" i="158"/>
  <c r="K306" i="158"/>
  <c r="G306" i="158"/>
  <c r="C306" i="158"/>
  <c r="I307" i="158"/>
  <c r="D307" i="158"/>
  <c r="J307" i="158"/>
  <c r="E307" i="158"/>
  <c r="K307" i="158"/>
  <c r="G307" i="158"/>
  <c r="C307" i="158"/>
  <c r="I308" i="158"/>
  <c r="D308" i="158"/>
  <c r="J308" i="158"/>
  <c r="E308" i="158"/>
  <c r="K308" i="158"/>
  <c r="G308" i="158"/>
  <c r="C308" i="158"/>
  <c r="I309" i="158"/>
  <c r="D309" i="158"/>
  <c r="J309" i="158"/>
  <c r="E309" i="158"/>
  <c r="K309" i="158"/>
  <c r="G309" i="158"/>
  <c r="C309" i="158"/>
  <c r="I310" i="158"/>
  <c r="D310" i="158"/>
  <c r="J310" i="158"/>
  <c r="E310" i="158"/>
  <c r="K310" i="158"/>
  <c r="G310" i="158"/>
  <c r="C310" i="158"/>
  <c r="I311" i="158"/>
  <c r="D311" i="158"/>
  <c r="J311" i="158"/>
  <c r="E311" i="158"/>
  <c r="K311" i="158"/>
  <c r="G311" i="158"/>
  <c r="C311" i="158"/>
  <c r="I312" i="158"/>
  <c r="D312" i="158"/>
  <c r="J312" i="158"/>
  <c r="E312" i="158"/>
  <c r="K312" i="158"/>
  <c r="G312" i="158"/>
  <c r="C312" i="158"/>
  <c r="I313" i="158"/>
  <c r="D313" i="158"/>
  <c r="J313" i="158"/>
  <c r="E313" i="158"/>
  <c r="K313" i="158"/>
  <c r="G313" i="158"/>
  <c r="C313" i="158"/>
  <c r="I314" i="158"/>
  <c r="D314" i="158"/>
  <c r="J314" i="158"/>
  <c r="E314" i="158"/>
  <c r="K314" i="158"/>
  <c r="G314" i="158"/>
  <c r="C314" i="158"/>
  <c r="I315" i="158"/>
  <c r="D315" i="158"/>
  <c r="J315" i="158"/>
  <c r="E315" i="158"/>
  <c r="K315" i="158"/>
  <c r="G315" i="158"/>
  <c r="C315" i="158"/>
  <c r="I316" i="158"/>
  <c r="D316" i="158"/>
  <c r="J316" i="158"/>
  <c r="E316" i="158"/>
  <c r="K316" i="158"/>
  <c r="G316" i="158"/>
  <c r="C316" i="158"/>
  <c r="I317" i="158"/>
  <c r="D317" i="158"/>
  <c r="J317" i="158"/>
  <c r="E317" i="158"/>
  <c r="K317" i="158"/>
  <c r="G317" i="158"/>
  <c r="C317" i="158"/>
  <c r="I318" i="158"/>
  <c r="D318" i="158"/>
  <c r="J318" i="158"/>
  <c r="E318" i="158"/>
  <c r="K318" i="158"/>
  <c r="G318" i="158"/>
  <c r="C318" i="158"/>
  <c r="I319" i="158"/>
  <c r="D319" i="158"/>
  <c r="J319" i="158"/>
  <c r="E319" i="158"/>
  <c r="K319" i="158"/>
  <c r="G319" i="158"/>
  <c r="C319" i="158"/>
  <c r="I320" i="158"/>
  <c r="D320" i="158"/>
  <c r="J320" i="158"/>
  <c r="E320" i="158"/>
  <c r="K320" i="158"/>
  <c r="G320" i="158"/>
  <c r="C320" i="158"/>
  <c r="I321" i="158"/>
  <c r="D321" i="158"/>
  <c r="J321" i="158"/>
  <c r="E321" i="158"/>
  <c r="K321" i="158"/>
  <c r="G321" i="158"/>
  <c r="C321" i="158"/>
  <c r="I322" i="158"/>
  <c r="D322" i="158"/>
  <c r="J322" i="158"/>
  <c r="E322" i="158"/>
  <c r="K322" i="158"/>
  <c r="G322" i="158"/>
  <c r="C322" i="158"/>
  <c r="I323" i="158"/>
  <c r="D323" i="158"/>
  <c r="J323" i="158"/>
  <c r="E323" i="158"/>
  <c r="K323" i="158"/>
  <c r="G323" i="158"/>
  <c r="C323" i="158"/>
  <c r="I324" i="158"/>
  <c r="D324" i="158"/>
  <c r="J324" i="158"/>
  <c r="E324" i="158"/>
  <c r="K324" i="158"/>
  <c r="G324" i="158"/>
  <c r="C324" i="158"/>
  <c r="I325" i="158"/>
  <c r="D325" i="158"/>
  <c r="J325" i="158"/>
  <c r="E325" i="158"/>
  <c r="K325" i="158"/>
  <c r="G325" i="158"/>
  <c r="C325" i="158"/>
  <c r="I326" i="158"/>
  <c r="D326" i="158"/>
  <c r="J326" i="158"/>
  <c r="E326" i="158"/>
  <c r="K326" i="158"/>
  <c r="G326" i="158"/>
  <c r="C326" i="158"/>
  <c r="I327" i="158"/>
  <c r="D327" i="158"/>
  <c r="J327" i="158"/>
  <c r="E327" i="158"/>
  <c r="K327" i="158"/>
  <c r="G327" i="158"/>
  <c r="C327" i="158"/>
  <c r="I328" i="158"/>
  <c r="D328" i="158"/>
  <c r="J328" i="158"/>
  <c r="E328" i="158"/>
  <c r="K328" i="158"/>
  <c r="G328" i="158"/>
  <c r="C328" i="158"/>
  <c r="I329" i="158"/>
  <c r="D329" i="158"/>
  <c r="J329" i="158"/>
  <c r="E329" i="158"/>
  <c r="K329" i="158"/>
  <c r="G329" i="158"/>
  <c r="C329" i="158"/>
  <c r="I330" i="158"/>
  <c r="D330" i="158"/>
  <c r="J330" i="158"/>
  <c r="E330" i="158"/>
  <c r="K330" i="158"/>
  <c r="G330" i="158"/>
  <c r="C330" i="158"/>
  <c r="I331" i="158"/>
  <c r="D331" i="158"/>
  <c r="J331" i="158"/>
  <c r="E331" i="158"/>
  <c r="K331" i="158"/>
  <c r="G331" i="158"/>
  <c r="C331" i="158"/>
  <c r="I332" i="158"/>
  <c r="D332" i="158"/>
  <c r="J332" i="158"/>
  <c r="E332" i="158"/>
  <c r="K332" i="158"/>
  <c r="G332" i="158"/>
  <c r="C332" i="158"/>
  <c r="I333" i="158"/>
  <c r="D333" i="158"/>
  <c r="J333" i="158"/>
  <c r="E333" i="158"/>
  <c r="K333" i="158"/>
  <c r="G333" i="158"/>
  <c r="C333" i="158"/>
  <c r="I334" i="158"/>
  <c r="D334" i="158"/>
  <c r="J334" i="158"/>
  <c r="E334" i="158"/>
  <c r="K334" i="158"/>
  <c r="G334" i="158"/>
  <c r="C334" i="158"/>
  <c r="I335" i="158"/>
  <c r="D335" i="158"/>
  <c r="J335" i="158"/>
  <c r="E335" i="158"/>
  <c r="K335" i="158"/>
  <c r="G335" i="158"/>
  <c r="C335" i="158"/>
  <c r="I336" i="158"/>
  <c r="D336" i="158"/>
  <c r="J336" i="158"/>
  <c r="E336" i="158"/>
  <c r="K336" i="158"/>
  <c r="G336" i="158"/>
  <c r="C336" i="158"/>
  <c r="I337" i="158"/>
  <c r="D337" i="158"/>
  <c r="J337" i="158"/>
  <c r="E337" i="158"/>
  <c r="K337" i="158"/>
  <c r="G337" i="158"/>
  <c r="C337" i="158"/>
  <c r="I338" i="158"/>
  <c r="D338" i="158"/>
  <c r="J338" i="158"/>
  <c r="E338" i="158"/>
  <c r="K338" i="158"/>
  <c r="G338" i="158"/>
  <c r="C338" i="158"/>
  <c r="I339" i="158"/>
  <c r="D339" i="158"/>
  <c r="J339" i="158"/>
  <c r="E339" i="158"/>
  <c r="K339" i="158"/>
  <c r="G339" i="158"/>
  <c r="C339" i="158"/>
  <c r="I340" i="158"/>
  <c r="D340" i="158"/>
  <c r="J340" i="158"/>
  <c r="E340" i="158"/>
  <c r="K340" i="158"/>
  <c r="G340" i="158"/>
  <c r="C340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F5" i="157"/>
  <c r="A36" i="157"/>
  <c r="G18" i="157"/>
  <c r="H18" i="157"/>
  <c r="O3" i="158"/>
  <c r="O4" i="158"/>
  <c r="O5" i="158"/>
  <c r="O6" i="158"/>
  <c r="O7" i="158"/>
  <c r="O8" i="158"/>
  <c r="O9" i="158"/>
  <c r="G17" i="157"/>
  <c r="E17" i="157"/>
  <c r="H17" i="157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O51" i="158"/>
  <c r="O52" i="158"/>
  <c r="O53" i="158"/>
  <c r="G19" i="157"/>
  <c r="H19" i="157"/>
  <c r="O54" i="158"/>
  <c r="E20" i="157"/>
  <c r="B20" i="157"/>
  <c r="G20" i="157"/>
  <c r="H20" i="157"/>
  <c r="O55" i="158"/>
  <c r="E23" i="157"/>
  <c r="B23" i="157"/>
  <c r="E5" i="157"/>
  <c r="E28" i="157"/>
  <c r="B28" i="157"/>
  <c r="E29" i="157"/>
  <c r="B29" i="157"/>
  <c r="B21" i="157"/>
  <c r="G21" i="157"/>
  <c r="E21" i="157"/>
  <c r="H21" i="157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G29" i="157"/>
  <c r="H29" i="157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2" i="158"/>
  <c r="P314" i="164"/>
  <c r="P317" i="164"/>
  <c r="P321" i="164"/>
  <c r="P328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F49" i="163"/>
  <c r="F48" i="163"/>
  <c r="F47" i="163"/>
  <c r="F46" i="163"/>
  <c r="B46" i="163"/>
  <c r="F45" i="163"/>
  <c r="B45" i="163"/>
  <c r="B44" i="163"/>
  <c r="B43" i="163"/>
  <c r="F42" i="163"/>
  <c r="B42" i="163"/>
  <c r="F41" i="163"/>
  <c r="B41" i="163"/>
  <c r="F40" i="163"/>
  <c r="B40" i="163"/>
  <c r="E31" i="163"/>
  <c r="E30" i="163"/>
  <c r="A340" i="164"/>
  <c r="A339" i="164"/>
  <c r="A338" i="164"/>
  <c r="A337" i="164"/>
  <c r="A336" i="164"/>
  <c r="A335" i="164"/>
  <c r="A334" i="164"/>
  <c r="A333" i="164"/>
  <c r="A332" i="164"/>
  <c r="A331" i="164"/>
  <c r="A330" i="164"/>
  <c r="A329" i="164"/>
  <c r="A328" i="164"/>
  <c r="A327" i="164"/>
  <c r="A326" i="164"/>
  <c r="A325" i="164"/>
  <c r="A324" i="164"/>
  <c r="A323" i="164"/>
  <c r="A322" i="164"/>
  <c r="A321" i="164"/>
  <c r="A320" i="164"/>
  <c r="A319" i="164"/>
  <c r="A318" i="164"/>
  <c r="A317" i="164"/>
  <c r="A316" i="164"/>
  <c r="A315" i="164"/>
  <c r="A314" i="164"/>
  <c r="A313" i="164"/>
  <c r="A312" i="164"/>
  <c r="A311" i="164"/>
  <c r="A310" i="164"/>
  <c r="A309" i="164"/>
  <c r="A308" i="164"/>
  <c r="A307" i="164"/>
  <c r="A306" i="164"/>
  <c r="A305" i="164"/>
  <c r="A304" i="164"/>
  <c r="A303" i="164"/>
  <c r="A302" i="164"/>
  <c r="A301" i="164"/>
  <c r="A300" i="164"/>
  <c r="A299" i="164"/>
  <c r="A298" i="164"/>
  <c r="A297" i="164"/>
  <c r="A296" i="164"/>
  <c r="A295" i="164"/>
  <c r="A294" i="164"/>
  <c r="A293" i="164"/>
  <c r="A292" i="164"/>
  <c r="A291" i="164"/>
  <c r="A290" i="164"/>
  <c r="A289" i="164"/>
  <c r="A288" i="164"/>
  <c r="A287" i="164"/>
  <c r="A286" i="164"/>
  <c r="A285" i="164"/>
  <c r="A284" i="164"/>
  <c r="A283" i="164"/>
  <c r="A282" i="164"/>
  <c r="A281" i="164"/>
  <c r="A280" i="164"/>
  <c r="A279" i="164"/>
  <c r="A278" i="164"/>
  <c r="A277" i="164"/>
  <c r="A276" i="164"/>
  <c r="A275" i="164"/>
  <c r="A274" i="164"/>
  <c r="A273" i="164"/>
  <c r="A272" i="164"/>
  <c r="A271" i="164"/>
  <c r="A270" i="164"/>
  <c r="A269" i="164"/>
  <c r="A268" i="164"/>
  <c r="A267" i="164"/>
  <c r="A266" i="164"/>
  <c r="A265" i="164"/>
  <c r="A264" i="164"/>
  <c r="A263" i="164"/>
  <c r="A262" i="164"/>
  <c r="A261" i="164"/>
  <c r="A260" i="164"/>
  <c r="A259" i="164"/>
  <c r="A258" i="164"/>
  <c r="A257" i="164"/>
  <c r="A256" i="164"/>
  <c r="A255" i="164"/>
  <c r="A254" i="164"/>
  <c r="A253" i="164"/>
  <c r="A252" i="164"/>
  <c r="A251" i="164"/>
  <c r="A250" i="164"/>
  <c r="A249" i="164"/>
  <c r="A248" i="164"/>
  <c r="A247" i="164"/>
  <c r="A246" i="164"/>
  <c r="A245" i="164"/>
  <c r="A244" i="164"/>
  <c r="A243" i="164"/>
  <c r="A242" i="164"/>
  <c r="A241" i="164"/>
  <c r="A240" i="164"/>
  <c r="A239" i="164"/>
  <c r="A238" i="164"/>
  <c r="A237" i="164"/>
  <c r="A236" i="164"/>
  <c r="A235" i="164"/>
  <c r="A234" i="164"/>
  <c r="A233" i="164"/>
  <c r="A232" i="164"/>
  <c r="A231" i="164"/>
  <c r="A230" i="164"/>
  <c r="A229" i="164"/>
  <c r="A228" i="164"/>
  <c r="A227" i="164"/>
  <c r="A226" i="164"/>
  <c r="A225" i="164"/>
  <c r="A224" i="164"/>
  <c r="A223" i="164"/>
  <c r="A222" i="164"/>
  <c r="A221" i="164"/>
  <c r="A220" i="164"/>
  <c r="A219" i="164"/>
  <c r="A218" i="164"/>
  <c r="A217" i="164"/>
  <c r="A216" i="164"/>
  <c r="A215" i="164"/>
  <c r="A214" i="164"/>
  <c r="A213" i="164"/>
  <c r="A212" i="164"/>
  <c r="A211" i="164"/>
  <c r="A210" i="164"/>
  <c r="A209" i="164"/>
  <c r="A208" i="164"/>
  <c r="A207" i="164"/>
  <c r="A206" i="164"/>
  <c r="A205" i="164"/>
  <c r="A204" i="164"/>
  <c r="A203" i="164"/>
  <c r="A202" i="164"/>
  <c r="A201" i="164"/>
  <c r="A200" i="164"/>
  <c r="A199" i="164"/>
  <c r="A198" i="164"/>
  <c r="A197" i="164"/>
  <c r="A196" i="164"/>
  <c r="A195" i="164"/>
  <c r="A194" i="164"/>
  <c r="A193" i="164"/>
  <c r="A192" i="164"/>
  <c r="A191" i="164"/>
  <c r="A190" i="164"/>
  <c r="A189" i="164"/>
  <c r="A188" i="164"/>
  <c r="A187" i="164"/>
  <c r="A186" i="164"/>
  <c r="A185" i="164"/>
  <c r="A184" i="164"/>
  <c r="A183" i="164"/>
  <c r="A182" i="164"/>
  <c r="A181" i="164"/>
  <c r="A180" i="164"/>
  <c r="A179" i="164"/>
  <c r="A178" i="164"/>
  <c r="A177" i="164"/>
  <c r="A176" i="164"/>
  <c r="A175" i="164"/>
  <c r="A174" i="164"/>
  <c r="A173" i="164"/>
  <c r="A172" i="164"/>
  <c r="A171" i="164"/>
  <c r="A170" i="164"/>
  <c r="A169" i="164"/>
  <c r="A168" i="164"/>
  <c r="A167" i="164"/>
  <c r="A166" i="164"/>
  <c r="A165" i="164"/>
  <c r="A164" i="164"/>
  <c r="A163" i="164"/>
  <c r="A162" i="164"/>
  <c r="A161" i="164"/>
  <c r="A160" i="164"/>
  <c r="A159" i="164"/>
  <c r="A158" i="164"/>
  <c r="A157" i="164"/>
  <c r="A156" i="164"/>
  <c r="A155" i="164"/>
  <c r="A154" i="164"/>
  <c r="A153" i="164"/>
  <c r="A152" i="164"/>
  <c r="A151" i="164"/>
  <c r="A150" i="164"/>
  <c r="A149" i="164"/>
  <c r="A148" i="164"/>
  <c r="A147" i="164"/>
  <c r="A146" i="164"/>
  <c r="A145" i="164"/>
  <c r="A144" i="164"/>
  <c r="A143" i="164"/>
  <c r="A142" i="164"/>
  <c r="A141" i="164"/>
  <c r="A140" i="164"/>
  <c r="A139" i="164"/>
  <c r="A138" i="164"/>
  <c r="A137" i="164"/>
  <c r="A136" i="164"/>
  <c r="A135" i="164"/>
  <c r="A134" i="164"/>
  <c r="A133" i="164"/>
  <c r="A132" i="164"/>
  <c r="A131" i="164"/>
  <c r="A130" i="164"/>
  <c r="A129" i="164"/>
  <c r="A128" i="164"/>
  <c r="A127" i="164"/>
  <c r="A126" i="164"/>
  <c r="A125" i="164"/>
  <c r="A124" i="164"/>
  <c r="A123" i="164"/>
  <c r="A122" i="164"/>
  <c r="A121" i="164"/>
  <c r="A120" i="164"/>
  <c r="A119" i="164"/>
  <c r="A118" i="164"/>
  <c r="A117" i="164"/>
  <c r="A116" i="164"/>
  <c r="A115" i="164"/>
  <c r="A114" i="164"/>
  <c r="A113" i="164"/>
  <c r="A112" i="164"/>
  <c r="A111" i="164"/>
  <c r="A110" i="164"/>
  <c r="A109" i="164"/>
  <c r="A108" i="164"/>
  <c r="A107" i="164"/>
  <c r="A106" i="164"/>
  <c r="A105" i="164"/>
  <c r="A104" i="164"/>
  <c r="A103" i="164"/>
  <c r="A102" i="164"/>
  <c r="A101" i="164"/>
  <c r="A100" i="164"/>
  <c r="A99" i="164"/>
  <c r="A98" i="164"/>
  <c r="A97" i="164"/>
  <c r="A96" i="164"/>
  <c r="A95" i="164"/>
  <c r="A94" i="164"/>
  <c r="A93" i="164"/>
  <c r="A92" i="164"/>
  <c r="A91" i="164"/>
  <c r="A90" i="164"/>
  <c r="A89" i="164"/>
  <c r="A88" i="164"/>
  <c r="A87" i="164"/>
  <c r="A86" i="164"/>
  <c r="A85" i="164"/>
  <c r="A84" i="164"/>
  <c r="A83" i="164"/>
  <c r="A82" i="164"/>
  <c r="A81" i="164"/>
  <c r="A80" i="164"/>
  <c r="A79" i="164"/>
  <c r="A78" i="164"/>
  <c r="A77" i="164"/>
  <c r="A76" i="164"/>
  <c r="A75" i="164"/>
  <c r="A74" i="164"/>
  <c r="A73" i="164"/>
  <c r="A72" i="164"/>
  <c r="A71" i="164"/>
  <c r="A70" i="164"/>
  <c r="A69" i="164"/>
  <c r="A68" i="164"/>
  <c r="A67" i="164"/>
  <c r="A66" i="164"/>
  <c r="A65" i="164"/>
  <c r="A64" i="164"/>
  <c r="A63" i="164"/>
  <c r="A62" i="164"/>
  <c r="A61" i="164"/>
  <c r="A60" i="164"/>
  <c r="A59" i="164"/>
  <c r="A58" i="164"/>
  <c r="A57" i="164"/>
  <c r="A56" i="164"/>
  <c r="A55" i="164"/>
  <c r="A54" i="164"/>
  <c r="A53" i="164"/>
  <c r="A52" i="164"/>
  <c r="A51" i="164"/>
  <c r="A50" i="164"/>
  <c r="A49" i="164"/>
  <c r="A48" i="164"/>
  <c r="A47" i="164"/>
  <c r="A46" i="164"/>
  <c r="A45" i="164"/>
  <c r="A44" i="164"/>
  <c r="A43" i="164"/>
  <c r="A42" i="164"/>
  <c r="A41" i="164"/>
  <c r="A40" i="164"/>
  <c r="A39" i="164"/>
  <c r="A38" i="164"/>
  <c r="A37" i="164"/>
  <c r="A36" i="164"/>
  <c r="A35" i="164"/>
  <c r="A34" i="164"/>
  <c r="A33" i="164"/>
  <c r="A32" i="164"/>
  <c r="A31" i="164"/>
  <c r="A30" i="164"/>
  <c r="A29" i="164"/>
  <c r="A28" i="164"/>
  <c r="A27" i="164"/>
  <c r="A26" i="164"/>
  <c r="A25" i="164"/>
  <c r="A24" i="164"/>
  <c r="A23" i="164"/>
  <c r="A22" i="164"/>
  <c r="A21" i="164"/>
  <c r="A20" i="164"/>
  <c r="A19" i="164"/>
  <c r="A18" i="164"/>
  <c r="A17" i="164"/>
  <c r="A16" i="164"/>
  <c r="A15" i="164"/>
  <c r="A14" i="164"/>
  <c r="A13" i="164"/>
  <c r="A12" i="164"/>
  <c r="A11" i="164"/>
  <c r="A10" i="164"/>
  <c r="A9" i="164"/>
  <c r="A8" i="164"/>
  <c r="A7" i="164"/>
  <c r="A6" i="164"/>
  <c r="A5" i="164"/>
  <c r="A4" i="164"/>
  <c r="A3" i="164"/>
  <c r="A2" i="164"/>
  <c r="F340" i="164"/>
  <c r="F2" i="164"/>
  <c r="F3" i="164"/>
  <c r="F4" i="164"/>
  <c r="F5" i="164"/>
  <c r="F6" i="164"/>
  <c r="F7" i="164"/>
  <c r="F8" i="164"/>
  <c r="F9" i="164"/>
  <c r="F10" i="164"/>
  <c r="F11" i="164"/>
  <c r="F12" i="164"/>
  <c r="F13" i="164"/>
  <c r="F14" i="164"/>
  <c r="F15" i="164"/>
  <c r="F16" i="164"/>
  <c r="F17" i="164"/>
  <c r="F18" i="164"/>
  <c r="F19" i="164"/>
  <c r="F20" i="164"/>
  <c r="F21" i="164"/>
  <c r="F22" i="164"/>
  <c r="F23" i="164"/>
  <c r="F24" i="164"/>
  <c r="F25" i="164"/>
  <c r="F26" i="164"/>
  <c r="F27" i="164"/>
  <c r="F28" i="164"/>
  <c r="F29" i="164"/>
  <c r="F30" i="164"/>
  <c r="F31" i="164"/>
  <c r="F32" i="164"/>
  <c r="F33" i="164"/>
  <c r="F34" i="164"/>
  <c r="F35" i="164"/>
  <c r="F36" i="164"/>
  <c r="F37" i="164"/>
  <c r="F38" i="164"/>
  <c r="F39" i="164"/>
  <c r="F40" i="164"/>
  <c r="F41" i="164"/>
  <c r="F42" i="164"/>
  <c r="F43" i="164"/>
  <c r="F44" i="164"/>
  <c r="F45" i="164"/>
  <c r="F46" i="164"/>
  <c r="F47" i="164"/>
  <c r="F48" i="164"/>
  <c r="F49" i="164"/>
  <c r="F50" i="164"/>
  <c r="F51" i="164"/>
  <c r="F52" i="164"/>
  <c r="F53" i="164"/>
  <c r="F54" i="164"/>
  <c r="F55" i="164"/>
  <c r="F56" i="164"/>
  <c r="F57" i="164"/>
  <c r="F58" i="164"/>
  <c r="F59" i="164"/>
  <c r="F60" i="164"/>
  <c r="F61" i="164"/>
  <c r="F62" i="164"/>
  <c r="F63" i="164"/>
  <c r="F64" i="164"/>
  <c r="F65" i="164"/>
  <c r="F66" i="164"/>
  <c r="F67" i="164"/>
  <c r="F68" i="164"/>
  <c r="F69" i="164"/>
  <c r="F70" i="164"/>
  <c r="F71" i="164"/>
  <c r="F72" i="164"/>
  <c r="F73" i="164"/>
  <c r="F74" i="164"/>
  <c r="F75" i="164"/>
  <c r="F76" i="164"/>
  <c r="F77" i="164"/>
  <c r="F78" i="164"/>
  <c r="F79" i="164"/>
  <c r="F80" i="164"/>
  <c r="F81" i="164"/>
  <c r="F82" i="164"/>
  <c r="F83" i="164"/>
  <c r="F84" i="164"/>
  <c r="F85" i="164"/>
  <c r="F86" i="164"/>
  <c r="F87" i="164"/>
  <c r="F88" i="164"/>
  <c r="F89" i="164"/>
  <c r="F90" i="164"/>
  <c r="F91" i="164"/>
  <c r="F92" i="164"/>
  <c r="F93" i="164"/>
  <c r="F94" i="164"/>
  <c r="F95" i="164"/>
  <c r="F96" i="164"/>
  <c r="F97" i="164"/>
  <c r="F98" i="164"/>
  <c r="F99" i="164"/>
  <c r="F100" i="164"/>
  <c r="F101" i="164"/>
  <c r="F102" i="164"/>
  <c r="F103" i="164"/>
  <c r="F104" i="164"/>
  <c r="F105" i="164"/>
  <c r="F106" i="164"/>
  <c r="F107" i="164"/>
  <c r="F108" i="164"/>
  <c r="F109" i="164"/>
  <c r="F110" i="164"/>
  <c r="F111" i="164"/>
  <c r="F112" i="164"/>
  <c r="F113" i="164"/>
  <c r="F114" i="164"/>
  <c r="F115" i="164"/>
  <c r="F116" i="164"/>
  <c r="F117" i="164"/>
  <c r="F118" i="164"/>
  <c r="F119" i="164"/>
  <c r="F120" i="164"/>
  <c r="F121" i="164"/>
  <c r="F122" i="164"/>
  <c r="F123" i="164"/>
  <c r="F124" i="164"/>
  <c r="F125" i="164"/>
  <c r="F126" i="164"/>
  <c r="F127" i="164"/>
  <c r="F128" i="164"/>
  <c r="F129" i="164"/>
  <c r="F130" i="164"/>
  <c r="F131" i="164"/>
  <c r="F132" i="164"/>
  <c r="F133" i="164"/>
  <c r="F134" i="164"/>
  <c r="F135" i="164"/>
  <c r="F136" i="164"/>
  <c r="F137" i="164"/>
  <c r="F138" i="164"/>
  <c r="F139" i="164"/>
  <c r="F140" i="164"/>
  <c r="F141" i="164"/>
  <c r="F142" i="164"/>
  <c r="F143" i="164"/>
  <c r="F144" i="164"/>
  <c r="F145" i="164"/>
  <c r="F146" i="164"/>
  <c r="F147" i="164"/>
  <c r="F148" i="164"/>
  <c r="F149" i="164"/>
  <c r="F150" i="164"/>
  <c r="F151" i="164"/>
  <c r="F152" i="164"/>
  <c r="F153" i="164"/>
  <c r="F154" i="164"/>
  <c r="F155" i="164"/>
  <c r="F156" i="164"/>
  <c r="F157" i="164"/>
  <c r="F158" i="164"/>
  <c r="F159" i="164"/>
  <c r="F160" i="164"/>
  <c r="F161" i="164"/>
  <c r="F162" i="164"/>
  <c r="F163" i="164"/>
  <c r="F164" i="164"/>
  <c r="F165" i="164"/>
  <c r="F166" i="164"/>
  <c r="F167" i="164"/>
  <c r="F168" i="164"/>
  <c r="F169" i="164"/>
  <c r="F170" i="164"/>
  <c r="F171" i="164"/>
  <c r="F172" i="164"/>
  <c r="F173" i="164"/>
  <c r="F174" i="164"/>
  <c r="F175" i="164"/>
  <c r="F176" i="164"/>
  <c r="F177" i="164"/>
  <c r="F178" i="164"/>
  <c r="F179" i="164"/>
  <c r="F180" i="164"/>
  <c r="F181" i="164"/>
  <c r="F182" i="164"/>
  <c r="F183" i="164"/>
  <c r="F184" i="164"/>
  <c r="F185" i="164"/>
  <c r="F186" i="164"/>
  <c r="F187" i="164"/>
  <c r="F188" i="164"/>
  <c r="F189" i="164"/>
  <c r="F190" i="164"/>
  <c r="F191" i="164"/>
  <c r="F192" i="164"/>
  <c r="F193" i="164"/>
  <c r="F194" i="164"/>
  <c r="F195" i="164"/>
  <c r="F196" i="164"/>
  <c r="F197" i="164"/>
  <c r="F198" i="164"/>
  <c r="F199" i="164"/>
  <c r="F200" i="164"/>
  <c r="F201" i="164"/>
  <c r="F202" i="164"/>
  <c r="F203" i="164"/>
  <c r="F204" i="164"/>
  <c r="F205" i="164"/>
  <c r="F206" i="164"/>
  <c r="F207" i="164"/>
  <c r="F208" i="164"/>
  <c r="F209" i="164"/>
  <c r="F210" i="164"/>
  <c r="F211" i="164"/>
  <c r="F212" i="164"/>
  <c r="F213" i="164"/>
  <c r="F214" i="164"/>
  <c r="F215" i="164"/>
  <c r="F216" i="164"/>
  <c r="F217" i="164"/>
  <c r="F218" i="164"/>
  <c r="F219" i="164"/>
  <c r="F220" i="164"/>
  <c r="F221" i="164"/>
  <c r="F222" i="164"/>
  <c r="F223" i="164"/>
  <c r="F224" i="164"/>
  <c r="F225" i="164"/>
  <c r="F226" i="164"/>
  <c r="F227" i="164"/>
  <c r="F228" i="164"/>
  <c r="F229" i="164"/>
  <c r="F230" i="164"/>
  <c r="F231" i="164"/>
  <c r="F232" i="164"/>
  <c r="F233" i="164"/>
  <c r="F234" i="164"/>
  <c r="F235" i="164"/>
  <c r="F236" i="164"/>
  <c r="F237" i="164"/>
  <c r="F238" i="164"/>
  <c r="F239" i="164"/>
  <c r="F240" i="164"/>
  <c r="F241" i="164"/>
  <c r="F242" i="164"/>
  <c r="F243" i="164"/>
  <c r="F244" i="164"/>
  <c r="F245" i="164"/>
  <c r="F246" i="164"/>
  <c r="F247" i="164"/>
  <c r="F248" i="164"/>
  <c r="F249" i="164"/>
  <c r="F250" i="164"/>
  <c r="F251" i="164"/>
  <c r="F252" i="164"/>
  <c r="F253" i="164"/>
  <c r="F254" i="164"/>
  <c r="F255" i="164"/>
  <c r="F256" i="164"/>
  <c r="F257" i="164"/>
  <c r="F258" i="164"/>
  <c r="F259" i="164"/>
  <c r="F260" i="164"/>
  <c r="F261" i="164"/>
  <c r="F262" i="164"/>
  <c r="F263" i="164"/>
  <c r="F264" i="164"/>
  <c r="F265" i="164"/>
  <c r="F266" i="164"/>
  <c r="F267" i="164"/>
  <c r="F268" i="164"/>
  <c r="F269" i="164"/>
  <c r="F270" i="164"/>
  <c r="F271" i="164"/>
  <c r="F272" i="164"/>
  <c r="F273" i="164"/>
  <c r="F274" i="164"/>
  <c r="F275" i="164"/>
  <c r="F276" i="164"/>
  <c r="F277" i="164"/>
  <c r="F278" i="164"/>
  <c r="F279" i="164"/>
  <c r="F280" i="164"/>
  <c r="F281" i="164"/>
  <c r="F282" i="164"/>
  <c r="F283" i="164"/>
  <c r="F284" i="164"/>
  <c r="F285" i="164"/>
  <c r="F286" i="164"/>
  <c r="F287" i="164"/>
  <c r="F288" i="164"/>
  <c r="F289" i="164"/>
  <c r="F290" i="164"/>
  <c r="F291" i="164"/>
  <c r="F292" i="164"/>
  <c r="F293" i="164"/>
  <c r="F294" i="164"/>
  <c r="F295" i="164"/>
  <c r="F296" i="164"/>
  <c r="F297" i="164"/>
  <c r="F298" i="164"/>
  <c r="F299" i="164"/>
  <c r="F300" i="164"/>
  <c r="F301" i="164"/>
  <c r="F302" i="164"/>
  <c r="F303" i="164"/>
  <c r="F304" i="164"/>
  <c r="F305" i="164"/>
  <c r="F306" i="164"/>
  <c r="F307" i="164"/>
  <c r="F308" i="164"/>
  <c r="F309" i="164"/>
  <c r="F310" i="164"/>
  <c r="F311" i="164"/>
  <c r="F312" i="164"/>
  <c r="F313" i="164"/>
  <c r="F314" i="164"/>
  <c r="F315" i="164"/>
  <c r="F316" i="164"/>
  <c r="F317" i="164"/>
  <c r="F318" i="164"/>
  <c r="F319" i="164"/>
  <c r="F320" i="164"/>
  <c r="F321" i="164"/>
  <c r="F322" i="164"/>
  <c r="F323" i="164"/>
  <c r="F324" i="164"/>
  <c r="F325" i="164"/>
  <c r="F326" i="164"/>
  <c r="F327" i="164"/>
  <c r="F328" i="164"/>
  <c r="F329" i="164"/>
  <c r="F330" i="164"/>
  <c r="F331" i="164"/>
  <c r="F332" i="164"/>
  <c r="F333" i="164"/>
  <c r="F334" i="164"/>
  <c r="F335" i="164"/>
  <c r="F336" i="164"/>
  <c r="F337" i="164"/>
  <c r="F338" i="164"/>
  <c r="F339" i="164"/>
  <c r="N340" i="164"/>
  <c r="M340" i="164"/>
  <c r="L340" i="164"/>
  <c r="H340" i="164"/>
  <c r="N339" i="164"/>
  <c r="M339" i="164"/>
  <c r="L339" i="164"/>
  <c r="H339" i="164"/>
  <c r="N338" i="164"/>
  <c r="M338" i="164"/>
  <c r="L338" i="164"/>
  <c r="H338" i="164"/>
  <c r="N337" i="164"/>
  <c r="M337" i="164"/>
  <c r="L337" i="164"/>
  <c r="H337" i="164"/>
  <c r="N336" i="164"/>
  <c r="M336" i="164"/>
  <c r="L336" i="164"/>
  <c r="H336" i="164"/>
  <c r="N335" i="164"/>
  <c r="M335" i="164"/>
  <c r="L335" i="164"/>
  <c r="H335" i="164"/>
  <c r="N334" i="164"/>
  <c r="M334" i="164"/>
  <c r="L334" i="164"/>
  <c r="H334" i="164"/>
  <c r="N333" i="164"/>
  <c r="M333" i="164"/>
  <c r="L333" i="164"/>
  <c r="H333" i="164"/>
  <c r="N332" i="164"/>
  <c r="M332" i="164"/>
  <c r="L332" i="164"/>
  <c r="H332" i="164"/>
  <c r="N331" i="164"/>
  <c r="M331" i="164"/>
  <c r="L331" i="164"/>
  <c r="H331" i="164"/>
  <c r="N330" i="164"/>
  <c r="M330" i="164"/>
  <c r="L330" i="164"/>
  <c r="H330" i="164"/>
  <c r="N329" i="164"/>
  <c r="M329" i="164"/>
  <c r="L329" i="164"/>
  <c r="H329" i="164"/>
  <c r="N328" i="164"/>
  <c r="M328" i="164"/>
  <c r="L328" i="164"/>
  <c r="H328" i="164"/>
  <c r="N327" i="164"/>
  <c r="M327" i="164"/>
  <c r="L327" i="164"/>
  <c r="H327" i="164"/>
  <c r="N326" i="164"/>
  <c r="M326" i="164"/>
  <c r="L326" i="164"/>
  <c r="H326" i="164"/>
  <c r="N325" i="164"/>
  <c r="M325" i="164"/>
  <c r="L325" i="164"/>
  <c r="H325" i="164"/>
  <c r="N324" i="164"/>
  <c r="M324" i="164"/>
  <c r="L324" i="164"/>
  <c r="H324" i="164"/>
  <c r="N323" i="164"/>
  <c r="M323" i="164"/>
  <c r="L323" i="164"/>
  <c r="H323" i="164"/>
  <c r="N322" i="164"/>
  <c r="M322" i="164"/>
  <c r="L322" i="164"/>
  <c r="H322" i="164"/>
  <c r="N321" i="164"/>
  <c r="M321" i="164"/>
  <c r="L321" i="164"/>
  <c r="H321" i="164"/>
  <c r="N320" i="164"/>
  <c r="M320" i="164"/>
  <c r="L320" i="164"/>
  <c r="H320" i="164"/>
  <c r="N319" i="164"/>
  <c r="M319" i="164"/>
  <c r="L319" i="164"/>
  <c r="H319" i="164"/>
  <c r="N318" i="164"/>
  <c r="M318" i="164"/>
  <c r="L318" i="164"/>
  <c r="H318" i="164"/>
  <c r="N317" i="164"/>
  <c r="M317" i="164"/>
  <c r="L317" i="164"/>
  <c r="H317" i="164"/>
  <c r="N316" i="164"/>
  <c r="M316" i="164"/>
  <c r="L316" i="164"/>
  <c r="H316" i="164"/>
  <c r="N315" i="164"/>
  <c r="M315" i="164"/>
  <c r="L315" i="164"/>
  <c r="H315" i="164"/>
  <c r="N314" i="164"/>
  <c r="M314" i="164"/>
  <c r="L314" i="164"/>
  <c r="H314" i="164"/>
  <c r="N313" i="164"/>
  <c r="M313" i="164"/>
  <c r="L313" i="164"/>
  <c r="H313" i="164"/>
  <c r="N312" i="164"/>
  <c r="M312" i="164"/>
  <c r="L312" i="164"/>
  <c r="H312" i="164"/>
  <c r="N311" i="164"/>
  <c r="M311" i="164"/>
  <c r="L311" i="164"/>
  <c r="H311" i="164"/>
  <c r="N310" i="164"/>
  <c r="M310" i="164"/>
  <c r="L310" i="164"/>
  <c r="H310" i="164"/>
  <c r="N309" i="164"/>
  <c r="M309" i="164"/>
  <c r="L309" i="164"/>
  <c r="H309" i="164"/>
  <c r="N308" i="164"/>
  <c r="M308" i="164"/>
  <c r="L308" i="164"/>
  <c r="H308" i="164"/>
  <c r="N307" i="164"/>
  <c r="M307" i="164"/>
  <c r="L307" i="164"/>
  <c r="H307" i="164"/>
  <c r="N306" i="164"/>
  <c r="M306" i="164"/>
  <c r="L306" i="164"/>
  <c r="H306" i="164"/>
  <c r="N305" i="164"/>
  <c r="M305" i="164"/>
  <c r="L305" i="164"/>
  <c r="H305" i="164"/>
  <c r="N304" i="164"/>
  <c r="M304" i="164"/>
  <c r="L304" i="164"/>
  <c r="H304" i="164"/>
  <c r="N303" i="164"/>
  <c r="M303" i="164"/>
  <c r="L303" i="164"/>
  <c r="H303" i="164"/>
  <c r="N302" i="164"/>
  <c r="M302" i="164"/>
  <c r="L302" i="164"/>
  <c r="H302" i="164"/>
  <c r="N301" i="164"/>
  <c r="M301" i="164"/>
  <c r="L301" i="164"/>
  <c r="H301" i="164"/>
  <c r="N300" i="164"/>
  <c r="M300" i="164"/>
  <c r="L300" i="164"/>
  <c r="H300" i="164"/>
  <c r="N299" i="164"/>
  <c r="M299" i="164"/>
  <c r="L299" i="164"/>
  <c r="H299" i="164"/>
  <c r="N298" i="164"/>
  <c r="M298" i="164"/>
  <c r="L298" i="164"/>
  <c r="H298" i="164"/>
  <c r="N297" i="164"/>
  <c r="M297" i="164"/>
  <c r="L297" i="164"/>
  <c r="H297" i="164"/>
  <c r="N296" i="164"/>
  <c r="M296" i="164"/>
  <c r="L296" i="164"/>
  <c r="H296" i="164"/>
  <c r="N295" i="164"/>
  <c r="M295" i="164"/>
  <c r="L295" i="164"/>
  <c r="H295" i="164"/>
  <c r="N294" i="164"/>
  <c r="M294" i="164"/>
  <c r="L294" i="164"/>
  <c r="H294" i="164"/>
  <c r="N293" i="164"/>
  <c r="M293" i="164"/>
  <c r="L293" i="164"/>
  <c r="H293" i="164"/>
  <c r="N292" i="164"/>
  <c r="M292" i="164"/>
  <c r="L292" i="164"/>
  <c r="H292" i="164"/>
  <c r="N291" i="164"/>
  <c r="M291" i="164"/>
  <c r="L291" i="164"/>
  <c r="H291" i="164"/>
  <c r="N290" i="164"/>
  <c r="M290" i="164"/>
  <c r="L290" i="164"/>
  <c r="H290" i="164"/>
  <c r="N289" i="164"/>
  <c r="M289" i="164"/>
  <c r="L289" i="164"/>
  <c r="H289" i="164"/>
  <c r="N288" i="164"/>
  <c r="M288" i="164"/>
  <c r="L288" i="164"/>
  <c r="H288" i="164"/>
  <c r="N287" i="164"/>
  <c r="M287" i="164"/>
  <c r="L287" i="164"/>
  <c r="H287" i="164"/>
  <c r="N286" i="164"/>
  <c r="M286" i="164"/>
  <c r="L286" i="164"/>
  <c r="H286" i="164"/>
  <c r="N285" i="164"/>
  <c r="M285" i="164"/>
  <c r="L285" i="164"/>
  <c r="H285" i="164"/>
  <c r="N284" i="164"/>
  <c r="M284" i="164"/>
  <c r="L284" i="164"/>
  <c r="H284" i="164"/>
  <c r="N283" i="164"/>
  <c r="M283" i="164"/>
  <c r="L283" i="164"/>
  <c r="H283" i="164"/>
  <c r="N282" i="164"/>
  <c r="M282" i="164"/>
  <c r="L282" i="164"/>
  <c r="H282" i="164"/>
  <c r="N281" i="164"/>
  <c r="M281" i="164"/>
  <c r="L281" i="164"/>
  <c r="H281" i="164"/>
  <c r="N280" i="164"/>
  <c r="M280" i="164"/>
  <c r="L280" i="164"/>
  <c r="H280" i="164"/>
  <c r="N279" i="164"/>
  <c r="M279" i="164"/>
  <c r="L279" i="164"/>
  <c r="H279" i="164"/>
  <c r="N278" i="164"/>
  <c r="M278" i="164"/>
  <c r="L278" i="164"/>
  <c r="H278" i="164"/>
  <c r="N277" i="164"/>
  <c r="M277" i="164"/>
  <c r="L277" i="164"/>
  <c r="H277" i="164"/>
  <c r="N276" i="164"/>
  <c r="M276" i="164"/>
  <c r="L276" i="164"/>
  <c r="H276" i="164"/>
  <c r="N275" i="164"/>
  <c r="M275" i="164"/>
  <c r="L275" i="164"/>
  <c r="H275" i="164"/>
  <c r="N274" i="164"/>
  <c r="M274" i="164"/>
  <c r="L274" i="164"/>
  <c r="H274" i="164"/>
  <c r="N273" i="164"/>
  <c r="M273" i="164"/>
  <c r="L273" i="164"/>
  <c r="H273" i="164"/>
  <c r="N272" i="164"/>
  <c r="M272" i="164"/>
  <c r="L272" i="164"/>
  <c r="H272" i="164"/>
  <c r="N271" i="164"/>
  <c r="M271" i="164"/>
  <c r="L271" i="164"/>
  <c r="H271" i="164"/>
  <c r="N270" i="164"/>
  <c r="M270" i="164"/>
  <c r="L270" i="164"/>
  <c r="H270" i="164"/>
  <c r="N269" i="164"/>
  <c r="M269" i="164"/>
  <c r="L269" i="164"/>
  <c r="H269" i="164"/>
  <c r="N268" i="164"/>
  <c r="M268" i="164"/>
  <c r="L268" i="164"/>
  <c r="H268" i="164"/>
  <c r="N267" i="164"/>
  <c r="M267" i="164"/>
  <c r="L267" i="164"/>
  <c r="H267" i="164"/>
  <c r="N266" i="164"/>
  <c r="M266" i="164"/>
  <c r="L266" i="164"/>
  <c r="H266" i="164"/>
  <c r="N265" i="164"/>
  <c r="M265" i="164"/>
  <c r="L265" i="164"/>
  <c r="H265" i="164"/>
  <c r="N264" i="164"/>
  <c r="M264" i="164"/>
  <c r="L264" i="164"/>
  <c r="H264" i="164"/>
  <c r="N263" i="164"/>
  <c r="M263" i="164"/>
  <c r="L263" i="164"/>
  <c r="H263" i="164"/>
  <c r="N262" i="164"/>
  <c r="M262" i="164"/>
  <c r="L262" i="164"/>
  <c r="H262" i="164"/>
  <c r="N261" i="164"/>
  <c r="M261" i="164"/>
  <c r="L261" i="164"/>
  <c r="H261" i="164"/>
  <c r="N260" i="164"/>
  <c r="M260" i="164"/>
  <c r="L260" i="164"/>
  <c r="H260" i="164"/>
  <c r="N259" i="164"/>
  <c r="M259" i="164"/>
  <c r="L259" i="164"/>
  <c r="H259" i="164"/>
  <c r="N258" i="164"/>
  <c r="M258" i="164"/>
  <c r="L258" i="164"/>
  <c r="H258" i="164"/>
  <c r="N257" i="164"/>
  <c r="M257" i="164"/>
  <c r="L257" i="164"/>
  <c r="H257" i="164"/>
  <c r="N256" i="164"/>
  <c r="M256" i="164"/>
  <c r="L256" i="164"/>
  <c r="H256" i="164"/>
  <c r="N255" i="164"/>
  <c r="M255" i="164"/>
  <c r="L255" i="164"/>
  <c r="H255" i="164"/>
  <c r="N254" i="164"/>
  <c r="M254" i="164"/>
  <c r="L254" i="164"/>
  <c r="H254" i="164"/>
  <c r="N253" i="164"/>
  <c r="M253" i="164"/>
  <c r="L253" i="164"/>
  <c r="H253" i="164"/>
  <c r="N252" i="164"/>
  <c r="M252" i="164"/>
  <c r="L252" i="164"/>
  <c r="H252" i="164"/>
  <c r="N251" i="164"/>
  <c r="M251" i="164"/>
  <c r="L251" i="164"/>
  <c r="H251" i="164"/>
  <c r="N250" i="164"/>
  <c r="M250" i="164"/>
  <c r="L250" i="164"/>
  <c r="H250" i="164"/>
  <c r="N249" i="164"/>
  <c r="M249" i="164"/>
  <c r="L249" i="164"/>
  <c r="H249" i="164"/>
  <c r="N248" i="164"/>
  <c r="M248" i="164"/>
  <c r="L248" i="164"/>
  <c r="H248" i="164"/>
  <c r="N247" i="164"/>
  <c r="M247" i="164"/>
  <c r="L247" i="164"/>
  <c r="H247" i="164"/>
  <c r="N246" i="164"/>
  <c r="M246" i="164"/>
  <c r="L246" i="164"/>
  <c r="H246" i="164"/>
  <c r="N245" i="164"/>
  <c r="M245" i="164"/>
  <c r="L245" i="164"/>
  <c r="H245" i="164"/>
  <c r="N244" i="164"/>
  <c r="M244" i="164"/>
  <c r="L244" i="164"/>
  <c r="H244" i="164"/>
  <c r="N243" i="164"/>
  <c r="M243" i="164"/>
  <c r="L243" i="164"/>
  <c r="H243" i="164"/>
  <c r="N242" i="164"/>
  <c r="M242" i="164"/>
  <c r="L242" i="164"/>
  <c r="H242" i="164"/>
  <c r="N241" i="164"/>
  <c r="M241" i="164"/>
  <c r="L241" i="164"/>
  <c r="H241" i="164"/>
  <c r="N240" i="164"/>
  <c r="M240" i="164"/>
  <c r="L240" i="164"/>
  <c r="H240" i="164"/>
  <c r="N239" i="164"/>
  <c r="M239" i="164"/>
  <c r="L239" i="164"/>
  <c r="H239" i="164"/>
  <c r="N238" i="164"/>
  <c r="M238" i="164"/>
  <c r="L238" i="164"/>
  <c r="H238" i="164"/>
  <c r="N237" i="164"/>
  <c r="M237" i="164"/>
  <c r="L237" i="164"/>
  <c r="H237" i="164"/>
  <c r="N236" i="164"/>
  <c r="M236" i="164"/>
  <c r="L236" i="164"/>
  <c r="H236" i="164"/>
  <c r="N235" i="164"/>
  <c r="M235" i="164"/>
  <c r="L235" i="164"/>
  <c r="H235" i="164"/>
  <c r="N234" i="164"/>
  <c r="M234" i="164"/>
  <c r="L234" i="164"/>
  <c r="H234" i="164"/>
  <c r="N233" i="164"/>
  <c r="M233" i="164"/>
  <c r="L233" i="164"/>
  <c r="H233" i="164"/>
  <c r="N232" i="164"/>
  <c r="M232" i="164"/>
  <c r="L232" i="164"/>
  <c r="H232" i="164"/>
  <c r="N231" i="164"/>
  <c r="M231" i="164"/>
  <c r="L231" i="164"/>
  <c r="H231" i="164"/>
  <c r="N230" i="164"/>
  <c r="M230" i="164"/>
  <c r="L230" i="164"/>
  <c r="H230" i="164"/>
  <c r="N229" i="164"/>
  <c r="M229" i="164"/>
  <c r="L229" i="164"/>
  <c r="H229" i="164"/>
  <c r="N228" i="164"/>
  <c r="M228" i="164"/>
  <c r="L228" i="164"/>
  <c r="H228" i="164"/>
  <c r="N227" i="164"/>
  <c r="M227" i="164"/>
  <c r="L227" i="164"/>
  <c r="H227" i="164"/>
  <c r="N226" i="164"/>
  <c r="M226" i="164"/>
  <c r="L226" i="164"/>
  <c r="H226" i="164"/>
  <c r="N225" i="164"/>
  <c r="M225" i="164"/>
  <c r="L225" i="164"/>
  <c r="H225" i="164"/>
  <c r="N224" i="164"/>
  <c r="M224" i="164"/>
  <c r="L224" i="164"/>
  <c r="H224" i="164"/>
  <c r="N223" i="164"/>
  <c r="M223" i="164"/>
  <c r="L223" i="164"/>
  <c r="H223" i="164"/>
  <c r="N222" i="164"/>
  <c r="M222" i="164"/>
  <c r="L222" i="164"/>
  <c r="H222" i="164"/>
  <c r="N221" i="164"/>
  <c r="M221" i="164"/>
  <c r="L221" i="164"/>
  <c r="H221" i="164"/>
  <c r="N220" i="164"/>
  <c r="M220" i="164"/>
  <c r="L220" i="164"/>
  <c r="H220" i="164"/>
  <c r="N219" i="164"/>
  <c r="M219" i="164"/>
  <c r="L219" i="164"/>
  <c r="H219" i="164"/>
  <c r="N218" i="164"/>
  <c r="M218" i="164"/>
  <c r="L218" i="164"/>
  <c r="H218" i="164"/>
  <c r="N217" i="164"/>
  <c r="M217" i="164"/>
  <c r="L217" i="164"/>
  <c r="H217" i="164"/>
  <c r="N216" i="164"/>
  <c r="M216" i="164"/>
  <c r="L216" i="164"/>
  <c r="H216" i="164"/>
  <c r="N215" i="164"/>
  <c r="M215" i="164"/>
  <c r="L215" i="164"/>
  <c r="H215" i="164"/>
  <c r="N214" i="164"/>
  <c r="M214" i="164"/>
  <c r="L214" i="164"/>
  <c r="H214" i="164"/>
  <c r="N213" i="164"/>
  <c r="M213" i="164"/>
  <c r="L213" i="164"/>
  <c r="H213" i="164"/>
  <c r="N212" i="164"/>
  <c r="M212" i="164"/>
  <c r="L212" i="164"/>
  <c r="H212" i="164"/>
  <c r="N211" i="164"/>
  <c r="M211" i="164"/>
  <c r="L211" i="164"/>
  <c r="H211" i="164"/>
  <c r="N210" i="164"/>
  <c r="M210" i="164"/>
  <c r="L210" i="164"/>
  <c r="H210" i="164"/>
  <c r="N209" i="164"/>
  <c r="M209" i="164"/>
  <c r="L209" i="164"/>
  <c r="H209" i="164"/>
  <c r="N208" i="164"/>
  <c r="M208" i="164"/>
  <c r="L208" i="164"/>
  <c r="H208" i="164"/>
  <c r="N207" i="164"/>
  <c r="M207" i="164"/>
  <c r="L207" i="164"/>
  <c r="H207" i="164"/>
  <c r="N206" i="164"/>
  <c r="M206" i="164"/>
  <c r="L206" i="164"/>
  <c r="H206" i="164"/>
  <c r="N205" i="164"/>
  <c r="M205" i="164"/>
  <c r="L205" i="164"/>
  <c r="H205" i="164"/>
  <c r="N204" i="164"/>
  <c r="M204" i="164"/>
  <c r="L204" i="164"/>
  <c r="H204" i="164"/>
  <c r="N203" i="164"/>
  <c r="M203" i="164"/>
  <c r="L203" i="164"/>
  <c r="H203" i="164"/>
  <c r="N202" i="164"/>
  <c r="M202" i="164"/>
  <c r="L202" i="164"/>
  <c r="H202" i="164"/>
  <c r="N201" i="164"/>
  <c r="M201" i="164"/>
  <c r="L201" i="164"/>
  <c r="H201" i="164"/>
  <c r="N200" i="164"/>
  <c r="M200" i="164"/>
  <c r="L200" i="164"/>
  <c r="H200" i="164"/>
  <c r="N199" i="164"/>
  <c r="M199" i="164"/>
  <c r="L199" i="164"/>
  <c r="H199" i="164"/>
  <c r="N198" i="164"/>
  <c r="M198" i="164"/>
  <c r="L198" i="164"/>
  <c r="H198" i="164"/>
  <c r="N197" i="164"/>
  <c r="M197" i="164"/>
  <c r="L197" i="164"/>
  <c r="H197" i="164"/>
  <c r="N196" i="164"/>
  <c r="M196" i="164"/>
  <c r="L196" i="164"/>
  <c r="H196" i="164"/>
  <c r="N195" i="164"/>
  <c r="M195" i="164"/>
  <c r="L195" i="164"/>
  <c r="H195" i="164"/>
  <c r="N194" i="164"/>
  <c r="M194" i="164"/>
  <c r="L194" i="164"/>
  <c r="H194" i="164"/>
  <c r="N193" i="164"/>
  <c r="M193" i="164"/>
  <c r="L193" i="164"/>
  <c r="H193" i="164"/>
  <c r="N192" i="164"/>
  <c r="M192" i="164"/>
  <c r="L192" i="164"/>
  <c r="H192" i="164"/>
  <c r="N191" i="164"/>
  <c r="M191" i="164"/>
  <c r="L191" i="164"/>
  <c r="H191" i="164"/>
  <c r="N190" i="164"/>
  <c r="M190" i="164"/>
  <c r="L190" i="164"/>
  <c r="H190" i="164"/>
  <c r="N189" i="164"/>
  <c r="M189" i="164"/>
  <c r="L189" i="164"/>
  <c r="H189" i="164"/>
  <c r="N188" i="164"/>
  <c r="M188" i="164"/>
  <c r="L188" i="164"/>
  <c r="H188" i="164"/>
  <c r="N187" i="164"/>
  <c r="M187" i="164"/>
  <c r="L187" i="164"/>
  <c r="H187" i="164"/>
  <c r="N186" i="164"/>
  <c r="M186" i="164"/>
  <c r="L186" i="164"/>
  <c r="H186" i="164"/>
  <c r="N185" i="164"/>
  <c r="M185" i="164"/>
  <c r="L185" i="164"/>
  <c r="H185" i="164"/>
  <c r="N184" i="164"/>
  <c r="M184" i="164"/>
  <c r="L184" i="164"/>
  <c r="H184" i="164"/>
  <c r="N183" i="164"/>
  <c r="M183" i="164"/>
  <c r="L183" i="164"/>
  <c r="H183" i="164"/>
  <c r="N182" i="164"/>
  <c r="M182" i="164"/>
  <c r="L182" i="164"/>
  <c r="H182" i="164"/>
  <c r="N181" i="164"/>
  <c r="M181" i="164"/>
  <c r="L181" i="164"/>
  <c r="H181" i="164"/>
  <c r="N180" i="164"/>
  <c r="M180" i="164"/>
  <c r="L180" i="164"/>
  <c r="H180" i="164"/>
  <c r="N179" i="164"/>
  <c r="M179" i="164"/>
  <c r="L179" i="164"/>
  <c r="H179" i="164"/>
  <c r="N178" i="164"/>
  <c r="M178" i="164"/>
  <c r="L178" i="164"/>
  <c r="H178" i="164"/>
  <c r="N177" i="164"/>
  <c r="M177" i="164"/>
  <c r="L177" i="164"/>
  <c r="H177" i="164"/>
  <c r="N176" i="164"/>
  <c r="M176" i="164"/>
  <c r="L176" i="164"/>
  <c r="H176" i="164"/>
  <c r="N175" i="164"/>
  <c r="M175" i="164"/>
  <c r="L175" i="164"/>
  <c r="H175" i="164"/>
  <c r="N174" i="164"/>
  <c r="M174" i="164"/>
  <c r="L174" i="164"/>
  <c r="H174" i="164"/>
  <c r="N173" i="164"/>
  <c r="M173" i="164"/>
  <c r="L173" i="164"/>
  <c r="H173" i="164"/>
  <c r="N172" i="164"/>
  <c r="M172" i="164"/>
  <c r="L172" i="164"/>
  <c r="H172" i="164"/>
  <c r="N171" i="164"/>
  <c r="M171" i="164"/>
  <c r="L171" i="164"/>
  <c r="H171" i="164"/>
  <c r="N170" i="164"/>
  <c r="M170" i="164"/>
  <c r="L170" i="164"/>
  <c r="H170" i="164"/>
  <c r="N169" i="164"/>
  <c r="M169" i="164"/>
  <c r="L169" i="164"/>
  <c r="H169" i="164"/>
  <c r="N168" i="164"/>
  <c r="M168" i="164"/>
  <c r="L168" i="164"/>
  <c r="H168" i="164"/>
  <c r="N167" i="164"/>
  <c r="M167" i="164"/>
  <c r="L167" i="164"/>
  <c r="H167" i="164"/>
  <c r="N166" i="164"/>
  <c r="M166" i="164"/>
  <c r="L166" i="164"/>
  <c r="H166" i="164"/>
  <c r="N165" i="164"/>
  <c r="M165" i="164"/>
  <c r="L165" i="164"/>
  <c r="H165" i="164"/>
  <c r="N164" i="164"/>
  <c r="M164" i="164"/>
  <c r="L164" i="164"/>
  <c r="H164" i="164"/>
  <c r="N163" i="164"/>
  <c r="M163" i="164"/>
  <c r="L163" i="164"/>
  <c r="H163" i="164"/>
  <c r="N162" i="164"/>
  <c r="M162" i="164"/>
  <c r="L162" i="164"/>
  <c r="H162" i="164"/>
  <c r="N161" i="164"/>
  <c r="M161" i="164"/>
  <c r="L161" i="164"/>
  <c r="H161" i="164"/>
  <c r="N160" i="164"/>
  <c r="M160" i="164"/>
  <c r="L160" i="164"/>
  <c r="H160" i="164"/>
  <c r="N159" i="164"/>
  <c r="M159" i="164"/>
  <c r="L159" i="164"/>
  <c r="H159" i="164"/>
  <c r="N158" i="164"/>
  <c r="M158" i="164"/>
  <c r="L158" i="164"/>
  <c r="H158" i="164"/>
  <c r="N157" i="164"/>
  <c r="M157" i="164"/>
  <c r="L157" i="164"/>
  <c r="H157" i="164"/>
  <c r="N156" i="164"/>
  <c r="M156" i="164"/>
  <c r="L156" i="164"/>
  <c r="H156" i="164"/>
  <c r="N155" i="164"/>
  <c r="M155" i="164"/>
  <c r="L155" i="164"/>
  <c r="H155" i="164"/>
  <c r="N154" i="164"/>
  <c r="M154" i="164"/>
  <c r="L154" i="164"/>
  <c r="H154" i="164"/>
  <c r="N153" i="164"/>
  <c r="M153" i="164"/>
  <c r="L153" i="164"/>
  <c r="H153" i="164"/>
  <c r="N152" i="164"/>
  <c r="M152" i="164"/>
  <c r="L152" i="164"/>
  <c r="H152" i="164"/>
  <c r="N151" i="164"/>
  <c r="M151" i="164"/>
  <c r="L151" i="164"/>
  <c r="H151" i="164"/>
  <c r="N150" i="164"/>
  <c r="M150" i="164"/>
  <c r="L150" i="164"/>
  <c r="H150" i="164"/>
  <c r="N149" i="164"/>
  <c r="M149" i="164"/>
  <c r="L149" i="164"/>
  <c r="H149" i="164"/>
  <c r="N148" i="164"/>
  <c r="M148" i="164"/>
  <c r="L148" i="164"/>
  <c r="H148" i="164"/>
  <c r="N147" i="164"/>
  <c r="M147" i="164"/>
  <c r="L147" i="164"/>
  <c r="H147" i="164"/>
  <c r="N146" i="164"/>
  <c r="M146" i="164"/>
  <c r="L146" i="164"/>
  <c r="H146" i="164"/>
  <c r="N145" i="164"/>
  <c r="M145" i="164"/>
  <c r="L145" i="164"/>
  <c r="H145" i="164"/>
  <c r="N144" i="164"/>
  <c r="M144" i="164"/>
  <c r="L144" i="164"/>
  <c r="H144" i="164"/>
  <c r="N143" i="164"/>
  <c r="M143" i="164"/>
  <c r="L143" i="164"/>
  <c r="H143" i="164"/>
  <c r="N142" i="164"/>
  <c r="M142" i="164"/>
  <c r="L142" i="164"/>
  <c r="H142" i="164"/>
  <c r="N141" i="164"/>
  <c r="M141" i="164"/>
  <c r="L141" i="164"/>
  <c r="H141" i="164"/>
  <c r="N140" i="164"/>
  <c r="M140" i="164"/>
  <c r="L140" i="164"/>
  <c r="H140" i="164"/>
  <c r="N139" i="164"/>
  <c r="M139" i="164"/>
  <c r="L139" i="164"/>
  <c r="H139" i="164"/>
  <c r="N138" i="164"/>
  <c r="M138" i="164"/>
  <c r="L138" i="164"/>
  <c r="H138" i="164"/>
  <c r="N137" i="164"/>
  <c r="M137" i="164"/>
  <c r="L137" i="164"/>
  <c r="H137" i="164"/>
  <c r="N136" i="164"/>
  <c r="M136" i="164"/>
  <c r="L136" i="164"/>
  <c r="H136" i="164"/>
  <c r="N135" i="164"/>
  <c r="M135" i="164"/>
  <c r="L135" i="164"/>
  <c r="H135" i="164"/>
  <c r="N134" i="164"/>
  <c r="M134" i="164"/>
  <c r="L134" i="164"/>
  <c r="H134" i="164"/>
  <c r="N133" i="164"/>
  <c r="M133" i="164"/>
  <c r="L133" i="164"/>
  <c r="H133" i="164"/>
  <c r="N132" i="164"/>
  <c r="M132" i="164"/>
  <c r="L132" i="164"/>
  <c r="H132" i="164"/>
  <c r="N131" i="164"/>
  <c r="M131" i="164"/>
  <c r="L131" i="164"/>
  <c r="H131" i="164"/>
  <c r="N130" i="164"/>
  <c r="M130" i="164"/>
  <c r="L130" i="164"/>
  <c r="H130" i="164"/>
  <c r="N129" i="164"/>
  <c r="M129" i="164"/>
  <c r="L129" i="164"/>
  <c r="H129" i="164"/>
  <c r="N128" i="164"/>
  <c r="M128" i="164"/>
  <c r="L128" i="164"/>
  <c r="H128" i="164"/>
  <c r="N127" i="164"/>
  <c r="M127" i="164"/>
  <c r="L127" i="164"/>
  <c r="H127" i="164"/>
  <c r="N126" i="164"/>
  <c r="M126" i="164"/>
  <c r="L126" i="164"/>
  <c r="H126" i="164"/>
  <c r="N125" i="164"/>
  <c r="M125" i="164"/>
  <c r="L125" i="164"/>
  <c r="H125" i="164"/>
  <c r="N124" i="164"/>
  <c r="M124" i="164"/>
  <c r="L124" i="164"/>
  <c r="H124" i="164"/>
  <c r="N123" i="164"/>
  <c r="M123" i="164"/>
  <c r="L123" i="164"/>
  <c r="H123" i="164"/>
  <c r="N122" i="164"/>
  <c r="M122" i="164"/>
  <c r="L122" i="164"/>
  <c r="H122" i="164"/>
  <c r="N121" i="164"/>
  <c r="M121" i="164"/>
  <c r="L121" i="164"/>
  <c r="H121" i="164"/>
  <c r="N120" i="164"/>
  <c r="M120" i="164"/>
  <c r="L120" i="164"/>
  <c r="H120" i="164"/>
  <c r="N119" i="164"/>
  <c r="M119" i="164"/>
  <c r="L119" i="164"/>
  <c r="H119" i="164"/>
  <c r="N118" i="164"/>
  <c r="M118" i="164"/>
  <c r="L118" i="164"/>
  <c r="H118" i="164"/>
  <c r="N117" i="164"/>
  <c r="M117" i="164"/>
  <c r="L117" i="164"/>
  <c r="H117" i="164"/>
  <c r="N116" i="164"/>
  <c r="M116" i="164"/>
  <c r="L116" i="164"/>
  <c r="H116" i="164"/>
  <c r="N115" i="164"/>
  <c r="M115" i="164"/>
  <c r="L115" i="164"/>
  <c r="H115" i="164"/>
  <c r="N114" i="164"/>
  <c r="M114" i="164"/>
  <c r="L114" i="164"/>
  <c r="H114" i="164"/>
  <c r="N113" i="164"/>
  <c r="M113" i="164"/>
  <c r="L113" i="164"/>
  <c r="H113" i="164"/>
  <c r="N112" i="164"/>
  <c r="M112" i="164"/>
  <c r="L112" i="164"/>
  <c r="H112" i="164"/>
  <c r="N111" i="164"/>
  <c r="M111" i="164"/>
  <c r="L111" i="164"/>
  <c r="H111" i="164"/>
  <c r="N110" i="164"/>
  <c r="M110" i="164"/>
  <c r="L110" i="164"/>
  <c r="H110" i="164"/>
  <c r="N109" i="164"/>
  <c r="M109" i="164"/>
  <c r="L109" i="164"/>
  <c r="H109" i="164"/>
  <c r="N108" i="164"/>
  <c r="M108" i="164"/>
  <c r="L108" i="164"/>
  <c r="H108" i="164"/>
  <c r="N107" i="164"/>
  <c r="M107" i="164"/>
  <c r="L107" i="164"/>
  <c r="H107" i="164"/>
  <c r="N106" i="164"/>
  <c r="M106" i="164"/>
  <c r="L106" i="164"/>
  <c r="H106" i="164"/>
  <c r="N105" i="164"/>
  <c r="M105" i="164"/>
  <c r="L105" i="164"/>
  <c r="H105" i="164"/>
  <c r="N104" i="164"/>
  <c r="M104" i="164"/>
  <c r="L104" i="164"/>
  <c r="H104" i="164"/>
  <c r="N103" i="164"/>
  <c r="M103" i="164"/>
  <c r="L103" i="164"/>
  <c r="H103" i="164"/>
  <c r="N102" i="164"/>
  <c r="M102" i="164"/>
  <c r="L102" i="164"/>
  <c r="H102" i="164"/>
  <c r="N101" i="164"/>
  <c r="M101" i="164"/>
  <c r="L101" i="164"/>
  <c r="H101" i="164"/>
  <c r="N100" i="164"/>
  <c r="M100" i="164"/>
  <c r="L100" i="164"/>
  <c r="H100" i="164"/>
  <c r="N99" i="164"/>
  <c r="M99" i="164"/>
  <c r="L99" i="164"/>
  <c r="H99" i="164"/>
  <c r="N98" i="164"/>
  <c r="M98" i="164"/>
  <c r="L98" i="164"/>
  <c r="H98" i="164"/>
  <c r="N97" i="164"/>
  <c r="M97" i="164"/>
  <c r="L97" i="164"/>
  <c r="H97" i="164"/>
  <c r="N96" i="164"/>
  <c r="M96" i="164"/>
  <c r="L96" i="164"/>
  <c r="H96" i="164"/>
  <c r="N95" i="164"/>
  <c r="M95" i="164"/>
  <c r="L95" i="164"/>
  <c r="H95" i="164"/>
  <c r="N94" i="164"/>
  <c r="M94" i="164"/>
  <c r="L94" i="164"/>
  <c r="H94" i="164"/>
  <c r="N93" i="164"/>
  <c r="M93" i="164"/>
  <c r="L93" i="164"/>
  <c r="H93" i="164"/>
  <c r="N92" i="164"/>
  <c r="M92" i="164"/>
  <c r="L92" i="164"/>
  <c r="H92" i="164"/>
  <c r="N91" i="164"/>
  <c r="M91" i="164"/>
  <c r="L91" i="164"/>
  <c r="H91" i="164"/>
  <c r="N90" i="164"/>
  <c r="M90" i="164"/>
  <c r="L90" i="164"/>
  <c r="H90" i="164"/>
  <c r="N89" i="164"/>
  <c r="M89" i="164"/>
  <c r="L89" i="164"/>
  <c r="H89" i="164"/>
  <c r="N88" i="164"/>
  <c r="M88" i="164"/>
  <c r="L88" i="164"/>
  <c r="H88" i="164"/>
  <c r="N87" i="164"/>
  <c r="M87" i="164"/>
  <c r="L87" i="164"/>
  <c r="H87" i="164"/>
  <c r="N86" i="164"/>
  <c r="M86" i="164"/>
  <c r="L86" i="164"/>
  <c r="H86" i="164"/>
  <c r="N85" i="164"/>
  <c r="M85" i="164"/>
  <c r="L85" i="164"/>
  <c r="H85" i="164"/>
  <c r="N84" i="164"/>
  <c r="M84" i="164"/>
  <c r="L84" i="164"/>
  <c r="H84" i="164"/>
  <c r="N83" i="164"/>
  <c r="M83" i="164"/>
  <c r="L83" i="164"/>
  <c r="H83" i="164"/>
  <c r="N82" i="164"/>
  <c r="M82" i="164"/>
  <c r="L82" i="164"/>
  <c r="H82" i="164"/>
  <c r="N81" i="164"/>
  <c r="M81" i="164"/>
  <c r="L81" i="164"/>
  <c r="H81" i="164"/>
  <c r="N80" i="164"/>
  <c r="M80" i="164"/>
  <c r="L80" i="164"/>
  <c r="H80" i="164"/>
  <c r="N79" i="164"/>
  <c r="M79" i="164"/>
  <c r="L79" i="164"/>
  <c r="H79" i="164"/>
  <c r="N78" i="164"/>
  <c r="M78" i="164"/>
  <c r="L78" i="164"/>
  <c r="H78" i="164"/>
  <c r="N77" i="164"/>
  <c r="M77" i="164"/>
  <c r="L77" i="164"/>
  <c r="H77" i="164"/>
  <c r="N76" i="164"/>
  <c r="M76" i="164"/>
  <c r="L76" i="164"/>
  <c r="H76" i="164"/>
  <c r="N75" i="164"/>
  <c r="M75" i="164"/>
  <c r="L75" i="164"/>
  <c r="H75" i="164"/>
  <c r="N74" i="164"/>
  <c r="M74" i="164"/>
  <c r="L74" i="164"/>
  <c r="H74" i="164"/>
  <c r="N73" i="164"/>
  <c r="M73" i="164"/>
  <c r="L73" i="164"/>
  <c r="H73" i="164"/>
  <c r="N72" i="164"/>
  <c r="M72" i="164"/>
  <c r="L72" i="164"/>
  <c r="H72" i="164"/>
  <c r="N71" i="164"/>
  <c r="M71" i="164"/>
  <c r="L71" i="164"/>
  <c r="H71" i="164"/>
  <c r="N70" i="164"/>
  <c r="M70" i="164"/>
  <c r="L70" i="164"/>
  <c r="H70" i="164"/>
  <c r="N69" i="164"/>
  <c r="M69" i="164"/>
  <c r="L69" i="164"/>
  <c r="H69" i="164"/>
  <c r="N68" i="164"/>
  <c r="M68" i="164"/>
  <c r="L68" i="164"/>
  <c r="H68" i="164"/>
  <c r="N67" i="164"/>
  <c r="M67" i="164"/>
  <c r="L67" i="164"/>
  <c r="H67" i="164"/>
  <c r="N66" i="164"/>
  <c r="M66" i="164"/>
  <c r="L66" i="164"/>
  <c r="H66" i="164"/>
  <c r="N65" i="164"/>
  <c r="M65" i="164"/>
  <c r="L65" i="164"/>
  <c r="H65" i="164"/>
  <c r="N64" i="164"/>
  <c r="M64" i="164"/>
  <c r="L64" i="164"/>
  <c r="H64" i="164"/>
  <c r="N63" i="164"/>
  <c r="M63" i="164"/>
  <c r="L63" i="164"/>
  <c r="H63" i="164"/>
  <c r="N62" i="164"/>
  <c r="M62" i="164"/>
  <c r="L62" i="164"/>
  <c r="H62" i="164"/>
  <c r="N61" i="164"/>
  <c r="M61" i="164"/>
  <c r="L61" i="164"/>
  <c r="H61" i="164"/>
  <c r="N60" i="164"/>
  <c r="M60" i="164"/>
  <c r="L60" i="164"/>
  <c r="H60" i="164"/>
  <c r="N59" i="164"/>
  <c r="M59" i="164"/>
  <c r="L59" i="164"/>
  <c r="H59" i="164"/>
  <c r="N58" i="164"/>
  <c r="M58" i="164"/>
  <c r="L58" i="164"/>
  <c r="H58" i="164"/>
  <c r="N57" i="164"/>
  <c r="M57" i="164"/>
  <c r="L57" i="164"/>
  <c r="H57" i="164"/>
  <c r="N56" i="164"/>
  <c r="M56" i="164"/>
  <c r="L56" i="164"/>
  <c r="H56" i="164"/>
  <c r="N55" i="164"/>
  <c r="M55" i="164"/>
  <c r="L55" i="164"/>
  <c r="H55" i="164"/>
  <c r="N54" i="164"/>
  <c r="M54" i="164"/>
  <c r="L54" i="164"/>
  <c r="H54" i="164"/>
  <c r="N53" i="164"/>
  <c r="M53" i="164"/>
  <c r="L53" i="164"/>
  <c r="H53" i="164"/>
  <c r="N52" i="164"/>
  <c r="M52" i="164"/>
  <c r="L52" i="164"/>
  <c r="H52" i="164"/>
  <c r="N51" i="164"/>
  <c r="M51" i="164"/>
  <c r="L51" i="164"/>
  <c r="H51" i="164"/>
  <c r="N50" i="164"/>
  <c r="M50" i="164"/>
  <c r="L50" i="164"/>
  <c r="H50" i="164"/>
  <c r="N49" i="164"/>
  <c r="M49" i="164"/>
  <c r="L49" i="164"/>
  <c r="H49" i="164"/>
  <c r="N48" i="164"/>
  <c r="M48" i="164"/>
  <c r="L48" i="164"/>
  <c r="H48" i="164"/>
  <c r="N47" i="164"/>
  <c r="M47" i="164"/>
  <c r="L47" i="164"/>
  <c r="H47" i="164"/>
  <c r="N46" i="164"/>
  <c r="M46" i="164"/>
  <c r="L46" i="164"/>
  <c r="H46" i="164"/>
  <c r="N45" i="164"/>
  <c r="M45" i="164"/>
  <c r="L45" i="164"/>
  <c r="H45" i="164"/>
  <c r="N44" i="164"/>
  <c r="M44" i="164"/>
  <c r="L44" i="164"/>
  <c r="H44" i="164"/>
  <c r="N43" i="164"/>
  <c r="M43" i="164"/>
  <c r="L43" i="164"/>
  <c r="H43" i="164"/>
  <c r="N42" i="164"/>
  <c r="M42" i="164"/>
  <c r="L42" i="164"/>
  <c r="H42" i="164"/>
  <c r="N41" i="164"/>
  <c r="M41" i="164"/>
  <c r="L41" i="164"/>
  <c r="H41" i="164"/>
  <c r="N40" i="164"/>
  <c r="M40" i="164"/>
  <c r="L40" i="164"/>
  <c r="H40" i="164"/>
  <c r="N39" i="164"/>
  <c r="M39" i="164"/>
  <c r="L39" i="164"/>
  <c r="H39" i="164"/>
  <c r="N38" i="164"/>
  <c r="M38" i="164"/>
  <c r="L38" i="164"/>
  <c r="H38" i="164"/>
  <c r="N37" i="164"/>
  <c r="M37" i="164"/>
  <c r="L37" i="164"/>
  <c r="H37" i="164"/>
  <c r="N36" i="164"/>
  <c r="M36" i="164"/>
  <c r="L36" i="164"/>
  <c r="H36" i="164"/>
  <c r="N35" i="164"/>
  <c r="M35" i="164"/>
  <c r="L35" i="164"/>
  <c r="H35" i="164"/>
  <c r="N34" i="164"/>
  <c r="M34" i="164"/>
  <c r="L34" i="164"/>
  <c r="H34" i="164"/>
  <c r="N33" i="164"/>
  <c r="M33" i="164"/>
  <c r="L33" i="164"/>
  <c r="H33" i="164"/>
  <c r="N32" i="164"/>
  <c r="M32" i="164"/>
  <c r="L32" i="164"/>
  <c r="H32" i="164"/>
  <c r="N31" i="164"/>
  <c r="M31" i="164"/>
  <c r="L31" i="164"/>
  <c r="H31" i="164"/>
  <c r="N30" i="164"/>
  <c r="M30" i="164"/>
  <c r="L30" i="164"/>
  <c r="H30" i="164"/>
  <c r="N29" i="164"/>
  <c r="M29" i="164"/>
  <c r="L29" i="164"/>
  <c r="H29" i="164"/>
  <c r="N28" i="164"/>
  <c r="M28" i="164"/>
  <c r="L28" i="164"/>
  <c r="H28" i="164"/>
  <c r="N27" i="164"/>
  <c r="M27" i="164"/>
  <c r="L27" i="164"/>
  <c r="H27" i="164"/>
  <c r="N26" i="164"/>
  <c r="M26" i="164"/>
  <c r="L26" i="164"/>
  <c r="H26" i="164"/>
  <c r="N25" i="164"/>
  <c r="M25" i="164"/>
  <c r="L25" i="164"/>
  <c r="H25" i="164"/>
  <c r="N24" i="164"/>
  <c r="M24" i="164"/>
  <c r="L24" i="164"/>
  <c r="H24" i="164"/>
  <c r="N23" i="164"/>
  <c r="M23" i="164"/>
  <c r="L23" i="164"/>
  <c r="H23" i="164"/>
  <c r="N22" i="164"/>
  <c r="M22" i="164"/>
  <c r="L22" i="164"/>
  <c r="H22" i="164"/>
  <c r="N21" i="164"/>
  <c r="M21" i="164"/>
  <c r="L21" i="164"/>
  <c r="H21" i="164"/>
  <c r="N20" i="164"/>
  <c r="M20" i="164"/>
  <c r="L20" i="164"/>
  <c r="H20" i="164"/>
  <c r="N19" i="164"/>
  <c r="M19" i="164"/>
  <c r="L19" i="164"/>
  <c r="H19" i="164"/>
  <c r="N18" i="164"/>
  <c r="M18" i="164"/>
  <c r="L18" i="164"/>
  <c r="H18" i="164"/>
  <c r="N17" i="164"/>
  <c r="M17" i="164"/>
  <c r="L17" i="164"/>
  <c r="H17" i="164"/>
  <c r="N16" i="164"/>
  <c r="M16" i="164"/>
  <c r="L16" i="164"/>
  <c r="H16" i="164"/>
  <c r="N15" i="164"/>
  <c r="M15" i="164"/>
  <c r="L15" i="164"/>
  <c r="H15" i="164"/>
  <c r="N14" i="164"/>
  <c r="M14" i="164"/>
  <c r="L14" i="164"/>
  <c r="H14" i="164"/>
  <c r="N13" i="164"/>
  <c r="M13" i="164"/>
  <c r="L13" i="164"/>
  <c r="H13" i="164"/>
  <c r="N12" i="164"/>
  <c r="M12" i="164"/>
  <c r="L12" i="164"/>
  <c r="H12" i="164"/>
  <c r="N11" i="164"/>
  <c r="M11" i="164"/>
  <c r="L11" i="164"/>
  <c r="H11" i="164"/>
  <c r="N10" i="164"/>
  <c r="M10" i="164"/>
  <c r="L10" i="164"/>
  <c r="H10" i="164"/>
  <c r="N9" i="164"/>
  <c r="M9" i="164"/>
  <c r="L9" i="164"/>
  <c r="H9" i="164"/>
  <c r="N8" i="164"/>
  <c r="M8" i="164"/>
  <c r="L8" i="164"/>
  <c r="H8" i="164"/>
  <c r="N7" i="164"/>
  <c r="M7" i="164"/>
  <c r="L7" i="164"/>
  <c r="H7" i="164"/>
  <c r="N6" i="164"/>
  <c r="M6" i="164"/>
  <c r="L6" i="164"/>
  <c r="H6" i="164"/>
  <c r="N5" i="164"/>
  <c r="M5" i="164"/>
  <c r="L5" i="164"/>
  <c r="H5" i="164"/>
  <c r="N4" i="164"/>
  <c r="M4" i="164"/>
  <c r="L4" i="164"/>
  <c r="H4" i="164"/>
  <c r="N3" i="164"/>
  <c r="M3" i="164"/>
  <c r="L3" i="164"/>
  <c r="H3" i="164"/>
  <c r="P314" i="162"/>
  <c r="P317" i="162"/>
  <c r="P321" i="162"/>
  <c r="P328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38" i="162"/>
  <c r="P139" i="162"/>
  <c r="P140" i="162"/>
  <c r="P141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5" i="162"/>
  <c r="P316" i="162"/>
  <c r="P318" i="162"/>
  <c r="P319" i="162"/>
  <c r="P320" i="162"/>
  <c r="P322" i="162"/>
  <c r="P323" i="162"/>
  <c r="P324" i="162"/>
  <c r="P325" i="162"/>
  <c r="P326" i="162"/>
  <c r="P327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B47" i="163"/>
  <c r="C40" i="163"/>
  <c r="C41" i="163"/>
  <c r="C42" i="163"/>
  <c r="C43" i="163"/>
  <c r="C44" i="163"/>
  <c r="C45" i="163"/>
  <c r="C46" i="163"/>
  <c r="C47" i="163"/>
  <c r="G42" i="163"/>
  <c r="G41" i="163"/>
  <c r="G40" i="163"/>
  <c r="F34" i="163"/>
  <c r="B10" i="163"/>
  <c r="B3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R3" i="163"/>
  <c r="P3" i="163"/>
  <c r="O3" i="163"/>
  <c r="M3" i="163"/>
  <c r="V2" i="163"/>
  <c r="F49" i="161"/>
  <c r="F48" i="161"/>
  <c r="F47" i="161"/>
  <c r="F46" i="161"/>
  <c r="B46" i="161"/>
  <c r="F45" i="161"/>
  <c r="B45" i="161"/>
  <c r="B44" i="161"/>
  <c r="B43" i="161"/>
  <c r="F42" i="161"/>
  <c r="B42" i="161"/>
  <c r="F41" i="161"/>
  <c r="B41" i="161"/>
  <c r="F40" i="161"/>
  <c r="B40" i="161"/>
  <c r="E31" i="161"/>
  <c r="E30" i="161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F340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N340" i="162"/>
  <c r="M340" i="162"/>
  <c r="L340" i="162"/>
  <c r="H340" i="162"/>
  <c r="N339" i="162"/>
  <c r="M339" i="162"/>
  <c r="L339" i="162"/>
  <c r="H339" i="162"/>
  <c r="N338" i="162"/>
  <c r="M338" i="162"/>
  <c r="L338" i="162"/>
  <c r="H338" i="162"/>
  <c r="N337" i="162"/>
  <c r="M337" i="162"/>
  <c r="L337" i="162"/>
  <c r="H337" i="162"/>
  <c r="N336" i="162"/>
  <c r="M336" i="162"/>
  <c r="L336" i="162"/>
  <c r="H336" i="162"/>
  <c r="N335" i="162"/>
  <c r="M335" i="162"/>
  <c r="L335" i="162"/>
  <c r="H335" i="162"/>
  <c r="N334" i="162"/>
  <c r="M334" i="162"/>
  <c r="L334" i="162"/>
  <c r="H334" i="162"/>
  <c r="N333" i="162"/>
  <c r="M333" i="162"/>
  <c r="L333" i="162"/>
  <c r="H333" i="162"/>
  <c r="N332" i="162"/>
  <c r="M332" i="162"/>
  <c r="L332" i="162"/>
  <c r="H332" i="162"/>
  <c r="N331" i="162"/>
  <c r="M331" i="162"/>
  <c r="L331" i="162"/>
  <c r="H331" i="162"/>
  <c r="N330" i="162"/>
  <c r="M330" i="162"/>
  <c r="L330" i="162"/>
  <c r="H330" i="162"/>
  <c r="N329" i="162"/>
  <c r="M329" i="162"/>
  <c r="L329" i="162"/>
  <c r="H329" i="162"/>
  <c r="N328" i="162"/>
  <c r="M328" i="162"/>
  <c r="L328" i="162"/>
  <c r="H328" i="162"/>
  <c r="N327" i="162"/>
  <c r="M327" i="162"/>
  <c r="L327" i="162"/>
  <c r="H327" i="162"/>
  <c r="N326" i="162"/>
  <c r="M326" i="162"/>
  <c r="L326" i="162"/>
  <c r="H326" i="162"/>
  <c r="N325" i="162"/>
  <c r="M325" i="162"/>
  <c r="L325" i="162"/>
  <c r="H325" i="162"/>
  <c r="N324" i="162"/>
  <c r="M324" i="162"/>
  <c r="L324" i="162"/>
  <c r="H324" i="162"/>
  <c r="N323" i="162"/>
  <c r="M323" i="162"/>
  <c r="L323" i="162"/>
  <c r="H323" i="162"/>
  <c r="N322" i="162"/>
  <c r="M322" i="162"/>
  <c r="L322" i="162"/>
  <c r="H322" i="162"/>
  <c r="N321" i="162"/>
  <c r="M321" i="162"/>
  <c r="L321" i="162"/>
  <c r="H321" i="162"/>
  <c r="N320" i="162"/>
  <c r="M320" i="162"/>
  <c r="L320" i="162"/>
  <c r="H320" i="162"/>
  <c r="N319" i="162"/>
  <c r="M319" i="162"/>
  <c r="L319" i="162"/>
  <c r="H319" i="162"/>
  <c r="N318" i="162"/>
  <c r="M318" i="162"/>
  <c r="L318" i="162"/>
  <c r="H318" i="162"/>
  <c r="N317" i="162"/>
  <c r="M317" i="162"/>
  <c r="L317" i="162"/>
  <c r="H317" i="162"/>
  <c r="N316" i="162"/>
  <c r="M316" i="162"/>
  <c r="L316" i="162"/>
  <c r="H316" i="162"/>
  <c r="N315" i="162"/>
  <c r="M315" i="162"/>
  <c r="L315" i="162"/>
  <c r="H315" i="162"/>
  <c r="N314" i="162"/>
  <c r="M314" i="162"/>
  <c r="L314" i="162"/>
  <c r="H314" i="162"/>
  <c r="N313" i="162"/>
  <c r="M313" i="162"/>
  <c r="L313" i="162"/>
  <c r="H313" i="162"/>
  <c r="N312" i="162"/>
  <c r="M312" i="162"/>
  <c r="L312" i="162"/>
  <c r="H312" i="162"/>
  <c r="N311" i="162"/>
  <c r="M311" i="162"/>
  <c r="L311" i="162"/>
  <c r="H311" i="162"/>
  <c r="N310" i="162"/>
  <c r="M310" i="162"/>
  <c r="L310" i="162"/>
  <c r="H310" i="162"/>
  <c r="N309" i="162"/>
  <c r="M309" i="162"/>
  <c r="L309" i="162"/>
  <c r="H309" i="162"/>
  <c r="N308" i="162"/>
  <c r="M308" i="162"/>
  <c r="L308" i="162"/>
  <c r="H308" i="162"/>
  <c r="N307" i="162"/>
  <c r="M307" i="162"/>
  <c r="L307" i="162"/>
  <c r="H307" i="162"/>
  <c r="N306" i="162"/>
  <c r="M306" i="162"/>
  <c r="L306" i="162"/>
  <c r="H306" i="162"/>
  <c r="N305" i="162"/>
  <c r="M305" i="162"/>
  <c r="L305" i="162"/>
  <c r="H305" i="162"/>
  <c r="N304" i="162"/>
  <c r="M304" i="162"/>
  <c r="L304" i="162"/>
  <c r="H304" i="162"/>
  <c r="N303" i="162"/>
  <c r="M303" i="162"/>
  <c r="L303" i="162"/>
  <c r="H303" i="162"/>
  <c r="N302" i="162"/>
  <c r="M302" i="162"/>
  <c r="L302" i="162"/>
  <c r="H302" i="162"/>
  <c r="N301" i="162"/>
  <c r="M301" i="162"/>
  <c r="L301" i="162"/>
  <c r="H301" i="162"/>
  <c r="N300" i="162"/>
  <c r="M300" i="162"/>
  <c r="L300" i="162"/>
  <c r="H300" i="162"/>
  <c r="N299" i="162"/>
  <c r="M299" i="162"/>
  <c r="L299" i="162"/>
  <c r="H299" i="162"/>
  <c r="N298" i="162"/>
  <c r="M298" i="162"/>
  <c r="L298" i="162"/>
  <c r="H298" i="162"/>
  <c r="N297" i="162"/>
  <c r="M297" i="162"/>
  <c r="L297" i="162"/>
  <c r="H297" i="162"/>
  <c r="N296" i="162"/>
  <c r="M296" i="162"/>
  <c r="L296" i="162"/>
  <c r="H296" i="162"/>
  <c r="N295" i="162"/>
  <c r="M295" i="162"/>
  <c r="L295" i="162"/>
  <c r="H295" i="162"/>
  <c r="N294" i="162"/>
  <c r="M294" i="162"/>
  <c r="L294" i="162"/>
  <c r="H294" i="162"/>
  <c r="N293" i="162"/>
  <c r="M293" i="162"/>
  <c r="L293" i="162"/>
  <c r="H293" i="162"/>
  <c r="N292" i="162"/>
  <c r="M292" i="162"/>
  <c r="L292" i="162"/>
  <c r="H292" i="162"/>
  <c r="N291" i="162"/>
  <c r="M291" i="162"/>
  <c r="L291" i="162"/>
  <c r="H291" i="162"/>
  <c r="N290" i="162"/>
  <c r="M290" i="162"/>
  <c r="L290" i="162"/>
  <c r="H290" i="162"/>
  <c r="N289" i="162"/>
  <c r="M289" i="162"/>
  <c r="L289" i="162"/>
  <c r="H289" i="162"/>
  <c r="N288" i="162"/>
  <c r="M288" i="162"/>
  <c r="L288" i="162"/>
  <c r="H288" i="162"/>
  <c r="N287" i="162"/>
  <c r="M287" i="162"/>
  <c r="L287" i="162"/>
  <c r="H287" i="162"/>
  <c r="N286" i="162"/>
  <c r="M286" i="162"/>
  <c r="L286" i="162"/>
  <c r="H286" i="162"/>
  <c r="N285" i="162"/>
  <c r="M285" i="162"/>
  <c r="L285" i="162"/>
  <c r="H285" i="162"/>
  <c r="N284" i="162"/>
  <c r="M284" i="162"/>
  <c r="L284" i="162"/>
  <c r="H284" i="162"/>
  <c r="N283" i="162"/>
  <c r="M283" i="162"/>
  <c r="L283" i="162"/>
  <c r="H283" i="162"/>
  <c r="N282" i="162"/>
  <c r="M282" i="162"/>
  <c r="L282" i="162"/>
  <c r="H282" i="162"/>
  <c r="N281" i="162"/>
  <c r="M281" i="162"/>
  <c r="L281" i="162"/>
  <c r="H281" i="162"/>
  <c r="N280" i="162"/>
  <c r="M280" i="162"/>
  <c r="L280" i="162"/>
  <c r="H280" i="162"/>
  <c r="N279" i="162"/>
  <c r="M279" i="162"/>
  <c r="L279" i="162"/>
  <c r="H279" i="162"/>
  <c r="N278" i="162"/>
  <c r="M278" i="162"/>
  <c r="L278" i="162"/>
  <c r="H278" i="162"/>
  <c r="N277" i="162"/>
  <c r="M277" i="162"/>
  <c r="L277" i="162"/>
  <c r="H277" i="162"/>
  <c r="N276" i="162"/>
  <c r="M276" i="162"/>
  <c r="L276" i="162"/>
  <c r="H276" i="162"/>
  <c r="N275" i="162"/>
  <c r="M275" i="162"/>
  <c r="L275" i="162"/>
  <c r="H275" i="162"/>
  <c r="N274" i="162"/>
  <c r="M274" i="162"/>
  <c r="L274" i="162"/>
  <c r="H274" i="162"/>
  <c r="N273" i="162"/>
  <c r="M273" i="162"/>
  <c r="L273" i="162"/>
  <c r="H273" i="162"/>
  <c r="N272" i="162"/>
  <c r="M272" i="162"/>
  <c r="L272" i="162"/>
  <c r="H272" i="162"/>
  <c r="N271" i="162"/>
  <c r="M271" i="162"/>
  <c r="L271" i="162"/>
  <c r="H271" i="162"/>
  <c r="N270" i="162"/>
  <c r="M270" i="162"/>
  <c r="L270" i="162"/>
  <c r="H270" i="162"/>
  <c r="N269" i="162"/>
  <c r="M269" i="162"/>
  <c r="L269" i="162"/>
  <c r="H269" i="162"/>
  <c r="N268" i="162"/>
  <c r="M268" i="162"/>
  <c r="L268" i="162"/>
  <c r="H268" i="162"/>
  <c r="N267" i="162"/>
  <c r="M267" i="162"/>
  <c r="L267" i="162"/>
  <c r="H267" i="162"/>
  <c r="N266" i="162"/>
  <c r="M266" i="162"/>
  <c r="L266" i="162"/>
  <c r="H266" i="162"/>
  <c r="N265" i="162"/>
  <c r="M265" i="162"/>
  <c r="L265" i="162"/>
  <c r="H265" i="162"/>
  <c r="N264" i="162"/>
  <c r="M264" i="162"/>
  <c r="L264" i="162"/>
  <c r="H264" i="162"/>
  <c r="N263" i="162"/>
  <c r="M263" i="162"/>
  <c r="L263" i="162"/>
  <c r="H263" i="162"/>
  <c r="N262" i="162"/>
  <c r="M262" i="162"/>
  <c r="L262" i="162"/>
  <c r="H262" i="162"/>
  <c r="N261" i="162"/>
  <c r="M261" i="162"/>
  <c r="L261" i="162"/>
  <c r="H261" i="162"/>
  <c r="N260" i="162"/>
  <c r="M260" i="162"/>
  <c r="L260" i="162"/>
  <c r="H260" i="162"/>
  <c r="N259" i="162"/>
  <c r="M259" i="162"/>
  <c r="L259" i="162"/>
  <c r="H259" i="162"/>
  <c r="N258" i="162"/>
  <c r="M258" i="162"/>
  <c r="L258" i="162"/>
  <c r="H258" i="162"/>
  <c r="N257" i="162"/>
  <c r="M257" i="162"/>
  <c r="L257" i="162"/>
  <c r="H257" i="162"/>
  <c r="N256" i="162"/>
  <c r="M256" i="162"/>
  <c r="L256" i="162"/>
  <c r="H256" i="162"/>
  <c r="N255" i="162"/>
  <c r="M255" i="162"/>
  <c r="L255" i="162"/>
  <c r="H255" i="162"/>
  <c r="N254" i="162"/>
  <c r="M254" i="162"/>
  <c r="L254" i="162"/>
  <c r="H254" i="162"/>
  <c r="N253" i="162"/>
  <c r="M253" i="162"/>
  <c r="L253" i="162"/>
  <c r="H253" i="162"/>
  <c r="N252" i="162"/>
  <c r="M252" i="162"/>
  <c r="L252" i="162"/>
  <c r="H252" i="162"/>
  <c r="N251" i="162"/>
  <c r="M251" i="162"/>
  <c r="L251" i="162"/>
  <c r="H251" i="162"/>
  <c r="N250" i="162"/>
  <c r="M250" i="162"/>
  <c r="L250" i="162"/>
  <c r="H250" i="162"/>
  <c r="N249" i="162"/>
  <c r="M249" i="162"/>
  <c r="L249" i="162"/>
  <c r="H249" i="162"/>
  <c r="N248" i="162"/>
  <c r="M248" i="162"/>
  <c r="L248" i="162"/>
  <c r="H248" i="162"/>
  <c r="N247" i="162"/>
  <c r="M247" i="162"/>
  <c r="L247" i="162"/>
  <c r="H247" i="162"/>
  <c r="N246" i="162"/>
  <c r="M246" i="162"/>
  <c r="L246" i="162"/>
  <c r="H246" i="162"/>
  <c r="N245" i="162"/>
  <c r="M245" i="162"/>
  <c r="L245" i="162"/>
  <c r="H245" i="162"/>
  <c r="N244" i="162"/>
  <c r="M244" i="162"/>
  <c r="L244" i="162"/>
  <c r="H244" i="162"/>
  <c r="N243" i="162"/>
  <c r="M243" i="162"/>
  <c r="L243" i="162"/>
  <c r="H243" i="162"/>
  <c r="N242" i="162"/>
  <c r="M242" i="162"/>
  <c r="L242" i="162"/>
  <c r="H242" i="162"/>
  <c r="N241" i="162"/>
  <c r="M241" i="162"/>
  <c r="L241" i="162"/>
  <c r="H241" i="162"/>
  <c r="N240" i="162"/>
  <c r="M240" i="162"/>
  <c r="L240" i="162"/>
  <c r="H240" i="162"/>
  <c r="N239" i="162"/>
  <c r="M239" i="162"/>
  <c r="L239" i="162"/>
  <c r="H239" i="162"/>
  <c r="N238" i="162"/>
  <c r="M238" i="162"/>
  <c r="L238" i="162"/>
  <c r="H238" i="162"/>
  <c r="N237" i="162"/>
  <c r="M237" i="162"/>
  <c r="L237" i="162"/>
  <c r="H237" i="162"/>
  <c r="N236" i="162"/>
  <c r="M236" i="162"/>
  <c r="L236" i="162"/>
  <c r="H236" i="162"/>
  <c r="N235" i="162"/>
  <c r="M235" i="162"/>
  <c r="L235" i="162"/>
  <c r="H235" i="162"/>
  <c r="N234" i="162"/>
  <c r="M234" i="162"/>
  <c r="L234" i="162"/>
  <c r="H234" i="162"/>
  <c r="N233" i="162"/>
  <c r="M233" i="162"/>
  <c r="L233" i="162"/>
  <c r="H233" i="162"/>
  <c r="N232" i="162"/>
  <c r="M232" i="162"/>
  <c r="L232" i="162"/>
  <c r="H232" i="162"/>
  <c r="N231" i="162"/>
  <c r="M231" i="162"/>
  <c r="L231" i="162"/>
  <c r="H231" i="162"/>
  <c r="N230" i="162"/>
  <c r="M230" i="162"/>
  <c r="L230" i="162"/>
  <c r="H230" i="162"/>
  <c r="N229" i="162"/>
  <c r="M229" i="162"/>
  <c r="L229" i="162"/>
  <c r="H229" i="162"/>
  <c r="N228" i="162"/>
  <c r="M228" i="162"/>
  <c r="L228" i="162"/>
  <c r="H228" i="162"/>
  <c r="N227" i="162"/>
  <c r="M227" i="162"/>
  <c r="L227" i="162"/>
  <c r="H227" i="162"/>
  <c r="N226" i="162"/>
  <c r="M226" i="162"/>
  <c r="L226" i="162"/>
  <c r="H226" i="162"/>
  <c r="N225" i="162"/>
  <c r="M225" i="162"/>
  <c r="L225" i="162"/>
  <c r="H225" i="162"/>
  <c r="N224" i="162"/>
  <c r="M224" i="162"/>
  <c r="L224" i="162"/>
  <c r="H224" i="162"/>
  <c r="N223" i="162"/>
  <c r="M223" i="162"/>
  <c r="L223" i="162"/>
  <c r="H223" i="162"/>
  <c r="N222" i="162"/>
  <c r="M222" i="162"/>
  <c r="L222" i="162"/>
  <c r="H222" i="162"/>
  <c r="N221" i="162"/>
  <c r="M221" i="162"/>
  <c r="L221" i="162"/>
  <c r="H221" i="162"/>
  <c r="N220" i="162"/>
  <c r="M220" i="162"/>
  <c r="L220" i="162"/>
  <c r="H220" i="162"/>
  <c r="N219" i="162"/>
  <c r="M219" i="162"/>
  <c r="L219" i="162"/>
  <c r="H219" i="162"/>
  <c r="N218" i="162"/>
  <c r="M218" i="162"/>
  <c r="L218" i="162"/>
  <c r="H218" i="162"/>
  <c r="N217" i="162"/>
  <c r="M217" i="162"/>
  <c r="L217" i="162"/>
  <c r="H217" i="162"/>
  <c r="N216" i="162"/>
  <c r="M216" i="162"/>
  <c r="L216" i="162"/>
  <c r="H216" i="162"/>
  <c r="N215" i="162"/>
  <c r="M215" i="162"/>
  <c r="L215" i="162"/>
  <c r="H215" i="162"/>
  <c r="N214" i="162"/>
  <c r="M214" i="162"/>
  <c r="L214" i="162"/>
  <c r="H214" i="162"/>
  <c r="N213" i="162"/>
  <c r="M213" i="162"/>
  <c r="L213" i="162"/>
  <c r="H213" i="162"/>
  <c r="N212" i="162"/>
  <c r="M212" i="162"/>
  <c r="L212" i="162"/>
  <c r="H212" i="162"/>
  <c r="N211" i="162"/>
  <c r="M211" i="162"/>
  <c r="L211" i="162"/>
  <c r="H211" i="162"/>
  <c r="N210" i="162"/>
  <c r="M210" i="162"/>
  <c r="L210" i="162"/>
  <c r="H210" i="162"/>
  <c r="N209" i="162"/>
  <c r="M209" i="162"/>
  <c r="L209" i="162"/>
  <c r="H209" i="162"/>
  <c r="N208" i="162"/>
  <c r="M208" i="162"/>
  <c r="L208" i="162"/>
  <c r="H208" i="162"/>
  <c r="N207" i="162"/>
  <c r="M207" i="162"/>
  <c r="L207" i="162"/>
  <c r="H207" i="162"/>
  <c r="N206" i="162"/>
  <c r="M206" i="162"/>
  <c r="L206" i="162"/>
  <c r="H206" i="162"/>
  <c r="N205" i="162"/>
  <c r="M205" i="162"/>
  <c r="L205" i="162"/>
  <c r="H205" i="162"/>
  <c r="N204" i="162"/>
  <c r="M204" i="162"/>
  <c r="L204" i="162"/>
  <c r="H204" i="162"/>
  <c r="N203" i="162"/>
  <c r="M203" i="162"/>
  <c r="L203" i="162"/>
  <c r="H203" i="162"/>
  <c r="N202" i="162"/>
  <c r="M202" i="162"/>
  <c r="L202" i="162"/>
  <c r="H202" i="162"/>
  <c r="N201" i="162"/>
  <c r="M201" i="162"/>
  <c r="L201" i="162"/>
  <c r="H201" i="162"/>
  <c r="N200" i="162"/>
  <c r="M200" i="162"/>
  <c r="L200" i="162"/>
  <c r="H200" i="162"/>
  <c r="N199" i="162"/>
  <c r="M199" i="162"/>
  <c r="L199" i="162"/>
  <c r="H199" i="162"/>
  <c r="N198" i="162"/>
  <c r="M198" i="162"/>
  <c r="L198" i="162"/>
  <c r="H198" i="162"/>
  <c r="N197" i="162"/>
  <c r="M197" i="162"/>
  <c r="L197" i="162"/>
  <c r="H197" i="162"/>
  <c r="N196" i="162"/>
  <c r="M196" i="162"/>
  <c r="L196" i="162"/>
  <c r="H196" i="162"/>
  <c r="N195" i="162"/>
  <c r="M195" i="162"/>
  <c r="L195" i="162"/>
  <c r="H195" i="162"/>
  <c r="N194" i="162"/>
  <c r="M194" i="162"/>
  <c r="L194" i="162"/>
  <c r="H194" i="162"/>
  <c r="N193" i="162"/>
  <c r="M193" i="162"/>
  <c r="L193" i="162"/>
  <c r="H193" i="162"/>
  <c r="N192" i="162"/>
  <c r="M192" i="162"/>
  <c r="L192" i="162"/>
  <c r="H192" i="162"/>
  <c r="N191" i="162"/>
  <c r="M191" i="162"/>
  <c r="L191" i="162"/>
  <c r="H191" i="162"/>
  <c r="N190" i="162"/>
  <c r="M190" i="162"/>
  <c r="L190" i="162"/>
  <c r="H190" i="162"/>
  <c r="N189" i="162"/>
  <c r="M189" i="162"/>
  <c r="L189" i="162"/>
  <c r="H189" i="162"/>
  <c r="N188" i="162"/>
  <c r="M188" i="162"/>
  <c r="L188" i="162"/>
  <c r="H188" i="162"/>
  <c r="N187" i="162"/>
  <c r="M187" i="162"/>
  <c r="L187" i="162"/>
  <c r="H187" i="162"/>
  <c r="N186" i="162"/>
  <c r="M186" i="162"/>
  <c r="L186" i="162"/>
  <c r="H186" i="162"/>
  <c r="N185" i="162"/>
  <c r="M185" i="162"/>
  <c r="L185" i="162"/>
  <c r="H185" i="162"/>
  <c r="N184" i="162"/>
  <c r="M184" i="162"/>
  <c r="L184" i="162"/>
  <c r="H184" i="162"/>
  <c r="N183" i="162"/>
  <c r="M183" i="162"/>
  <c r="L183" i="162"/>
  <c r="H183" i="162"/>
  <c r="N182" i="162"/>
  <c r="M182" i="162"/>
  <c r="L182" i="162"/>
  <c r="H182" i="162"/>
  <c r="N181" i="162"/>
  <c r="M181" i="162"/>
  <c r="L181" i="162"/>
  <c r="H181" i="162"/>
  <c r="N180" i="162"/>
  <c r="M180" i="162"/>
  <c r="L180" i="162"/>
  <c r="H180" i="162"/>
  <c r="N179" i="162"/>
  <c r="M179" i="162"/>
  <c r="L179" i="162"/>
  <c r="H179" i="162"/>
  <c r="N178" i="162"/>
  <c r="M178" i="162"/>
  <c r="L178" i="162"/>
  <c r="H178" i="162"/>
  <c r="N177" i="162"/>
  <c r="M177" i="162"/>
  <c r="L177" i="162"/>
  <c r="H177" i="162"/>
  <c r="N176" i="162"/>
  <c r="M176" i="162"/>
  <c r="L176" i="162"/>
  <c r="H176" i="162"/>
  <c r="N175" i="162"/>
  <c r="M175" i="162"/>
  <c r="L175" i="162"/>
  <c r="H175" i="162"/>
  <c r="N174" i="162"/>
  <c r="M174" i="162"/>
  <c r="L174" i="162"/>
  <c r="H174" i="162"/>
  <c r="N173" i="162"/>
  <c r="M173" i="162"/>
  <c r="L173" i="162"/>
  <c r="H173" i="162"/>
  <c r="N172" i="162"/>
  <c r="M172" i="162"/>
  <c r="L172" i="162"/>
  <c r="H172" i="162"/>
  <c r="N171" i="162"/>
  <c r="M171" i="162"/>
  <c r="L171" i="162"/>
  <c r="H171" i="162"/>
  <c r="N170" i="162"/>
  <c r="M170" i="162"/>
  <c r="L170" i="162"/>
  <c r="H170" i="162"/>
  <c r="N169" i="162"/>
  <c r="M169" i="162"/>
  <c r="L169" i="162"/>
  <c r="H169" i="162"/>
  <c r="N168" i="162"/>
  <c r="M168" i="162"/>
  <c r="L168" i="162"/>
  <c r="H168" i="162"/>
  <c r="N167" i="162"/>
  <c r="M167" i="162"/>
  <c r="L167" i="162"/>
  <c r="H167" i="162"/>
  <c r="N166" i="162"/>
  <c r="M166" i="162"/>
  <c r="L166" i="162"/>
  <c r="H166" i="162"/>
  <c r="N165" i="162"/>
  <c r="M165" i="162"/>
  <c r="L165" i="162"/>
  <c r="H165" i="162"/>
  <c r="N164" i="162"/>
  <c r="M164" i="162"/>
  <c r="L164" i="162"/>
  <c r="H164" i="162"/>
  <c r="N163" i="162"/>
  <c r="M163" i="162"/>
  <c r="L163" i="162"/>
  <c r="H163" i="162"/>
  <c r="N162" i="162"/>
  <c r="M162" i="162"/>
  <c r="L162" i="162"/>
  <c r="H162" i="162"/>
  <c r="N161" i="162"/>
  <c r="M161" i="162"/>
  <c r="L161" i="162"/>
  <c r="H161" i="162"/>
  <c r="N160" i="162"/>
  <c r="M160" i="162"/>
  <c r="L160" i="162"/>
  <c r="H160" i="162"/>
  <c r="N159" i="162"/>
  <c r="M159" i="162"/>
  <c r="L159" i="162"/>
  <c r="H159" i="162"/>
  <c r="N158" i="162"/>
  <c r="M158" i="162"/>
  <c r="L158" i="162"/>
  <c r="H158" i="162"/>
  <c r="N157" i="162"/>
  <c r="M157" i="162"/>
  <c r="L157" i="162"/>
  <c r="H157" i="162"/>
  <c r="N156" i="162"/>
  <c r="M156" i="162"/>
  <c r="L156" i="162"/>
  <c r="H156" i="162"/>
  <c r="N155" i="162"/>
  <c r="M155" i="162"/>
  <c r="L155" i="162"/>
  <c r="H155" i="162"/>
  <c r="N154" i="162"/>
  <c r="M154" i="162"/>
  <c r="L154" i="162"/>
  <c r="H154" i="162"/>
  <c r="N153" i="162"/>
  <c r="M153" i="162"/>
  <c r="L153" i="162"/>
  <c r="H153" i="162"/>
  <c r="N152" i="162"/>
  <c r="M152" i="162"/>
  <c r="L152" i="162"/>
  <c r="H152" i="162"/>
  <c r="N151" i="162"/>
  <c r="M151" i="162"/>
  <c r="L151" i="162"/>
  <c r="H151" i="162"/>
  <c r="N150" i="162"/>
  <c r="M150" i="162"/>
  <c r="L150" i="162"/>
  <c r="H150" i="162"/>
  <c r="N149" i="162"/>
  <c r="M149" i="162"/>
  <c r="L149" i="162"/>
  <c r="H149" i="162"/>
  <c r="N148" i="162"/>
  <c r="M148" i="162"/>
  <c r="L148" i="162"/>
  <c r="H148" i="162"/>
  <c r="N147" i="162"/>
  <c r="M147" i="162"/>
  <c r="L147" i="162"/>
  <c r="H147" i="162"/>
  <c r="N146" i="162"/>
  <c r="M146" i="162"/>
  <c r="L146" i="162"/>
  <c r="H146" i="162"/>
  <c r="N145" i="162"/>
  <c r="M145" i="162"/>
  <c r="L145" i="162"/>
  <c r="H145" i="162"/>
  <c r="N144" i="162"/>
  <c r="M144" i="162"/>
  <c r="L144" i="162"/>
  <c r="H144" i="162"/>
  <c r="N143" i="162"/>
  <c r="M143" i="162"/>
  <c r="L143" i="162"/>
  <c r="H143" i="162"/>
  <c r="N142" i="162"/>
  <c r="M142" i="162"/>
  <c r="L142" i="162"/>
  <c r="H142" i="162"/>
  <c r="N141" i="162"/>
  <c r="M141" i="162"/>
  <c r="L141" i="162"/>
  <c r="H141" i="162"/>
  <c r="N140" i="162"/>
  <c r="M140" i="162"/>
  <c r="L140" i="162"/>
  <c r="H140" i="162"/>
  <c r="N139" i="162"/>
  <c r="M139" i="162"/>
  <c r="L139" i="162"/>
  <c r="H139" i="162"/>
  <c r="N138" i="162"/>
  <c r="M138" i="162"/>
  <c r="L138" i="162"/>
  <c r="H138" i="162"/>
  <c r="N137" i="162"/>
  <c r="M137" i="162"/>
  <c r="L137" i="162"/>
  <c r="H137" i="162"/>
  <c r="N136" i="162"/>
  <c r="M136" i="162"/>
  <c r="L136" i="162"/>
  <c r="H136" i="162"/>
  <c r="N135" i="162"/>
  <c r="M135" i="162"/>
  <c r="L135" i="162"/>
  <c r="H135" i="162"/>
  <c r="N134" i="162"/>
  <c r="M134" i="162"/>
  <c r="L134" i="162"/>
  <c r="H134" i="162"/>
  <c r="N133" i="162"/>
  <c r="M133" i="162"/>
  <c r="L133" i="162"/>
  <c r="H133" i="162"/>
  <c r="N132" i="162"/>
  <c r="M132" i="162"/>
  <c r="L132" i="162"/>
  <c r="H132" i="162"/>
  <c r="N131" i="162"/>
  <c r="M131" i="162"/>
  <c r="L131" i="162"/>
  <c r="H131" i="162"/>
  <c r="N130" i="162"/>
  <c r="M130" i="162"/>
  <c r="L130" i="162"/>
  <c r="H130" i="162"/>
  <c r="N129" i="162"/>
  <c r="M129" i="162"/>
  <c r="L129" i="162"/>
  <c r="H129" i="162"/>
  <c r="N128" i="162"/>
  <c r="M128" i="162"/>
  <c r="L128" i="162"/>
  <c r="H128" i="162"/>
  <c r="N127" i="162"/>
  <c r="M127" i="162"/>
  <c r="L127" i="162"/>
  <c r="H127" i="162"/>
  <c r="N126" i="162"/>
  <c r="M126" i="162"/>
  <c r="L126" i="162"/>
  <c r="H126" i="162"/>
  <c r="N125" i="162"/>
  <c r="M125" i="162"/>
  <c r="L125" i="162"/>
  <c r="H125" i="162"/>
  <c r="N124" i="162"/>
  <c r="M124" i="162"/>
  <c r="L124" i="162"/>
  <c r="H124" i="162"/>
  <c r="N123" i="162"/>
  <c r="M123" i="162"/>
  <c r="L123" i="162"/>
  <c r="H123" i="162"/>
  <c r="N122" i="162"/>
  <c r="M122" i="162"/>
  <c r="L122" i="162"/>
  <c r="H122" i="162"/>
  <c r="N121" i="162"/>
  <c r="M121" i="162"/>
  <c r="L121" i="162"/>
  <c r="H121" i="162"/>
  <c r="N120" i="162"/>
  <c r="M120" i="162"/>
  <c r="L120" i="162"/>
  <c r="H120" i="162"/>
  <c r="N119" i="162"/>
  <c r="M119" i="162"/>
  <c r="L119" i="162"/>
  <c r="H119" i="162"/>
  <c r="N118" i="162"/>
  <c r="M118" i="162"/>
  <c r="L118" i="162"/>
  <c r="H118" i="162"/>
  <c r="N117" i="162"/>
  <c r="M117" i="162"/>
  <c r="L117" i="162"/>
  <c r="H117" i="162"/>
  <c r="N116" i="162"/>
  <c r="M116" i="162"/>
  <c r="L116" i="162"/>
  <c r="H116" i="162"/>
  <c r="N115" i="162"/>
  <c r="M115" i="162"/>
  <c r="L115" i="162"/>
  <c r="H115" i="162"/>
  <c r="N114" i="162"/>
  <c r="M114" i="162"/>
  <c r="L114" i="162"/>
  <c r="H114" i="162"/>
  <c r="N113" i="162"/>
  <c r="M113" i="162"/>
  <c r="L113" i="162"/>
  <c r="H113" i="162"/>
  <c r="N112" i="162"/>
  <c r="M112" i="162"/>
  <c r="L112" i="162"/>
  <c r="H112" i="162"/>
  <c r="N111" i="162"/>
  <c r="M111" i="162"/>
  <c r="L111" i="162"/>
  <c r="H111" i="162"/>
  <c r="N110" i="162"/>
  <c r="M110" i="162"/>
  <c r="L110" i="162"/>
  <c r="H110" i="162"/>
  <c r="N109" i="162"/>
  <c r="M109" i="162"/>
  <c r="L109" i="162"/>
  <c r="H109" i="162"/>
  <c r="N108" i="162"/>
  <c r="M108" i="162"/>
  <c r="L108" i="162"/>
  <c r="H108" i="162"/>
  <c r="N107" i="162"/>
  <c r="M107" i="162"/>
  <c r="L107" i="162"/>
  <c r="H107" i="162"/>
  <c r="N106" i="162"/>
  <c r="M106" i="162"/>
  <c r="L106" i="162"/>
  <c r="H106" i="162"/>
  <c r="N105" i="162"/>
  <c r="M105" i="162"/>
  <c r="L105" i="162"/>
  <c r="H105" i="162"/>
  <c r="N104" i="162"/>
  <c r="M104" i="162"/>
  <c r="L104" i="162"/>
  <c r="H104" i="162"/>
  <c r="N103" i="162"/>
  <c r="M103" i="162"/>
  <c r="L103" i="162"/>
  <c r="H103" i="162"/>
  <c r="N102" i="162"/>
  <c r="M102" i="162"/>
  <c r="L102" i="162"/>
  <c r="H102" i="162"/>
  <c r="N101" i="162"/>
  <c r="M101" i="162"/>
  <c r="L101" i="162"/>
  <c r="H101" i="162"/>
  <c r="N100" i="162"/>
  <c r="M100" i="162"/>
  <c r="L100" i="162"/>
  <c r="H100" i="162"/>
  <c r="N99" i="162"/>
  <c r="M99" i="162"/>
  <c r="L99" i="162"/>
  <c r="H99" i="162"/>
  <c r="N98" i="162"/>
  <c r="M98" i="162"/>
  <c r="L98" i="162"/>
  <c r="H98" i="162"/>
  <c r="N97" i="162"/>
  <c r="M97" i="162"/>
  <c r="L97" i="162"/>
  <c r="H97" i="162"/>
  <c r="N96" i="162"/>
  <c r="M96" i="162"/>
  <c r="L96" i="162"/>
  <c r="H96" i="162"/>
  <c r="N95" i="162"/>
  <c r="M95" i="162"/>
  <c r="L95" i="162"/>
  <c r="H95" i="162"/>
  <c r="N94" i="162"/>
  <c r="M94" i="162"/>
  <c r="L94" i="162"/>
  <c r="H94" i="162"/>
  <c r="N93" i="162"/>
  <c r="M93" i="162"/>
  <c r="L93" i="162"/>
  <c r="H93" i="162"/>
  <c r="N92" i="162"/>
  <c r="M92" i="162"/>
  <c r="L92" i="162"/>
  <c r="H92" i="162"/>
  <c r="N91" i="162"/>
  <c r="M91" i="162"/>
  <c r="L91" i="162"/>
  <c r="H91" i="162"/>
  <c r="N90" i="162"/>
  <c r="M90" i="162"/>
  <c r="L90" i="162"/>
  <c r="H90" i="162"/>
  <c r="N89" i="162"/>
  <c r="M89" i="162"/>
  <c r="L89" i="162"/>
  <c r="H89" i="162"/>
  <c r="N88" i="162"/>
  <c r="M88" i="162"/>
  <c r="L88" i="162"/>
  <c r="H88" i="162"/>
  <c r="N87" i="162"/>
  <c r="M87" i="162"/>
  <c r="L87" i="162"/>
  <c r="H87" i="162"/>
  <c r="N86" i="162"/>
  <c r="M86" i="162"/>
  <c r="L86" i="162"/>
  <c r="H86" i="162"/>
  <c r="N85" i="162"/>
  <c r="M85" i="162"/>
  <c r="L85" i="162"/>
  <c r="H85" i="162"/>
  <c r="N84" i="162"/>
  <c r="M84" i="162"/>
  <c r="L84" i="162"/>
  <c r="H84" i="162"/>
  <c r="N83" i="162"/>
  <c r="M83" i="162"/>
  <c r="L83" i="162"/>
  <c r="H83" i="162"/>
  <c r="N82" i="162"/>
  <c r="M82" i="162"/>
  <c r="L82" i="162"/>
  <c r="H82" i="162"/>
  <c r="N81" i="162"/>
  <c r="M81" i="162"/>
  <c r="L81" i="162"/>
  <c r="H81" i="162"/>
  <c r="N80" i="162"/>
  <c r="M80" i="162"/>
  <c r="L80" i="162"/>
  <c r="H80" i="162"/>
  <c r="N79" i="162"/>
  <c r="M79" i="162"/>
  <c r="L79" i="162"/>
  <c r="H79" i="162"/>
  <c r="N78" i="162"/>
  <c r="M78" i="162"/>
  <c r="L78" i="162"/>
  <c r="H78" i="162"/>
  <c r="N77" i="162"/>
  <c r="M77" i="162"/>
  <c r="L77" i="162"/>
  <c r="H77" i="162"/>
  <c r="N76" i="162"/>
  <c r="M76" i="162"/>
  <c r="L76" i="162"/>
  <c r="H76" i="162"/>
  <c r="N75" i="162"/>
  <c r="M75" i="162"/>
  <c r="L75" i="162"/>
  <c r="H75" i="162"/>
  <c r="N74" i="162"/>
  <c r="M74" i="162"/>
  <c r="L74" i="162"/>
  <c r="H74" i="162"/>
  <c r="N73" i="162"/>
  <c r="M73" i="162"/>
  <c r="L73" i="162"/>
  <c r="H73" i="162"/>
  <c r="N72" i="162"/>
  <c r="M72" i="162"/>
  <c r="L72" i="162"/>
  <c r="H72" i="162"/>
  <c r="N71" i="162"/>
  <c r="M71" i="162"/>
  <c r="L71" i="162"/>
  <c r="H71" i="162"/>
  <c r="N70" i="162"/>
  <c r="M70" i="162"/>
  <c r="L70" i="162"/>
  <c r="H70" i="162"/>
  <c r="N69" i="162"/>
  <c r="M69" i="162"/>
  <c r="L69" i="162"/>
  <c r="H69" i="162"/>
  <c r="N68" i="162"/>
  <c r="M68" i="162"/>
  <c r="L68" i="162"/>
  <c r="H68" i="162"/>
  <c r="N67" i="162"/>
  <c r="M67" i="162"/>
  <c r="L67" i="162"/>
  <c r="H67" i="162"/>
  <c r="N66" i="162"/>
  <c r="M66" i="162"/>
  <c r="L66" i="162"/>
  <c r="H66" i="162"/>
  <c r="N65" i="162"/>
  <c r="M65" i="162"/>
  <c r="L65" i="162"/>
  <c r="H65" i="162"/>
  <c r="N64" i="162"/>
  <c r="M64" i="162"/>
  <c r="L64" i="162"/>
  <c r="H64" i="162"/>
  <c r="N63" i="162"/>
  <c r="M63" i="162"/>
  <c r="L63" i="162"/>
  <c r="H63" i="162"/>
  <c r="N62" i="162"/>
  <c r="M62" i="162"/>
  <c r="L62" i="162"/>
  <c r="H62" i="162"/>
  <c r="N61" i="162"/>
  <c r="M61" i="162"/>
  <c r="L61" i="162"/>
  <c r="H61" i="162"/>
  <c r="N60" i="162"/>
  <c r="M60" i="162"/>
  <c r="L60" i="162"/>
  <c r="H60" i="162"/>
  <c r="N59" i="162"/>
  <c r="M59" i="162"/>
  <c r="L59" i="162"/>
  <c r="H59" i="162"/>
  <c r="N58" i="162"/>
  <c r="M58" i="162"/>
  <c r="L58" i="162"/>
  <c r="H58" i="162"/>
  <c r="N57" i="162"/>
  <c r="M57" i="162"/>
  <c r="L57" i="162"/>
  <c r="H57" i="162"/>
  <c r="N56" i="162"/>
  <c r="M56" i="162"/>
  <c r="L56" i="162"/>
  <c r="H56" i="162"/>
  <c r="N55" i="162"/>
  <c r="M55" i="162"/>
  <c r="L55" i="162"/>
  <c r="H55" i="162"/>
  <c r="N54" i="162"/>
  <c r="M54" i="162"/>
  <c r="L54" i="162"/>
  <c r="H54" i="162"/>
  <c r="N53" i="162"/>
  <c r="M53" i="162"/>
  <c r="L53" i="162"/>
  <c r="H53" i="162"/>
  <c r="N52" i="162"/>
  <c r="M52" i="162"/>
  <c r="L52" i="162"/>
  <c r="H52" i="162"/>
  <c r="N51" i="162"/>
  <c r="M51" i="162"/>
  <c r="L51" i="162"/>
  <c r="H51" i="162"/>
  <c r="N50" i="162"/>
  <c r="M50" i="162"/>
  <c r="L50" i="162"/>
  <c r="H50" i="162"/>
  <c r="N49" i="162"/>
  <c r="M49" i="162"/>
  <c r="L49" i="162"/>
  <c r="H49" i="162"/>
  <c r="N48" i="162"/>
  <c r="M48" i="162"/>
  <c r="L48" i="162"/>
  <c r="H48" i="162"/>
  <c r="N47" i="162"/>
  <c r="M47" i="162"/>
  <c r="L47" i="162"/>
  <c r="H47" i="162"/>
  <c r="N46" i="162"/>
  <c r="M46" i="162"/>
  <c r="L46" i="162"/>
  <c r="H46" i="162"/>
  <c r="N45" i="162"/>
  <c r="M45" i="162"/>
  <c r="L45" i="162"/>
  <c r="H45" i="162"/>
  <c r="N44" i="162"/>
  <c r="M44" i="162"/>
  <c r="L44" i="162"/>
  <c r="H44" i="162"/>
  <c r="N43" i="162"/>
  <c r="M43" i="162"/>
  <c r="L43" i="162"/>
  <c r="H43" i="162"/>
  <c r="N42" i="162"/>
  <c r="M42" i="162"/>
  <c r="L42" i="162"/>
  <c r="H42" i="162"/>
  <c r="N41" i="162"/>
  <c r="M41" i="162"/>
  <c r="L41" i="162"/>
  <c r="H41" i="162"/>
  <c r="N40" i="162"/>
  <c r="M40" i="162"/>
  <c r="L40" i="162"/>
  <c r="H40" i="162"/>
  <c r="N39" i="162"/>
  <c r="M39" i="162"/>
  <c r="L39" i="162"/>
  <c r="H39" i="162"/>
  <c r="N38" i="162"/>
  <c r="M38" i="162"/>
  <c r="L38" i="162"/>
  <c r="H38" i="162"/>
  <c r="N37" i="162"/>
  <c r="M37" i="162"/>
  <c r="L37" i="162"/>
  <c r="H37" i="162"/>
  <c r="N36" i="162"/>
  <c r="M36" i="162"/>
  <c r="L36" i="162"/>
  <c r="H36" i="162"/>
  <c r="N35" i="162"/>
  <c r="M35" i="162"/>
  <c r="L35" i="162"/>
  <c r="H35" i="162"/>
  <c r="N34" i="162"/>
  <c r="M34" i="162"/>
  <c r="L34" i="162"/>
  <c r="H34" i="162"/>
  <c r="N33" i="162"/>
  <c r="M33" i="162"/>
  <c r="L33" i="162"/>
  <c r="H33" i="162"/>
  <c r="N32" i="162"/>
  <c r="M32" i="162"/>
  <c r="L32" i="162"/>
  <c r="H32" i="162"/>
  <c r="N31" i="162"/>
  <c r="M31" i="162"/>
  <c r="L31" i="162"/>
  <c r="H31" i="162"/>
  <c r="N30" i="162"/>
  <c r="M30" i="162"/>
  <c r="L30" i="162"/>
  <c r="H30" i="162"/>
  <c r="N29" i="162"/>
  <c r="M29" i="162"/>
  <c r="L29" i="162"/>
  <c r="H29" i="162"/>
  <c r="N28" i="162"/>
  <c r="M28" i="162"/>
  <c r="L28" i="162"/>
  <c r="H28" i="162"/>
  <c r="N27" i="162"/>
  <c r="M27" i="162"/>
  <c r="L27" i="162"/>
  <c r="H27" i="162"/>
  <c r="N26" i="162"/>
  <c r="M26" i="162"/>
  <c r="L26" i="162"/>
  <c r="H26" i="162"/>
  <c r="N25" i="162"/>
  <c r="M25" i="162"/>
  <c r="L25" i="162"/>
  <c r="H25" i="162"/>
  <c r="N24" i="162"/>
  <c r="M24" i="162"/>
  <c r="L24" i="162"/>
  <c r="H24" i="162"/>
  <c r="N23" i="162"/>
  <c r="M23" i="162"/>
  <c r="L23" i="162"/>
  <c r="H23" i="162"/>
  <c r="N22" i="162"/>
  <c r="M22" i="162"/>
  <c r="L22" i="162"/>
  <c r="H22" i="162"/>
  <c r="N21" i="162"/>
  <c r="M21" i="162"/>
  <c r="L21" i="162"/>
  <c r="H21" i="162"/>
  <c r="N20" i="162"/>
  <c r="M20" i="162"/>
  <c r="L20" i="162"/>
  <c r="H20" i="162"/>
  <c r="N19" i="162"/>
  <c r="M19" i="162"/>
  <c r="L19" i="162"/>
  <c r="H19" i="162"/>
  <c r="N18" i="162"/>
  <c r="M18" i="162"/>
  <c r="L18" i="162"/>
  <c r="H18" i="162"/>
  <c r="N17" i="162"/>
  <c r="M17" i="162"/>
  <c r="L17" i="162"/>
  <c r="H17" i="162"/>
  <c r="N16" i="162"/>
  <c r="M16" i="162"/>
  <c r="L16" i="162"/>
  <c r="H16" i="162"/>
  <c r="N15" i="162"/>
  <c r="M15" i="162"/>
  <c r="L15" i="162"/>
  <c r="H15" i="162"/>
  <c r="N14" i="162"/>
  <c r="M14" i="162"/>
  <c r="L14" i="162"/>
  <c r="H14" i="162"/>
  <c r="N13" i="162"/>
  <c r="M13" i="162"/>
  <c r="L13" i="162"/>
  <c r="H13" i="162"/>
  <c r="N12" i="162"/>
  <c r="M12" i="162"/>
  <c r="L12" i="162"/>
  <c r="H12" i="162"/>
  <c r="N11" i="162"/>
  <c r="M11" i="162"/>
  <c r="L11" i="162"/>
  <c r="H11" i="162"/>
  <c r="N10" i="162"/>
  <c r="M10" i="162"/>
  <c r="L10" i="162"/>
  <c r="H10" i="162"/>
  <c r="N9" i="162"/>
  <c r="M9" i="162"/>
  <c r="L9" i="162"/>
  <c r="H9" i="162"/>
  <c r="N8" i="162"/>
  <c r="M8" i="162"/>
  <c r="L8" i="162"/>
  <c r="H8" i="162"/>
  <c r="N7" i="162"/>
  <c r="M7" i="162"/>
  <c r="L7" i="162"/>
  <c r="H7" i="162"/>
  <c r="N6" i="162"/>
  <c r="M6" i="162"/>
  <c r="L6" i="162"/>
  <c r="H6" i="162"/>
  <c r="N5" i="162"/>
  <c r="M5" i="162"/>
  <c r="L5" i="162"/>
  <c r="H5" i="162"/>
  <c r="N4" i="162"/>
  <c r="M4" i="162"/>
  <c r="L4" i="162"/>
  <c r="H4" i="162"/>
  <c r="N3" i="162"/>
  <c r="M3" i="162"/>
  <c r="L3" i="162"/>
  <c r="H3" i="162"/>
  <c r="P314" i="160"/>
  <c r="P317" i="160"/>
  <c r="P321" i="160"/>
  <c r="P328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5" i="160"/>
  <c r="P316" i="160"/>
  <c r="P318" i="160"/>
  <c r="P319" i="160"/>
  <c r="P320" i="160"/>
  <c r="P322" i="160"/>
  <c r="P323" i="160"/>
  <c r="P324" i="160"/>
  <c r="P325" i="160"/>
  <c r="P326" i="160"/>
  <c r="P327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B47" i="161"/>
  <c r="C40" i="161"/>
  <c r="C41" i="161"/>
  <c r="C42" i="161"/>
  <c r="C43" i="161"/>
  <c r="C44" i="161"/>
  <c r="C45" i="161"/>
  <c r="C46" i="161"/>
  <c r="C47" i="161"/>
  <c r="G42" i="161"/>
  <c r="G41" i="161"/>
  <c r="G40" i="161"/>
  <c r="F34" i="161"/>
  <c r="B10" i="161"/>
  <c r="B30" i="161"/>
  <c r="B32" i="161"/>
  <c r="C19" i="161"/>
  <c r="C20" i="161"/>
  <c r="C21" i="161"/>
  <c r="C22" i="161"/>
  <c r="C23" i="161"/>
  <c r="C24" i="161"/>
  <c r="C25" i="161"/>
  <c r="C26" i="161"/>
  <c r="C27" i="161"/>
  <c r="C28" i="161"/>
  <c r="C29" i="161"/>
  <c r="C30" i="161"/>
  <c r="C31" i="161"/>
  <c r="C32" i="161"/>
  <c r="D32" i="161"/>
  <c r="G31" i="161"/>
  <c r="H31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R11" i="161"/>
  <c r="P11" i="161"/>
  <c r="O11" i="161"/>
  <c r="M11" i="161"/>
  <c r="V10" i="161"/>
  <c r="R10" i="161"/>
  <c r="P10" i="161"/>
  <c r="O10" i="161"/>
  <c r="M10" i="161"/>
  <c r="V9" i="161"/>
  <c r="R9" i="161"/>
  <c r="P9" i="161"/>
  <c r="O9" i="161"/>
  <c r="M9" i="161"/>
  <c r="V8" i="161"/>
  <c r="R8" i="161"/>
  <c r="P8" i="161"/>
  <c r="O8" i="161"/>
  <c r="M8" i="161"/>
  <c r="V7" i="161"/>
  <c r="R7" i="161"/>
  <c r="P7" i="161"/>
  <c r="O7" i="161"/>
  <c r="M7" i="161"/>
  <c r="V6" i="161"/>
  <c r="R6" i="161"/>
  <c r="P6" i="161"/>
  <c r="O6" i="161"/>
  <c r="M6" i="161"/>
  <c r="V5" i="161"/>
  <c r="R5" i="161"/>
  <c r="P5" i="161"/>
  <c r="O5" i="161"/>
  <c r="M5" i="161"/>
  <c r="V4" i="161"/>
  <c r="R4" i="161"/>
  <c r="P4" i="161"/>
  <c r="O4" i="161"/>
  <c r="M4" i="161"/>
  <c r="V3" i="161"/>
  <c r="R3" i="161"/>
  <c r="P3" i="161"/>
  <c r="O3" i="161"/>
  <c r="M3" i="161"/>
  <c r="V2" i="161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A2" i="160"/>
  <c r="F49" i="159"/>
  <c r="F48" i="159"/>
  <c r="F47" i="159"/>
  <c r="F46" i="159"/>
  <c r="B46" i="159"/>
  <c r="F45" i="159"/>
  <c r="B45" i="159"/>
  <c r="B44" i="159"/>
  <c r="B43" i="159"/>
  <c r="F42" i="159"/>
  <c r="B42" i="159"/>
  <c r="F41" i="159"/>
  <c r="B41" i="159"/>
  <c r="F40" i="159"/>
  <c r="B40" i="159"/>
  <c r="E31" i="159"/>
  <c r="E30" i="159"/>
  <c r="F340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N340" i="160"/>
  <c r="M340" i="160"/>
  <c r="L340" i="160"/>
  <c r="H340" i="160"/>
  <c r="N339" i="160"/>
  <c r="M339" i="160"/>
  <c r="L339" i="160"/>
  <c r="H339" i="160"/>
  <c r="N338" i="160"/>
  <c r="M338" i="160"/>
  <c r="L338" i="160"/>
  <c r="H338" i="160"/>
  <c r="N337" i="160"/>
  <c r="M337" i="160"/>
  <c r="L337" i="160"/>
  <c r="H337" i="160"/>
  <c r="N336" i="160"/>
  <c r="M336" i="160"/>
  <c r="L336" i="160"/>
  <c r="H336" i="160"/>
  <c r="N335" i="160"/>
  <c r="M335" i="160"/>
  <c r="L335" i="160"/>
  <c r="H335" i="160"/>
  <c r="N334" i="160"/>
  <c r="M334" i="160"/>
  <c r="L334" i="160"/>
  <c r="H334" i="160"/>
  <c r="N333" i="160"/>
  <c r="M333" i="160"/>
  <c r="L333" i="160"/>
  <c r="H333" i="160"/>
  <c r="N332" i="160"/>
  <c r="M332" i="160"/>
  <c r="L332" i="160"/>
  <c r="H332" i="160"/>
  <c r="N331" i="160"/>
  <c r="M331" i="160"/>
  <c r="L331" i="160"/>
  <c r="H331" i="160"/>
  <c r="N330" i="160"/>
  <c r="M330" i="160"/>
  <c r="L330" i="160"/>
  <c r="H330" i="160"/>
  <c r="N329" i="160"/>
  <c r="M329" i="160"/>
  <c r="L329" i="160"/>
  <c r="H329" i="160"/>
  <c r="N328" i="160"/>
  <c r="M328" i="160"/>
  <c r="L328" i="160"/>
  <c r="H328" i="160"/>
  <c r="N327" i="160"/>
  <c r="M327" i="160"/>
  <c r="L327" i="160"/>
  <c r="H327" i="160"/>
  <c r="N326" i="160"/>
  <c r="M326" i="160"/>
  <c r="L326" i="160"/>
  <c r="H326" i="160"/>
  <c r="N325" i="160"/>
  <c r="M325" i="160"/>
  <c r="L325" i="160"/>
  <c r="H325" i="160"/>
  <c r="N324" i="160"/>
  <c r="M324" i="160"/>
  <c r="L324" i="160"/>
  <c r="H324" i="160"/>
  <c r="N323" i="160"/>
  <c r="M323" i="160"/>
  <c r="L323" i="160"/>
  <c r="H323" i="160"/>
  <c r="N322" i="160"/>
  <c r="M322" i="160"/>
  <c r="L322" i="160"/>
  <c r="H322" i="160"/>
  <c r="N321" i="160"/>
  <c r="M321" i="160"/>
  <c r="L321" i="160"/>
  <c r="H321" i="160"/>
  <c r="N320" i="160"/>
  <c r="M320" i="160"/>
  <c r="L320" i="160"/>
  <c r="H320" i="160"/>
  <c r="N319" i="160"/>
  <c r="M319" i="160"/>
  <c r="L319" i="160"/>
  <c r="H319" i="160"/>
  <c r="N318" i="160"/>
  <c r="M318" i="160"/>
  <c r="L318" i="160"/>
  <c r="H318" i="160"/>
  <c r="N317" i="160"/>
  <c r="M317" i="160"/>
  <c r="L317" i="160"/>
  <c r="H317" i="160"/>
  <c r="N316" i="160"/>
  <c r="M316" i="160"/>
  <c r="L316" i="160"/>
  <c r="H316" i="160"/>
  <c r="N315" i="160"/>
  <c r="M315" i="160"/>
  <c r="L315" i="160"/>
  <c r="H315" i="160"/>
  <c r="N314" i="160"/>
  <c r="M314" i="160"/>
  <c r="L314" i="160"/>
  <c r="H314" i="160"/>
  <c r="N313" i="160"/>
  <c r="M313" i="160"/>
  <c r="L313" i="160"/>
  <c r="H313" i="160"/>
  <c r="N312" i="160"/>
  <c r="M312" i="160"/>
  <c r="L312" i="160"/>
  <c r="H312" i="160"/>
  <c r="N311" i="160"/>
  <c r="M311" i="160"/>
  <c r="L311" i="160"/>
  <c r="H311" i="160"/>
  <c r="N310" i="160"/>
  <c r="M310" i="160"/>
  <c r="L310" i="160"/>
  <c r="H310" i="160"/>
  <c r="N309" i="160"/>
  <c r="M309" i="160"/>
  <c r="L309" i="160"/>
  <c r="H309" i="160"/>
  <c r="N308" i="160"/>
  <c r="M308" i="160"/>
  <c r="L308" i="160"/>
  <c r="H308" i="160"/>
  <c r="N307" i="160"/>
  <c r="M307" i="160"/>
  <c r="L307" i="160"/>
  <c r="H307" i="160"/>
  <c r="N306" i="160"/>
  <c r="M306" i="160"/>
  <c r="L306" i="160"/>
  <c r="H306" i="160"/>
  <c r="N305" i="160"/>
  <c r="M305" i="160"/>
  <c r="L305" i="160"/>
  <c r="H305" i="160"/>
  <c r="N304" i="160"/>
  <c r="M304" i="160"/>
  <c r="L304" i="160"/>
  <c r="H304" i="160"/>
  <c r="N303" i="160"/>
  <c r="M303" i="160"/>
  <c r="L303" i="160"/>
  <c r="H303" i="160"/>
  <c r="N302" i="160"/>
  <c r="M302" i="160"/>
  <c r="L302" i="160"/>
  <c r="H302" i="160"/>
  <c r="N301" i="160"/>
  <c r="M301" i="160"/>
  <c r="L301" i="160"/>
  <c r="H301" i="160"/>
  <c r="N300" i="160"/>
  <c r="M300" i="160"/>
  <c r="L300" i="160"/>
  <c r="H300" i="160"/>
  <c r="N299" i="160"/>
  <c r="M299" i="160"/>
  <c r="L299" i="160"/>
  <c r="H299" i="160"/>
  <c r="N298" i="160"/>
  <c r="M298" i="160"/>
  <c r="L298" i="160"/>
  <c r="H298" i="160"/>
  <c r="N297" i="160"/>
  <c r="M297" i="160"/>
  <c r="L297" i="160"/>
  <c r="H297" i="160"/>
  <c r="N296" i="160"/>
  <c r="M296" i="160"/>
  <c r="L296" i="160"/>
  <c r="H296" i="160"/>
  <c r="N295" i="160"/>
  <c r="M295" i="160"/>
  <c r="L295" i="160"/>
  <c r="H295" i="160"/>
  <c r="N294" i="160"/>
  <c r="M294" i="160"/>
  <c r="L294" i="160"/>
  <c r="H294" i="160"/>
  <c r="N293" i="160"/>
  <c r="M293" i="160"/>
  <c r="L293" i="160"/>
  <c r="H293" i="160"/>
  <c r="N292" i="160"/>
  <c r="M292" i="160"/>
  <c r="L292" i="160"/>
  <c r="H292" i="160"/>
  <c r="N291" i="160"/>
  <c r="M291" i="160"/>
  <c r="L291" i="160"/>
  <c r="H291" i="160"/>
  <c r="N290" i="160"/>
  <c r="M290" i="160"/>
  <c r="L290" i="160"/>
  <c r="H290" i="160"/>
  <c r="N289" i="160"/>
  <c r="M289" i="160"/>
  <c r="L289" i="160"/>
  <c r="H289" i="160"/>
  <c r="N288" i="160"/>
  <c r="M288" i="160"/>
  <c r="L288" i="160"/>
  <c r="H288" i="160"/>
  <c r="N287" i="160"/>
  <c r="M287" i="160"/>
  <c r="L287" i="160"/>
  <c r="H287" i="160"/>
  <c r="N286" i="160"/>
  <c r="M286" i="160"/>
  <c r="L286" i="160"/>
  <c r="H286" i="160"/>
  <c r="N285" i="160"/>
  <c r="M285" i="160"/>
  <c r="L285" i="160"/>
  <c r="H285" i="160"/>
  <c r="N284" i="160"/>
  <c r="M284" i="160"/>
  <c r="L284" i="160"/>
  <c r="H284" i="160"/>
  <c r="N283" i="160"/>
  <c r="M283" i="160"/>
  <c r="L283" i="160"/>
  <c r="H283" i="160"/>
  <c r="N282" i="160"/>
  <c r="M282" i="160"/>
  <c r="L282" i="160"/>
  <c r="H282" i="160"/>
  <c r="N281" i="160"/>
  <c r="M281" i="160"/>
  <c r="L281" i="160"/>
  <c r="H281" i="160"/>
  <c r="N280" i="160"/>
  <c r="M280" i="160"/>
  <c r="L280" i="160"/>
  <c r="H280" i="160"/>
  <c r="N279" i="160"/>
  <c r="M279" i="160"/>
  <c r="L279" i="160"/>
  <c r="H279" i="160"/>
  <c r="N278" i="160"/>
  <c r="M278" i="160"/>
  <c r="L278" i="160"/>
  <c r="H278" i="160"/>
  <c r="N277" i="160"/>
  <c r="M277" i="160"/>
  <c r="L277" i="160"/>
  <c r="H277" i="160"/>
  <c r="N276" i="160"/>
  <c r="M276" i="160"/>
  <c r="L276" i="160"/>
  <c r="H276" i="160"/>
  <c r="N275" i="160"/>
  <c r="M275" i="160"/>
  <c r="L275" i="160"/>
  <c r="H275" i="160"/>
  <c r="N274" i="160"/>
  <c r="M274" i="160"/>
  <c r="L274" i="160"/>
  <c r="H274" i="160"/>
  <c r="N273" i="160"/>
  <c r="M273" i="160"/>
  <c r="L273" i="160"/>
  <c r="H273" i="160"/>
  <c r="N272" i="160"/>
  <c r="M272" i="160"/>
  <c r="L272" i="160"/>
  <c r="H272" i="160"/>
  <c r="N271" i="160"/>
  <c r="M271" i="160"/>
  <c r="L271" i="160"/>
  <c r="H271" i="160"/>
  <c r="N270" i="160"/>
  <c r="M270" i="160"/>
  <c r="L270" i="160"/>
  <c r="H270" i="160"/>
  <c r="N269" i="160"/>
  <c r="M269" i="160"/>
  <c r="L269" i="160"/>
  <c r="H269" i="160"/>
  <c r="N268" i="160"/>
  <c r="M268" i="160"/>
  <c r="L268" i="160"/>
  <c r="H268" i="160"/>
  <c r="N267" i="160"/>
  <c r="M267" i="160"/>
  <c r="L267" i="160"/>
  <c r="H267" i="160"/>
  <c r="N266" i="160"/>
  <c r="M266" i="160"/>
  <c r="L266" i="160"/>
  <c r="H266" i="160"/>
  <c r="N265" i="160"/>
  <c r="M265" i="160"/>
  <c r="L265" i="160"/>
  <c r="H265" i="160"/>
  <c r="N264" i="160"/>
  <c r="M264" i="160"/>
  <c r="L264" i="160"/>
  <c r="H264" i="160"/>
  <c r="N263" i="160"/>
  <c r="M263" i="160"/>
  <c r="L263" i="160"/>
  <c r="H263" i="160"/>
  <c r="N262" i="160"/>
  <c r="M262" i="160"/>
  <c r="L262" i="160"/>
  <c r="H262" i="160"/>
  <c r="N261" i="160"/>
  <c r="M261" i="160"/>
  <c r="L261" i="160"/>
  <c r="H261" i="160"/>
  <c r="N260" i="160"/>
  <c r="M260" i="160"/>
  <c r="L260" i="160"/>
  <c r="H260" i="160"/>
  <c r="N259" i="160"/>
  <c r="M259" i="160"/>
  <c r="L259" i="160"/>
  <c r="H259" i="160"/>
  <c r="N258" i="160"/>
  <c r="M258" i="160"/>
  <c r="L258" i="160"/>
  <c r="H258" i="160"/>
  <c r="N257" i="160"/>
  <c r="M257" i="160"/>
  <c r="L257" i="160"/>
  <c r="H257" i="160"/>
  <c r="N256" i="160"/>
  <c r="M256" i="160"/>
  <c r="L256" i="160"/>
  <c r="H256" i="160"/>
  <c r="N255" i="160"/>
  <c r="M255" i="160"/>
  <c r="L255" i="160"/>
  <c r="H255" i="160"/>
  <c r="N254" i="160"/>
  <c r="M254" i="160"/>
  <c r="L254" i="160"/>
  <c r="H254" i="160"/>
  <c r="N253" i="160"/>
  <c r="M253" i="160"/>
  <c r="L253" i="160"/>
  <c r="H253" i="160"/>
  <c r="N252" i="160"/>
  <c r="M252" i="160"/>
  <c r="L252" i="160"/>
  <c r="H252" i="160"/>
  <c r="N251" i="160"/>
  <c r="M251" i="160"/>
  <c r="L251" i="160"/>
  <c r="H251" i="160"/>
  <c r="N250" i="160"/>
  <c r="M250" i="160"/>
  <c r="L250" i="160"/>
  <c r="H250" i="160"/>
  <c r="N249" i="160"/>
  <c r="M249" i="160"/>
  <c r="L249" i="160"/>
  <c r="H249" i="160"/>
  <c r="N248" i="160"/>
  <c r="M248" i="160"/>
  <c r="L248" i="160"/>
  <c r="H248" i="160"/>
  <c r="N247" i="160"/>
  <c r="M247" i="160"/>
  <c r="L247" i="160"/>
  <c r="H247" i="160"/>
  <c r="N246" i="160"/>
  <c r="M246" i="160"/>
  <c r="L246" i="160"/>
  <c r="H246" i="160"/>
  <c r="N245" i="160"/>
  <c r="M245" i="160"/>
  <c r="L245" i="160"/>
  <c r="H245" i="160"/>
  <c r="N244" i="160"/>
  <c r="M244" i="160"/>
  <c r="L244" i="160"/>
  <c r="H244" i="160"/>
  <c r="N243" i="160"/>
  <c r="M243" i="160"/>
  <c r="L243" i="160"/>
  <c r="H243" i="160"/>
  <c r="N242" i="160"/>
  <c r="M242" i="160"/>
  <c r="L242" i="160"/>
  <c r="H242" i="160"/>
  <c r="N241" i="160"/>
  <c r="M241" i="160"/>
  <c r="L241" i="160"/>
  <c r="H241" i="160"/>
  <c r="N240" i="160"/>
  <c r="M240" i="160"/>
  <c r="L240" i="160"/>
  <c r="H240" i="160"/>
  <c r="N239" i="160"/>
  <c r="M239" i="160"/>
  <c r="L239" i="160"/>
  <c r="H239" i="160"/>
  <c r="N238" i="160"/>
  <c r="M238" i="160"/>
  <c r="L238" i="160"/>
  <c r="H238" i="160"/>
  <c r="N237" i="160"/>
  <c r="M237" i="160"/>
  <c r="L237" i="160"/>
  <c r="H237" i="160"/>
  <c r="N236" i="160"/>
  <c r="M236" i="160"/>
  <c r="L236" i="160"/>
  <c r="H236" i="160"/>
  <c r="N235" i="160"/>
  <c r="M235" i="160"/>
  <c r="L235" i="160"/>
  <c r="H235" i="160"/>
  <c r="N234" i="160"/>
  <c r="M234" i="160"/>
  <c r="L234" i="160"/>
  <c r="H234" i="160"/>
  <c r="N233" i="160"/>
  <c r="M233" i="160"/>
  <c r="L233" i="160"/>
  <c r="H233" i="160"/>
  <c r="N232" i="160"/>
  <c r="M232" i="160"/>
  <c r="L232" i="160"/>
  <c r="H232" i="160"/>
  <c r="N231" i="160"/>
  <c r="M231" i="160"/>
  <c r="L231" i="160"/>
  <c r="H231" i="160"/>
  <c r="N230" i="160"/>
  <c r="M230" i="160"/>
  <c r="L230" i="160"/>
  <c r="H230" i="160"/>
  <c r="N229" i="160"/>
  <c r="M229" i="160"/>
  <c r="L229" i="160"/>
  <c r="H229" i="160"/>
  <c r="N228" i="160"/>
  <c r="M228" i="160"/>
  <c r="L228" i="160"/>
  <c r="H228" i="160"/>
  <c r="N227" i="160"/>
  <c r="M227" i="160"/>
  <c r="L227" i="160"/>
  <c r="H227" i="160"/>
  <c r="N226" i="160"/>
  <c r="M226" i="160"/>
  <c r="L226" i="160"/>
  <c r="H226" i="160"/>
  <c r="N225" i="160"/>
  <c r="M225" i="160"/>
  <c r="L225" i="160"/>
  <c r="H225" i="160"/>
  <c r="N224" i="160"/>
  <c r="M224" i="160"/>
  <c r="L224" i="160"/>
  <c r="H224" i="160"/>
  <c r="N223" i="160"/>
  <c r="M223" i="160"/>
  <c r="L223" i="160"/>
  <c r="H223" i="160"/>
  <c r="N222" i="160"/>
  <c r="M222" i="160"/>
  <c r="L222" i="160"/>
  <c r="H222" i="160"/>
  <c r="N221" i="160"/>
  <c r="M221" i="160"/>
  <c r="L221" i="160"/>
  <c r="H221" i="160"/>
  <c r="N220" i="160"/>
  <c r="M220" i="160"/>
  <c r="L220" i="160"/>
  <c r="H220" i="160"/>
  <c r="N219" i="160"/>
  <c r="M219" i="160"/>
  <c r="L219" i="160"/>
  <c r="H219" i="160"/>
  <c r="N218" i="160"/>
  <c r="M218" i="160"/>
  <c r="L218" i="160"/>
  <c r="H218" i="160"/>
  <c r="N217" i="160"/>
  <c r="M217" i="160"/>
  <c r="L217" i="160"/>
  <c r="H217" i="160"/>
  <c r="N216" i="160"/>
  <c r="M216" i="160"/>
  <c r="L216" i="160"/>
  <c r="H216" i="160"/>
  <c r="N215" i="160"/>
  <c r="M215" i="160"/>
  <c r="L215" i="160"/>
  <c r="H215" i="160"/>
  <c r="N214" i="160"/>
  <c r="M214" i="160"/>
  <c r="L214" i="160"/>
  <c r="H214" i="160"/>
  <c r="N213" i="160"/>
  <c r="M213" i="160"/>
  <c r="L213" i="160"/>
  <c r="H213" i="160"/>
  <c r="N212" i="160"/>
  <c r="M212" i="160"/>
  <c r="L212" i="160"/>
  <c r="H212" i="160"/>
  <c r="N211" i="160"/>
  <c r="M211" i="160"/>
  <c r="L211" i="160"/>
  <c r="H211" i="160"/>
  <c r="N210" i="160"/>
  <c r="M210" i="160"/>
  <c r="L210" i="160"/>
  <c r="H210" i="160"/>
  <c r="N209" i="160"/>
  <c r="M209" i="160"/>
  <c r="L209" i="160"/>
  <c r="H209" i="160"/>
  <c r="N208" i="160"/>
  <c r="M208" i="160"/>
  <c r="L208" i="160"/>
  <c r="H208" i="160"/>
  <c r="N207" i="160"/>
  <c r="M207" i="160"/>
  <c r="L207" i="160"/>
  <c r="H207" i="160"/>
  <c r="N206" i="160"/>
  <c r="M206" i="160"/>
  <c r="L206" i="160"/>
  <c r="H206" i="160"/>
  <c r="N205" i="160"/>
  <c r="M205" i="160"/>
  <c r="L205" i="160"/>
  <c r="H205" i="160"/>
  <c r="N204" i="160"/>
  <c r="M204" i="160"/>
  <c r="L204" i="160"/>
  <c r="H204" i="160"/>
  <c r="N203" i="160"/>
  <c r="M203" i="160"/>
  <c r="L203" i="160"/>
  <c r="H203" i="160"/>
  <c r="N202" i="160"/>
  <c r="M202" i="160"/>
  <c r="L202" i="160"/>
  <c r="H202" i="160"/>
  <c r="N201" i="160"/>
  <c r="M201" i="160"/>
  <c r="L201" i="160"/>
  <c r="H201" i="160"/>
  <c r="N200" i="160"/>
  <c r="M200" i="160"/>
  <c r="L200" i="160"/>
  <c r="H200" i="160"/>
  <c r="N199" i="160"/>
  <c r="M199" i="160"/>
  <c r="L199" i="160"/>
  <c r="H199" i="160"/>
  <c r="N198" i="160"/>
  <c r="M198" i="160"/>
  <c r="L198" i="160"/>
  <c r="H198" i="160"/>
  <c r="N197" i="160"/>
  <c r="M197" i="160"/>
  <c r="L197" i="160"/>
  <c r="H197" i="160"/>
  <c r="N196" i="160"/>
  <c r="M196" i="160"/>
  <c r="L196" i="160"/>
  <c r="H196" i="160"/>
  <c r="N195" i="160"/>
  <c r="M195" i="160"/>
  <c r="L195" i="160"/>
  <c r="H195" i="160"/>
  <c r="N194" i="160"/>
  <c r="M194" i="160"/>
  <c r="L194" i="160"/>
  <c r="H194" i="160"/>
  <c r="N193" i="160"/>
  <c r="M193" i="160"/>
  <c r="L193" i="160"/>
  <c r="H193" i="160"/>
  <c r="N192" i="160"/>
  <c r="M192" i="160"/>
  <c r="L192" i="160"/>
  <c r="H192" i="160"/>
  <c r="N191" i="160"/>
  <c r="M191" i="160"/>
  <c r="L191" i="160"/>
  <c r="H191" i="160"/>
  <c r="N190" i="160"/>
  <c r="M190" i="160"/>
  <c r="L190" i="160"/>
  <c r="H190" i="160"/>
  <c r="N189" i="160"/>
  <c r="M189" i="160"/>
  <c r="L189" i="160"/>
  <c r="H189" i="160"/>
  <c r="N188" i="160"/>
  <c r="M188" i="160"/>
  <c r="L188" i="160"/>
  <c r="H188" i="160"/>
  <c r="N187" i="160"/>
  <c r="M187" i="160"/>
  <c r="L187" i="160"/>
  <c r="H187" i="160"/>
  <c r="N186" i="160"/>
  <c r="M186" i="160"/>
  <c r="L186" i="160"/>
  <c r="H186" i="160"/>
  <c r="N185" i="160"/>
  <c r="M185" i="160"/>
  <c r="L185" i="160"/>
  <c r="H185" i="160"/>
  <c r="N184" i="160"/>
  <c r="M184" i="160"/>
  <c r="L184" i="160"/>
  <c r="H184" i="160"/>
  <c r="N183" i="160"/>
  <c r="M183" i="160"/>
  <c r="L183" i="160"/>
  <c r="H183" i="160"/>
  <c r="N182" i="160"/>
  <c r="M182" i="160"/>
  <c r="L182" i="160"/>
  <c r="H182" i="160"/>
  <c r="N181" i="160"/>
  <c r="M181" i="160"/>
  <c r="L181" i="160"/>
  <c r="H181" i="160"/>
  <c r="N180" i="160"/>
  <c r="M180" i="160"/>
  <c r="L180" i="160"/>
  <c r="H180" i="160"/>
  <c r="N179" i="160"/>
  <c r="M179" i="160"/>
  <c r="L179" i="160"/>
  <c r="H179" i="160"/>
  <c r="N178" i="160"/>
  <c r="M178" i="160"/>
  <c r="L178" i="160"/>
  <c r="H178" i="160"/>
  <c r="N177" i="160"/>
  <c r="M177" i="160"/>
  <c r="L177" i="160"/>
  <c r="H177" i="160"/>
  <c r="N176" i="160"/>
  <c r="M176" i="160"/>
  <c r="L176" i="160"/>
  <c r="H176" i="160"/>
  <c r="N175" i="160"/>
  <c r="M175" i="160"/>
  <c r="L175" i="160"/>
  <c r="H175" i="160"/>
  <c r="N174" i="160"/>
  <c r="M174" i="160"/>
  <c r="L174" i="160"/>
  <c r="H174" i="160"/>
  <c r="N173" i="160"/>
  <c r="M173" i="160"/>
  <c r="L173" i="160"/>
  <c r="H173" i="160"/>
  <c r="N172" i="160"/>
  <c r="M172" i="160"/>
  <c r="L172" i="160"/>
  <c r="H172" i="160"/>
  <c r="N171" i="160"/>
  <c r="M171" i="160"/>
  <c r="L171" i="160"/>
  <c r="H171" i="160"/>
  <c r="N170" i="160"/>
  <c r="M170" i="160"/>
  <c r="L170" i="160"/>
  <c r="H170" i="160"/>
  <c r="N169" i="160"/>
  <c r="M169" i="160"/>
  <c r="L169" i="160"/>
  <c r="H169" i="160"/>
  <c r="N168" i="160"/>
  <c r="M168" i="160"/>
  <c r="L168" i="160"/>
  <c r="H168" i="160"/>
  <c r="N167" i="160"/>
  <c r="M167" i="160"/>
  <c r="L167" i="160"/>
  <c r="H167" i="160"/>
  <c r="N166" i="160"/>
  <c r="M166" i="160"/>
  <c r="L166" i="160"/>
  <c r="H166" i="160"/>
  <c r="N165" i="160"/>
  <c r="M165" i="160"/>
  <c r="L165" i="160"/>
  <c r="H165" i="160"/>
  <c r="N164" i="160"/>
  <c r="M164" i="160"/>
  <c r="L164" i="160"/>
  <c r="H164" i="160"/>
  <c r="N163" i="160"/>
  <c r="M163" i="160"/>
  <c r="L163" i="160"/>
  <c r="H163" i="160"/>
  <c r="N162" i="160"/>
  <c r="M162" i="160"/>
  <c r="L162" i="160"/>
  <c r="H162" i="160"/>
  <c r="N161" i="160"/>
  <c r="M161" i="160"/>
  <c r="L161" i="160"/>
  <c r="H161" i="160"/>
  <c r="N160" i="160"/>
  <c r="M160" i="160"/>
  <c r="L160" i="160"/>
  <c r="H160" i="160"/>
  <c r="N159" i="160"/>
  <c r="M159" i="160"/>
  <c r="L159" i="160"/>
  <c r="H159" i="160"/>
  <c r="N158" i="160"/>
  <c r="M158" i="160"/>
  <c r="L158" i="160"/>
  <c r="H158" i="160"/>
  <c r="N157" i="160"/>
  <c r="M157" i="160"/>
  <c r="L157" i="160"/>
  <c r="H157" i="160"/>
  <c r="N156" i="160"/>
  <c r="M156" i="160"/>
  <c r="L156" i="160"/>
  <c r="H156" i="160"/>
  <c r="N155" i="160"/>
  <c r="M155" i="160"/>
  <c r="L155" i="160"/>
  <c r="H155" i="160"/>
  <c r="N154" i="160"/>
  <c r="M154" i="160"/>
  <c r="L154" i="160"/>
  <c r="H154" i="160"/>
  <c r="N153" i="160"/>
  <c r="M153" i="160"/>
  <c r="L153" i="160"/>
  <c r="H153" i="160"/>
  <c r="N152" i="160"/>
  <c r="M152" i="160"/>
  <c r="L152" i="160"/>
  <c r="H152" i="160"/>
  <c r="N151" i="160"/>
  <c r="M151" i="160"/>
  <c r="L151" i="160"/>
  <c r="H151" i="160"/>
  <c r="N150" i="160"/>
  <c r="M150" i="160"/>
  <c r="L150" i="160"/>
  <c r="H150" i="160"/>
  <c r="N149" i="160"/>
  <c r="M149" i="160"/>
  <c r="L149" i="160"/>
  <c r="H149" i="160"/>
  <c r="N148" i="160"/>
  <c r="M148" i="160"/>
  <c r="L148" i="160"/>
  <c r="H148" i="160"/>
  <c r="N147" i="160"/>
  <c r="M147" i="160"/>
  <c r="L147" i="160"/>
  <c r="H147" i="160"/>
  <c r="N146" i="160"/>
  <c r="M146" i="160"/>
  <c r="L146" i="160"/>
  <c r="H146" i="160"/>
  <c r="N145" i="160"/>
  <c r="M145" i="160"/>
  <c r="L145" i="160"/>
  <c r="H145" i="160"/>
  <c r="N144" i="160"/>
  <c r="M144" i="160"/>
  <c r="L144" i="160"/>
  <c r="H144" i="160"/>
  <c r="N143" i="160"/>
  <c r="M143" i="160"/>
  <c r="L143" i="160"/>
  <c r="H143" i="160"/>
  <c r="N142" i="160"/>
  <c r="M142" i="160"/>
  <c r="L142" i="160"/>
  <c r="H142" i="160"/>
  <c r="N141" i="160"/>
  <c r="M141" i="160"/>
  <c r="L141" i="160"/>
  <c r="H141" i="160"/>
  <c r="N140" i="160"/>
  <c r="M140" i="160"/>
  <c r="L140" i="160"/>
  <c r="H140" i="160"/>
  <c r="N139" i="160"/>
  <c r="M139" i="160"/>
  <c r="L139" i="160"/>
  <c r="H139" i="160"/>
  <c r="N138" i="160"/>
  <c r="M138" i="160"/>
  <c r="L138" i="160"/>
  <c r="H138" i="160"/>
  <c r="N137" i="160"/>
  <c r="M137" i="160"/>
  <c r="L137" i="160"/>
  <c r="H137" i="160"/>
  <c r="N136" i="160"/>
  <c r="M136" i="160"/>
  <c r="L136" i="160"/>
  <c r="H136" i="160"/>
  <c r="N135" i="160"/>
  <c r="M135" i="160"/>
  <c r="L135" i="160"/>
  <c r="H135" i="160"/>
  <c r="N134" i="160"/>
  <c r="M134" i="160"/>
  <c r="L134" i="160"/>
  <c r="H134" i="160"/>
  <c r="N133" i="160"/>
  <c r="M133" i="160"/>
  <c r="L133" i="160"/>
  <c r="H133" i="160"/>
  <c r="N132" i="160"/>
  <c r="M132" i="160"/>
  <c r="L132" i="160"/>
  <c r="H132" i="160"/>
  <c r="N131" i="160"/>
  <c r="M131" i="160"/>
  <c r="L131" i="160"/>
  <c r="H131" i="160"/>
  <c r="N130" i="160"/>
  <c r="M130" i="160"/>
  <c r="L130" i="160"/>
  <c r="H130" i="160"/>
  <c r="N129" i="160"/>
  <c r="M129" i="160"/>
  <c r="L129" i="160"/>
  <c r="H129" i="160"/>
  <c r="N128" i="160"/>
  <c r="M128" i="160"/>
  <c r="L128" i="160"/>
  <c r="H128" i="160"/>
  <c r="N127" i="160"/>
  <c r="M127" i="160"/>
  <c r="L127" i="160"/>
  <c r="H127" i="160"/>
  <c r="N126" i="160"/>
  <c r="M126" i="160"/>
  <c r="L126" i="160"/>
  <c r="H126" i="160"/>
  <c r="N125" i="160"/>
  <c r="M125" i="160"/>
  <c r="L125" i="160"/>
  <c r="H125" i="160"/>
  <c r="N124" i="160"/>
  <c r="M124" i="160"/>
  <c r="L124" i="160"/>
  <c r="H124" i="160"/>
  <c r="N123" i="160"/>
  <c r="M123" i="160"/>
  <c r="L123" i="160"/>
  <c r="H123" i="160"/>
  <c r="N122" i="160"/>
  <c r="M122" i="160"/>
  <c r="L122" i="160"/>
  <c r="H122" i="160"/>
  <c r="N121" i="160"/>
  <c r="M121" i="160"/>
  <c r="L121" i="160"/>
  <c r="H121" i="160"/>
  <c r="N120" i="160"/>
  <c r="M120" i="160"/>
  <c r="L120" i="160"/>
  <c r="H120" i="160"/>
  <c r="N119" i="160"/>
  <c r="M119" i="160"/>
  <c r="L119" i="160"/>
  <c r="H119" i="160"/>
  <c r="N118" i="160"/>
  <c r="M118" i="160"/>
  <c r="L118" i="160"/>
  <c r="H118" i="160"/>
  <c r="N117" i="160"/>
  <c r="M117" i="160"/>
  <c r="L117" i="160"/>
  <c r="H117" i="160"/>
  <c r="N116" i="160"/>
  <c r="M116" i="160"/>
  <c r="L116" i="160"/>
  <c r="H116" i="160"/>
  <c r="N115" i="160"/>
  <c r="M115" i="160"/>
  <c r="L115" i="160"/>
  <c r="H115" i="160"/>
  <c r="N114" i="160"/>
  <c r="M114" i="160"/>
  <c r="L114" i="160"/>
  <c r="H114" i="160"/>
  <c r="N113" i="160"/>
  <c r="M113" i="160"/>
  <c r="L113" i="160"/>
  <c r="H113" i="160"/>
  <c r="N112" i="160"/>
  <c r="M112" i="160"/>
  <c r="L112" i="160"/>
  <c r="H112" i="160"/>
  <c r="N111" i="160"/>
  <c r="M111" i="160"/>
  <c r="L111" i="160"/>
  <c r="H111" i="160"/>
  <c r="N110" i="160"/>
  <c r="M110" i="160"/>
  <c r="L110" i="160"/>
  <c r="H110" i="160"/>
  <c r="N109" i="160"/>
  <c r="M109" i="160"/>
  <c r="L109" i="160"/>
  <c r="H109" i="160"/>
  <c r="N108" i="160"/>
  <c r="M108" i="160"/>
  <c r="L108" i="160"/>
  <c r="H108" i="160"/>
  <c r="N107" i="160"/>
  <c r="M107" i="160"/>
  <c r="L107" i="160"/>
  <c r="H107" i="160"/>
  <c r="N106" i="160"/>
  <c r="M106" i="160"/>
  <c r="L106" i="160"/>
  <c r="H106" i="160"/>
  <c r="N105" i="160"/>
  <c r="M105" i="160"/>
  <c r="L105" i="160"/>
  <c r="H105" i="160"/>
  <c r="N104" i="160"/>
  <c r="M104" i="160"/>
  <c r="L104" i="160"/>
  <c r="H104" i="160"/>
  <c r="N103" i="160"/>
  <c r="M103" i="160"/>
  <c r="L103" i="160"/>
  <c r="H103" i="160"/>
  <c r="N102" i="160"/>
  <c r="M102" i="160"/>
  <c r="L102" i="160"/>
  <c r="H102" i="160"/>
  <c r="N101" i="160"/>
  <c r="M101" i="160"/>
  <c r="L101" i="160"/>
  <c r="H101" i="160"/>
  <c r="N100" i="160"/>
  <c r="M100" i="160"/>
  <c r="L100" i="160"/>
  <c r="H100" i="160"/>
  <c r="N99" i="160"/>
  <c r="M99" i="160"/>
  <c r="L99" i="160"/>
  <c r="H99" i="160"/>
  <c r="N98" i="160"/>
  <c r="M98" i="160"/>
  <c r="L98" i="160"/>
  <c r="H98" i="160"/>
  <c r="N97" i="160"/>
  <c r="M97" i="160"/>
  <c r="L97" i="160"/>
  <c r="H97" i="160"/>
  <c r="N96" i="160"/>
  <c r="M96" i="160"/>
  <c r="L96" i="160"/>
  <c r="H96" i="160"/>
  <c r="N95" i="160"/>
  <c r="M95" i="160"/>
  <c r="L95" i="160"/>
  <c r="H95" i="160"/>
  <c r="N94" i="160"/>
  <c r="M94" i="160"/>
  <c r="L94" i="160"/>
  <c r="H94" i="160"/>
  <c r="N93" i="160"/>
  <c r="M93" i="160"/>
  <c r="L93" i="160"/>
  <c r="H93" i="160"/>
  <c r="N92" i="160"/>
  <c r="M92" i="160"/>
  <c r="L92" i="160"/>
  <c r="H92" i="160"/>
  <c r="N91" i="160"/>
  <c r="M91" i="160"/>
  <c r="L91" i="160"/>
  <c r="H91" i="160"/>
  <c r="N90" i="160"/>
  <c r="M90" i="160"/>
  <c r="L90" i="160"/>
  <c r="H90" i="160"/>
  <c r="N89" i="160"/>
  <c r="M89" i="160"/>
  <c r="L89" i="160"/>
  <c r="H89" i="160"/>
  <c r="N88" i="160"/>
  <c r="M88" i="160"/>
  <c r="L88" i="160"/>
  <c r="H88" i="160"/>
  <c r="N87" i="160"/>
  <c r="M87" i="160"/>
  <c r="L87" i="160"/>
  <c r="H87" i="160"/>
  <c r="N86" i="160"/>
  <c r="M86" i="160"/>
  <c r="L86" i="160"/>
  <c r="H86" i="160"/>
  <c r="N85" i="160"/>
  <c r="M85" i="160"/>
  <c r="L85" i="160"/>
  <c r="H85" i="160"/>
  <c r="N84" i="160"/>
  <c r="M84" i="160"/>
  <c r="L84" i="160"/>
  <c r="H84" i="160"/>
  <c r="N83" i="160"/>
  <c r="M83" i="160"/>
  <c r="L83" i="160"/>
  <c r="H83" i="160"/>
  <c r="N82" i="160"/>
  <c r="M82" i="160"/>
  <c r="L82" i="160"/>
  <c r="H82" i="160"/>
  <c r="N81" i="160"/>
  <c r="M81" i="160"/>
  <c r="L81" i="160"/>
  <c r="H81" i="160"/>
  <c r="N80" i="160"/>
  <c r="M80" i="160"/>
  <c r="L80" i="160"/>
  <c r="H80" i="160"/>
  <c r="N79" i="160"/>
  <c r="M79" i="160"/>
  <c r="L79" i="160"/>
  <c r="H79" i="160"/>
  <c r="N78" i="160"/>
  <c r="M78" i="160"/>
  <c r="L78" i="160"/>
  <c r="H78" i="160"/>
  <c r="N77" i="160"/>
  <c r="M77" i="160"/>
  <c r="L77" i="160"/>
  <c r="H77" i="160"/>
  <c r="N76" i="160"/>
  <c r="M76" i="160"/>
  <c r="L76" i="160"/>
  <c r="H76" i="160"/>
  <c r="N75" i="160"/>
  <c r="M75" i="160"/>
  <c r="L75" i="160"/>
  <c r="H75" i="160"/>
  <c r="N74" i="160"/>
  <c r="M74" i="160"/>
  <c r="L74" i="160"/>
  <c r="H74" i="160"/>
  <c r="N73" i="160"/>
  <c r="M73" i="160"/>
  <c r="L73" i="160"/>
  <c r="H73" i="160"/>
  <c r="N72" i="160"/>
  <c r="M72" i="160"/>
  <c r="L72" i="160"/>
  <c r="H72" i="160"/>
  <c r="N71" i="160"/>
  <c r="M71" i="160"/>
  <c r="L71" i="160"/>
  <c r="H71" i="160"/>
  <c r="N70" i="160"/>
  <c r="M70" i="160"/>
  <c r="L70" i="160"/>
  <c r="H70" i="160"/>
  <c r="N69" i="160"/>
  <c r="M69" i="160"/>
  <c r="L69" i="160"/>
  <c r="H69" i="160"/>
  <c r="N68" i="160"/>
  <c r="M68" i="160"/>
  <c r="L68" i="160"/>
  <c r="H68" i="160"/>
  <c r="N67" i="160"/>
  <c r="M67" i="160"/>
  <c r="L67" i="160"/>
  <c r="H67" i="160"/>
  <c r="N66" i="160"/>
  <c r="M66" i="160"/>
  <c r="L66" i="160"/>
  <c r="H66" i="160"/>
  <c r="N65" i="160"/>
  <c r="M65" i="160"/>
  <c r="L65" i="160"/>
  <c r="H65" i="160"/>
  <c r="N64" i="160"/>
  <c r="M64" i="160"/>
  <c r="L64" i="160"/>
  <c r="H64" i="160"/>
  <c r="N63" i="160"/>
  <c r="M63" i="160"/>
  <c r="L63" i="160"/>
  <c r="H63" i="160"/>
  <c r="N62" i="160"/>
  <c r="M62" i="160"/>
  <c r="L62" i="160"/>
  <c r="H62" i="160"/>
  <c r="N61" i="160"/>
  <c r="M61" i="160"/>
  <c r="L61" i="160"/>
  <c r="H61" i="160"/>
  <c r="N60" i="160"/>
  <c r="M60" i="160"/>
  <c r="L60" i="160"/>
  <c r="H60" i="160"/>
  <c r="N59" i="160"/>
  <c r="M59" i="160"/>
  <c r="L59" i="160"/>
  <c r="H59" i="160"/>
  <c r="N58" i="160"/>
  <c r="M58" i="160"/>
  <c r="L58" i="160"/>
  <c r="H58" i="160"/>
  <c r="N57" i="160"/>
  <c r="M57" i="160"/>
  <c r="L57" i="160"/>
  <c r="H57" i="160"/>
  <c r="N56" i="160"/>
  <c r="M56" i="160"/>
  <c r="L56" i="160"/>
  <c r="H56" i="160"/>
  <c r="N55" i="160"/>
  <c r="M55" i="160"/>
  <c r="L55" i="160"/>
  <c r="H55" i="160"/>
  <c r="N54" i="160"/>
  <c r="M54" i="160"/>
  <c r="L54" i="160"/>
  <c r="H54" i="160"/>
  <c r="N53" i="160"/>
  <c r="M53" i="160"/>
  <c r="L53" i="160"/>
  <c r="H53" i="160"/>
  <c r="N52" i="160"/>
  <c r="M52" i="160"/>
  <c r="L52" i="160"/>
  <c r="H52" i="160"/>
  <c r="N51" i="160"/>
  <c r="M51" i="160"/>
  <c r="L51" i="160"/>
  <c r="H51" i="160"/>
  <c r="N50" i="160"/>
  <c r="M50" i="160"/>
  <c r="L50" i="160"/>
  <c r="H50" i="160"/>
  <c r="N49" i="160"/>
  <c r="M49" i="160"/>
  <c r="L49" i="160"/>
  <c r="H49" i="160"/>
  <c r="N48" i="160"/>
  <c r="M48" i="160"/>
  <c r="L48" i="160"/>
  <c r="H48" i="160"/>
  <c r="N47" i="160"/>
  <c r="M47" i="160"/>
  <c r="L47" i="160"/>
  <c r="H47" i="160"/>
  <c r="N46" i="160"/>
  <c r="M46" i="160"/>
  <c r="L46" i="160"/>
  <c r="H46" i="160"/>
  <c r="N45" i="160"/>
  <c r="M45" i="160"/>
  <c r="L45" i="160"/>
  <c r="H45" i="160"/>
  <c r="N44" i="160"/>
  <c r="M44" i="160"/>
  <c r="L44" i="160"/>
  <c r="H44" i="160"/>
  <c r="N43" i="160"/>
  <c r="M43" i="160"/>
  <c r="L43" i="160"/>
  <c r="H43" i="160"/>
  <c r="N42" i="160"/>
  <c r="M42" i="160"/>
  <c r="L42" i="160"/>
  <c r="H42" i="160"/>
  <c r="N41" i="160"/>
  <c r="M41" i="160"/>
  <c r="L41" i="160"/>
  <c r="H41" i="160"/>
  <c r="N40" i="160"/>
  <c r="M40" i="160"/>
  <c r="L40" i="160"/>
  <c r="H40" i="160"/>
  <c r="N39" i="160"/>
  <c r="M39" i="160"/>
  <c r="L39" i="160"/>
  <c r="H39" i="160"/>
  <c r="N38" i="160"/>
  <c r="M38" i="160"/>
  <c r="L38" i="160"/>
  <c r="H38" i="160"/>
  <c r="N37" i="160"/>
  <c r="M37" i="160"/>
  <c r="L37" i="160"/>
  <c r="H37" i="160"/>
  <c r="N36" i="160"/>
  <c r="M36" i="160"/>
  <c r="L36" i="160"/>
  <c r="H36" i="160"/>
  <c r="N35" i="160"/>
  <c r="M35" i="160"/>
  <c r="L35" i="160"/>
  <c r="H35" i="160"/>
  <c r="N34" i="160"/>
  <c r="M34" i="160"/>
  <c r="L34" i="160"/>
  <c r="H34" i="160"/>
  <c r="N33" i="160"/>
  <c r="M33" i="160"/>
  <c r="L33" i="160"/>
  <c r="H33" i="160"/>
  <c r="N32" i="160"/>
  <c r="M32" i="160"/>
  <c r="L32" i="160"/>
  <c r="H32" i="160"/>
  <c r="N31" i="160"/>
  <c r="M31" i="160"/>
  <c r="L31" i="160"/>
  <c r="H31" i="160"/>
  <c r="N30" i="160"/>
  <c r="M30" i="160"/>
  <c r="L30" i="160"/>
  <c r="H30" i="160"/>
  <c r="N29" i="160"/>
  <c r="M29" i="160"/>
  <c r="L29" i="160"/>
  <c r="H29" i="160"/>
  <c r="N28" i="160"/>
  <c r="M28" i="160"/>
  <c r="L28" i="160"/>
  <c r="H28" i="160"/>
  <c r="N27" i="160"/>
  <c r="M27" i="160"/>
  <c r="L27" i="160"/>
  <c r="H27" i="160"/>
  <c r="N26" i="160"/>
  <c r="M26" i="160"/>
  <c r="L26" i="160"/>
  <c r="H26" i="160"/>
  <c r="N25" i="160"/>
  <c r="M25" i="160"/>
  <c r="L25" i="160"/>
  <c r="H25" i="160"/>
  <c r="N24" i="160"/>
  <c r="M24" i="160"/>
  <c r="L24" i="160"/>
  <c r="H24" i="160"/>
  <c r="N23" i="160"/>
  <c r="M23" i="160"/>
  <c r="L23" i="160"/>
  <c r="H23" i="160"/>
  <c r="N22" i="160"/>
  <c r="M22" i="160"/>
  <c r="L22" i="160"/>
  <c r="H22" i="160"/>
  <c r="N21" i="160"/>
  <c r="M21" i="160"/>
  <c r="L21" i="160"/>
  <c r="H21" i="160"/>
  <c r="N20" i="160"/>
  <c r="M20" i="160"/>
  <c r="L20" i="160"/>
  <c r="H20" i="160"/>
  <c r="N19" i="160"/>
  <c r="M19" i="160"/>
  <c r="L19" i="160"/>
  <c r="H19" i="160"/>
  <c r="N18" i="160"/>
  <c r="M18" i="160"/>
  <c r="L18" i="160"/>
  <c r="H18" i="160"/>
  <c r="N17" i="160"/>
  <c r="M17" i="160"/>
  <c r="L17" i="160"/>
  <c r="H17" i="160"/>
  <c r="N16" i="160"/>
  <c r="M16" i="160"/>
  <c r="L16" i="160"/>
  <c r="H16" i="160"/>
  <c r="N15" i="160"/>
  <c r="M15" i="160"/>
  <c r="L15" i="160"/>
  <c r="H15" i="160"/>
  <c r="N14" i="160"/>
  <c r="M14" i="160"/>
  <c r="L14" i="160"/>
  <c r="H14" i="160"/>
  <c r="N13" i="160"/>
  <c r="M13" i="160"/>
  <c r="L13" i="160"/>
  <c r="H13" i="160"/>
  <c r="N12" i="160"/>
  <c r="M12" i="160"/>
  <c r="L12" i="160"/>
  <c r="H12" i="160"/>
  <c r="N11" i="160"/>
  <c r="M11" i="160"/>
  <c r="L11" i="160"/>
  <c r="H11" i="160"/>
  <c r="N10" i="160"/>
  <c r="M10" i="160"/>
  <c r="L10" i="160"/>
  <c r="H10" i="160"/>
  <c r="N9" i="160"/>
  <c r="M9" i="160"/>
  <c r="L9" i="160"/>
  <c r="H9" i="160"/>
  <c r="N8" i="160"/>
  <c r="M8" i="160"/>
  <c r="L8" i="160"/>
  <c r="H8" i="160"/>
  <c r="N7" i="160"/>
  <c r="M7" i="160"/>
  <c r="L7" i="160"/>
  <c r="H7" i="160"/>
  <c r="N6" i="160"/>
  <c r="M6" i="160"/>
  <c r="L6" i="160"/>
  <c r="H6" i="160"/>
  <c r="N5" i="160"/>
  <c r="M5" i="160"/>
  <c r="L5" i="160"/>
  <c r="H5" i="160"/>
  <c r="N4" i="160"/>
  <c r="M4" i="160"/>
  <c r="L4" i="160"/>
  <c r="H4" i="160"/>
  <c r="N3" i="160"/>
  <c r="M3" i="160"/>
  <c r="L3" i="160"/>
  <c r="H3" i="160"/>
  <c r="N2" i="160"/>
  <c r="M2" i="160"/>
  <c r="L2" i="160"/>
  <c r="H2" i="160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B47" i="159"/>
  <c r="C40" i="159"/>
  <c r="C41" i="159"/>
  <c r="C42" i="159"/>
  <c r="C43" i="159"/>
  <c r="C44" i="159"/>
  <c r="C45" i="159"/>
  <c r="C46" i="159"/>
  <c r="C47" i="159"/>
  <c r="G42" i="159"/>
  <c r="G41" i="159"/>
  <c r="G40" i="159"/>
  <c r="F34" i="159"/>
  <c r="B1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G31" i="159"/>
  <c r="H31" i="159"/>
  <c r="I31" i="159"/>
  <c r="J31" i="159"/>
  <c r="F31" i="159"/>
  <c r="D31" i="159"/>
  <c r="G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R3" i="159"/>
  <c r="P3" i="159"/>
  <c r="O3" i="159"/>
  <c r="M3" i="159"/>
  <c r="V2" i="159"/>
  <c r="F336" i="158"/>
  <c r="H336" i="158"/>
  <c r="L336" i="158"/>
  <c r="M336" i="158"/>
  <c r="N336" i="158"/>
  <c r="F337" i="158"/>
  <c r="F338" i="158"/>
  <c r="F339" i="158"/>
  <c r="F340" i="158"/>
  <c r="H337" i="158"/>
  <c r="L337" i="158"/>
  <c r="M337" i="158"/>
  <c r="N337" i="158"/>
  <c r="H338" i="158"/>
  <c r="L338" i="158"/>
  <c r="M338" i="158"/>
  <c r="N338" i="158"/>
  <c r="H339" i="158"/>
  <c r="L339" i="158"/>
  <c r="M339" i="158"/>
  <c r="N339" i="158"/>
  <c r="H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3" i="157"/>
  <c r="R4" i="157"/>
  <c r="R5" i="157"/>
  <c r="R6" i="157"/>
  <c r="R7" i="157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L331" i="158"/>
  <c r="M331" i="158"/>
  <c r="N331" i="158"/>
  <c r="F332" i="158"/>
  <c r="F333" i="158"/>
  <c r="F334" i="158"/>
  <c r="F335" i="158"/>
  <c r="H332" i="158"/>
  <c r="L332" i="158"/>
  <c r="M332" i="158"/>
  <c r="N332" i="158"/>
  <c r="H333" i="158"/>
  <c r="L333" i="158"/>
  <c r="M333" i="158"/>
  <c r="N333" i="158"/>
  <c r="H334" i="158"/>
  <c r="L334" i="158"/>
  <c r="M334" i="158"/>
  <c r="N334" i="158"/>
  <c r="H335" i="158"/>
  <c r="L335" i="158"/>
  <c r="M335" i="158"/>
  <c r="N335" i="158"/>
  <c r="A331" i="158"/>
  <c r="A332" i="158"/>
  <c r="A333" i="158"/>
  <c r="A334" i="158"/>
  <c r="A335" i="158"/>
  <c r="F325" i="158"/>
  <c r="H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L326" i="158"/>
  <c r="M326" i="158"/>
  <c r="N326" i="158"/>
  <c r="H327" i="158"/>
  <c r="L327" i="158"/>
  <c r="M327" i="158"/>
  <c r="N327" i="158"/>
  <c r="H328" i="158"/>
  <c r="L328" i="158"/>
  <c r="M328" i="158"/>
  <c r="N328" i="158"/>
  <c r="H329" i="158"/>
  <c r="L329" i="158"/>
  <c r="M329" i="158"/>
  <c r="N329" i="158"/>
  <c r="H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L320" i="158"/>
  <c r="M320" i="158"/>
  <c r="N320" i="158"/>
  <c r="H321" i="158"/>
  <c r="L321" i="158"/>
  <c r="M321" i="158"/>
  <c r="N321" i="158"/>
  <c r="H322" i="158"/>
  <c r="L322" i="158"/>
  <c r="M322" i="158"/>
  <c r="N322" i="158"/>
  <c r="H323" i="158"/>
  <c r="L323" i="158"/>
  <c r="M323" i="158"/>
  <c r="N323" i="158"/>
  <c r="H324" i="158"/>
  <c r="L324" i="158"/>
  <c r="M324" i="158"/>
  <c r="N324" i="158"/>
  <c r="A320" i="158"/>
  <c r="A321" i="158"/>
  <c r="A322" i="158"/>
  <c r="A323" i="158"/>
  <c r="A324" i="158"/>
  <c r="H315" i="158"/>
  <c r="L315" i="158"/>
  <c r="M315" i="158"/>
  <c r="N315" i="158"/>
  <c r="H316" i="158"/>
  <c r="L316" i="158"/>
  <c r="M316" i="158"/>
  <c r="N316" i="158"/>
  <c r="H317" i="158"/>
  <c r="L317" i="158"/>
  <c r="M317" i="158"/>
  <c r="N317" i="158"/>
  <c r="H318" i="158"/>
  <c r="L318" i="158"/>
  <c r="M318" i="158"/>
  <c r="N318" i="158"/>
  <c r="H319" i="158"/>
  <c r="L319" i="158"/>
  <c r="M319" i="158"/>
  <c r="N319" i="158"/>
  <c r="A315" i="158"/>
  <c r="A316" i="158"/>
  <c r="A317" i="158"/>
  <c r="A318" i="158"/>
  <c r="A319" i="158"/>
  <c r="H310" i="158"/>
  <c r="L310" i="158"/>
  <c r="M310" i="158"/>
  <c r="N310" i="158"/>
  <c r="H311" i="158"/>
  <c r="L311" i="158"/>
  <c r="M311" i="158"/>
  <c r="N311" i="158"/>
  <c r="H312" i="158"/>
  <c r="L312" i="158"/>
  <c r="M312" i="158"/>
  <c r="N312" i="158"/>
  <c r="H313" i="158"/>
  <c r="L313" i="158"/>
  <c r="M313" i="158"/>
  <c r="N313" i="158"/>
  <c r="H314" i="158"/>
  <c r="L314" i="158"/>
  <c r="M314" i="158"/>
  <c r="N314" i="158"/>
  <c r="A310" i="158"/>
  <c r="A311" i="158"/>
  <c r="A312" i="158"/>
  <c r="A313" i="158"/>
  <c r="A314" i="158"/>
  <c r="A305" i="158"/>
  <c r="H305" i="158"/>
  <c r="L305" i="158"/>
  <c r="M305" i="158"/>
  <c r="N305" i="158"/>
  <c r="A306" i="158"/>
  <c r="H306" i="158"/>
  <c r="L306" i="158"/>
  <c r="M306" i="158"/>
  <c r="N306" i="158"/>
  <c r="A307" i="158"/>
  <c r="H307" i="158"/>
  <c r="L307" i="158"/>
  <c r="M307" i="158"/>
  <c r="N307" i="158"/>
  <c r="A308" i="158"/>
  <c r="H308" i="158"/>
  <c r="L308" i="158"/>
  <c r="M308" i="158"/>
  <c r="N308" i="158"/>
  <c r="A309" i="158"/>
  <c r="H309" i="158"/>
  <c r="L309" i="158"/>
  <c r="M309" i="158"/>
  <c r="N309" i="158"/>
  <c r="B30" i="157"/>
  <c r="A300" i="158"/>
  <c r="H300" i="158"/>
  <c r="L300" i="158"/>
  <c r="M300" i="158"/>
  <c r="N300" i="158"/>
  <c r="A301" i="158"/>
  <c r="H301" i="158"/>
  <c r="L301" i="158"/>
  <c r="M301" i="158"/>
  <c r="N301" i="158"/>
  <c r="A302" i="158"/>
  <c r="H302" i="158"/>
  <c r="L302" i="158"/>
  <c r="M302" i="158"/>
  <c r="N302" i="158"/>
  <c r="A303" i="158"/>
  <c r="H303" i="158"/>
  <c r="L303" i="158"/>
  <c r="M303" i="158"/>
  <c r="N303" i="158"/>
  <c r="A304" i="158"/>
  <c r="H304" i="158"/>
  <c r="L304" i="158"/>
  <c r="M304" i="158"/>
  <c r="N304" i="158"/>
  <c r="A295" i="158"/>
  <c r="H295" i="158"/>
  <c r="L295" i="158"/>
  <c r="M295" i="158"/>
  <c r="N295" i="158"/>
  <c r="A296" i="158"/>
  <c r="H296" i="158"/>
  <c r="L296" i="158"/>
  <c r="M296" i="158"/>
  <c r="N296" i="158"/>
  <c r="A297" i="158"/>
  <c r="H297" i="158"/>
  <c r="L297" i="158"/>
  <c r="M297" i="158"/>
  <c r="N297" i="158"/>
  <c r="A298" i="158"/>
  <c r="H298" i="158"/>
  <c r="L298" i="158"/>
  <c r="M298" i="158"/>
  <c r="N298" i="158"/>
  <c r="A299" i="158"/>
  <c r="H299" i="158"/>
  <c r="L299" i="158"/>
  <c r="M299" i="158"/>
  <c r="N299" i="158"/>
  <c r="R8" i="157"/>
  <c r="R9" i="157"/>
  <c r="R10" i="157"/>
  <c r="H290" i="158"/>
  <c r="L290" i="158"/>
  <c r="M290" i="158"/>
  <c r="N290" i="158"/>
  <c r="B10" i="157"/>
  <c r="H291" i="158"/>
  <c r="L291" i="158"/>
  <c r="M291" i="158"/>
  <c r="N291" i="158"/>
  <c r="H292" i="158"/>
  <c r="L292" i="158"/>
  <c r="M292" i="158"/>
  <c r="N292" i="158"/>
  <c r="H293" i="158"/>
  <c r="L293" i="158"/>
  <c r="M293" i="158"/>
  <c r="N293" i="158"/>
  <c r="H294" i="158"/>
  <c r="L294" i="158"/>
  <c r="M294" i="158"/>
  <c r="N294" i="158"/>
  <c r="A290" i="158"/>
  <c r="A291" i="158"/>
  <c r="A292" i="158"/>
  <c r="A293" i="158"/>
  <c r="A294" i="158"/>
  <c r="A285" i="158"/>
  <c r="H285" i="158"/>
  <c r="L285" i="158"/>
  <c r="M285" i="158"/>
  <c r="N285" i="158"/>
  <c r="A286" i="158"/>
  <c r="H286" i="158"/>
  <c r="L286" i="158"/>
  <c r="M286" i="158"/>
  <c r="N286" i="158"/>
  <c r="A287" i="158"/>
  <c r="H287" i="158"/>
  <c r="L287" i="158"/>
  <c r="M287" i="158"/>
  <c r="N287" i="158"/>
  <c r="A288" i="158"/>
  <c r="H288" i="158"/>
  <c r="L288" i="158"/>
  <c r="M288" i="158"/>
  <c r="N288" i="158"/>
  <c r="A289" i="158"/>
  <c r="H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H284" i="158"/>
  <c r="A284" i="158"/>
  <c r="N283" i="158"/>
  <c r="M283" i="158"/>
  <c r="L283" i="158"/>
  <c r="H283" i="158"/>
  <c r="A283" i="158"/>
  <c r="N282" i="158"/>
  <c r="M282" i="158"/>
  <c r="L282" i="158"/>
  <c r="H282" i="158"/>
  <c r="A282" i="158"/>
  <c r="N281" i="158"/>
  <c r="M281" i="158"/>
  <c r="L281" i="158"/>
  <c r="H281" i="158"/>
  <c r="A281" i="158"/>
  <c r="N280" i="158"/>
  <c r="M280" i="158"/>
  <c r="L280" i="158"/>
  <c r="H280" i="158"/>
  <c r="A280" i="158"/>
  <c r="N279" i="158"/>
  <c r="M279" i="158"/>
  <c r="L279" i="158"/>
  <c r="H279" i="158"/>
  <c r="A279" i="158"/>
  <c r="N278" i="158"/>
  <c r="M278" i="158"/>
  <c r="L278" i="158"/>
  <c r="H278" i="158"/>
  <c r="A278" i="158"/>
  <c r="N277" i="158"/>
  <c r="M277" i="158"/>
  <c r="L277" i="158"/>
  <c r="H277" i="158"/>
  <c r="A277" i="158"/>
  <c r="N276" i="158"/>
  <c r="M276" i="158"/>
  <c r="L276" i="158"/>
  <c r="H276" i="158"/>
  <c r="A276" i="158"/>
  <c r="N275" i="158"/>
  <c r="M275" i="158"/>
  <c r="L275" i="158"/>
  <c r="H275" i="158"/>
  <c r="A275" i="158"/>
  <c r="N274" i="158"/>
  <c r="M274" i="158"/>
  <c r="L274" i="158"/>
  <c r="H274" i="158"/>
  <c r="A274" i="158"/>
  <c r="N273" i="158"/>
  <c r="M273" i="158"/>
  <c r="L273" i="158"/>
  <c r="H273" i="158"/>
  <c r="A273" i="158"/>
  <c r="N272" i="158"/>
  <c r="M272" i="158"/>
  <c r="L272" i="158"/>
  <c r="H272" i="158"/>
  <c r="A272" i="158"/>
  <c r="N271" i="158"/>
  <c r="M271" i="158"/>
  <c r="L271" i="158"/>
  <c r="H271" i="158"/>
  <c r="A271" i="158"/>
  <c r="N270" i="158"/>
  <c r="M270" i="158"/>
  <c r="L270" i="158"/>
  <c r="H270" i="158"/>
  <c r="A270" i="158"/>
  <c r="N269" i="158"/>
  <c r="M269" i="158"/>
  <c r="L269" i="158"/>
  <c r="H269" i="158"/>
  <c r="A269" i="158"/>
  <c r="N268" i="158"/>
  <c r="M268" i="158"/>
  <c r="L268" i="158"/>
  <c r="H268" i="158"/>
  <c r="A268" i="158"/>
  <c r="N267" i="158"/>
  <c r="M267" i="158"/>
  <c r="L267" i="158"/>
  <c r="H267" i="158"/>
  <c r="A267" i="158"/>
  <c r="N266" i="158"/>
  <c r="M266" i="158"/>
  <c r="L266" i="158"/>
  <c r="H266" i="158"/>
  <c r="A266" i="158"/>
  <c r="N265" i="158"/>
  <c r="M265" i="158"/>
  <c r="L265" i="158"/>
  <c r="H265" i="158"/>
  <c r="A265" i="158"/>
  <c r="N264" i="158"/>
  <c r="M264" i="158"/>
  <c r="L264" i="158"/>
  <c r="H264" i="158"/>
  <c r="A264" i="158"/>
  <c r="N263" i="158"/>
  <c r="M263" i="158"/>
  <c r="L263" i="158"/>
  <c r="H263" i="158"/>
  <c r="A263" i="158"/>
  <c r="N262" i="158"/>
  <c r="M262" i="158"/>
  <c r="L262" i="158"/>
  <c r="H262" i="158"/>
  <c r="A262" i="158"/>
  <c r="N261" i="158"/>
  <c r="M261" i="158"/>
  <c r="L261" i="158"/>
  <c r="H261" i="158"/>
  <c r="A261" i="158"/>
  <c r="N260" i="158"/>
  <c r="M260" i="158"/>
  <c r="L260" i="158"/>
  <c r="H260" i="158"/>
  <c r="A260" i="158"/>
  <c r="N259" i="158"/>
  <c r="M259" i="158"/>
  <c r="L259" i="158"/>
  <c r="H259" i="158"/>
  <c r="A259" i="158"/>
  <c r="N258" i="158"/>
  <c r="M258" i="158"/>
  <c r="L258" i="158"/>
  <c r="H258" i="158"/>
  <c r="A258" i="158"/>
  <c r="N257" i="158"/>
  <c r="M257" i="158"/>
  <c r="L257" i="158"/>
  <c r="H257" i="158"/>
  <c r="A257" i="158"/>
  <c r="N256" i="158"/>
  <c r="M256" i="158"/>
  <c r="L256" i="158"/>
  <c r="H256" i="158"/>
  <c r="A256" i="158"/>
  <c r="N255" i="158"/>
  <c r="M255" i="158"/>
  <c r="L255" i="158"/>
  <c r="H255" i="158"/>
  <c r="A255" i="158"/>
  <c r="N254" i="158"/>
  <c r="M254" i="158"/>
  <c r="L254" i="158"/>
  <c r="H254" i="158"/>
  <c r="A254" i="158"/>
  <c r="N253" i="158"/>
  <c r="M253" i="158"/>
  <c r="L253" i="158"/>
  <c r="H253" i="158"/>
  <c r="A253" i="158"/>
  <c r="N252" i="158"/>
  <c r="M252" i="158"/>
  <c r="L252" i="158"/>
  <c r="H252" i="158"/>
  <c r="A252" i="158"/>
  <c r="N251" i="158"/>
  <c r="M251" i="158"/>
  <c r="L251" i="158"/>
  <c r="H251" i="158"/>
  <c r="A251" i="158"/>
  <c r="N250" i="158"/>
  <c r="M250" i="158"/>
  <c r="L250" i="158"/>
  <c r="H250" i="158"/>
  <c r="A250" i="158"/>
  <c r="N249" i="158"/>
  <c r="M249" i="158"/>
  <c r="L249" i="158"/>
  <c r="H249" i="158"/>
  <c r="A249" i="158"/>
  <c r="N248" i="158"/>
  <c r="M248" i="158"/>
  <c r="L248" i="158"/>
  <c r="H248" i="158"/>
  <c r="A248" i="158"/>
  <c r="N247" i="158"/>
  <c r="M247" i="158"/>
  <c r="L247" i="158"/>
  <c r="H247" i="158"/>
  <c r="A247" i="158"/>
  <c r="N246" i="158"/>
  <c r="M246" i="158"/>
  <c r="L246" i="158"/>
  <c r="H246" i="158"/>
  <c r="A246" i="158"/>
  <c r="N245" i="158"/>
  <c r="M245" i="158"/>
  <c r="L245" i="158"/>
  <c r="H245" i="158"/>
  <c r="A245" i="158"/>
  <c r="N244" i="158"/>
  <c r="M244" i="158"/>
  <c r="L244" i="158"/>
  <c r="H244" i="158"/>
  <c r="A244" i="158"/>
  <c r="N243" i="158"/>
  <c r="M243" i="158"/>
  <c r="L243" i="158"/>
  <c r="H243" i="158"/>
  <c r="A243" i="158"/>
  <c r="N242" i="158"/>
  <c r="M242" i="158"/>
  <c r="L242" i="158"/>
  <c r="H242" i="158"/>
  <c r="A242" i="158"/>
  <c r="N241" i="158"/>
  <c r="M241" i="158"/>
  <c r="L241" i="158"/>
  <c r="H241" i="158"/>
  <c r="A241" i="158"/>
  <c r="N240" i="158"/>
  <c r="M240" i="158"/>
  <c r="L240" i="158"/>
  <c r="H240" i="158"/>
  <c r="A240" i="158"/>
  <c r="N239" i="158"/>
  <c r="M239" i="158"/>
  <c r="L239" i="158"/>
  <c r="H239" i="158"/>
  <c r="A239" i="158"/>
  <c r="N238" i="158"/>
  <c r="M238" i="158"/>
  <c r="L238" i="158"/>
  <c r="H238" i="158"/>
  <c r="A238" i="158"/>
  <c r="N237" i="158"/>
  <c r="M237" i="158"/>
  <c r="L237" i="158"/>
  <c r="H237" i="158"/>
  <c r="A237" i="158"/>
  <c r="N236" i="158"/>
  <c r="M236" i="158"/>
  <c r="L236" i="158"/>
  <c r="H236" i="158"/>
  <c r="A236" i="158"/>
  <c r="N235" i="158"/>
  <c r="M235" i="158"/>
  <c r="L235" i="158"/>
  <c r="H235" i="158"/>
  <c r="A235" i="158"/>
  <c r="N234" i="158"/>
  <c r="M234" i="158"/>
  <c r="L234" i="158"/>
  <c r="H234" i="158"/>
  <c r="A234" i="158"/>
  <c r="N233" i="158"/>
  <c r="M233" i="158"/>
  <c r="L233" i="158"/>
  <c r="H233" i="158"/>
  <c r="A233" i="158"/>
  <c r="N232" i="158"/>
  <c r="M232" i="158"/>
  <c r="L232" i="158"/>
  <c r="H232" i="158"/>
  <c r="A232" i="158"/>
  <c r="N231" i="158"/>
  <c r="M231" i="158"/>
  <c r="L231" i="158"/>
  <c r="H231" i="158"/>
  <c r="A231" i="158"/>
  <c r="N230" i="158"/>
  <c r="M230" i="158"/>
  <c r="L230" i="158"/>
  <c r="H230" i="158"/>
  <c r="A230" i="158"/>
  <c r="N229" i="158"/>
  <c r="M229" i="158"/>
  <c r="L229" i="158"/>
  <c r="H229" i="158"/>
  <c r="A229" i="158"/>
  <c r="N228" i="158"/>
  <c r="M228" i="158"/>
  <c r="L228" i="158"/>
  <c r="H228" i="158"/>
  <c r="A228" i="158"/>
  <c r="N227" i="158"/>
  <c r="M227" i="158"/>
  <c r="L227" i="158"/>
  <c r="H227" i="158"/>
  <c r="A227" i="158"/>
  <c r="N226" i="158"/>
  <c r="M226" i="158"/>
  <c r="L226" i="158"/>
  <c r="H226" i="158"/>
  <c r="A226" i="158"/>
  <c r="N225" i="158"/>
  <c r="M225" i="158"/>
  <c r="L225" i="158"/>
  <c r="H225" i="158"/>
  <c r="A225" i="158"/>
  <c r="N224" i="158"/>
  <c r="M224" i="158"/>
  <c r="L224" i="158"/>
  <c r="H224" i="158"/>
  <c r="A224" i="158"/>
  <c r="N223" i="158"/>
  <c r="M223" i="158"/>
  <c r="L223" i="158"/>
  <c r="H223" i="158"/>
  <c r="A223" i="158"/>
  <c r="N222" i="158"/>
  <c r="M222" i="158"/>
  <c r="L222" i="158"/>
  <c r="H222" i="158"/>
  <c r="A222" i="158"/>
  <c r="N221" i="158"/>
  <c r="M221" i="158"/>
  <c r="L221" i="158"/>
  <c r="H221" i="158"/>
  <c r="A221" i="158"/>
  <c r="N220" i="158"/>
  <c r="M220" i="158"/>
  <c r="L220" i="158"/>
  <c r="H220" i="158"/>
  <c r="A220" i="158"/>
  <c r="N219" i="158"/>
  <c r="M219" i="158"/>
  <c r="L219" i="158"/>
  <c r="H219" i="158"/>
  <c r="A219" i="158"/>
  <c r="N218" i="158"/>
  <c r="M218" i="158"/>
  <c r="L218" i="158"/>
  <c r="H218" i="158"/>
  <c r="A218" i="158"/>
  <c r="N217" i="158"/>
  <c r="M217" i="158"/>
  <c r="L217" i="158"/>
  <c r="H217" i="158"/>
  <c r="A217" i="158"/>
  <c r="N216" i="158"/>
  <c r="M216" i="158"/>
  <c r="L216" i="158"/>
  <c r="H216" i="158"/>
  <c r="A216" i="158"/>
  <c r="N215" i="158"/>
  <c r="M215" i="158"/>
  <c r="L215" i="158"/>
  <c r="H215" i="158"/>
  <c r="A215" i="158"/>
  <c r="N214" i="158"/>
  <c r="M214" i="158"/>
  <c r="L214" i="158"/>
  <c r="H214" i="158"/>
  <c r="A214" i="158"/>
  <c r="N213" i="158"/>
  <c r="M213" i="158"/>
  <c r="L213" i="158"/>
  <c r="H213" i="158"/>
  <c r="A213" i="158"/>
  <c r="N212" i="158"/>
  <c r="M212" i="158"/>
  <c r="L212" i="158"/>
  <c r="H212" i="158"/>
  <c r="A212" i="158"/>
  <c r="N211" i="158"/>
  <c r="M211" i="158"/>
  <c r="L211" i="158"/>
  <c r="H211" i="158"/>
  <c r="A211" i="158"/>
  <c r="N210" i="158"/>
  <c r="M210" i="158"/>
  <c r="L210" i="158"/>
  <c r="H210" i="158"/>
  <c r="A210" i="158"/>
  <c r="N209" i="158"/>
  <c r="M209" i="158"/>
  <c r="L209" i="158"/>
  <c r="H209" i="158"/>
  <c r="A209" i="158"/>
  <c r="N208" i="158"/>
  <c r="M208" i="158"/>
  <c r="L208" i="158"/>
  <c r="H208" i="158"/>
  <c r="A208" i="158"/>
  <c r="N207" i="158"/>
  <c r="M207" i="158"/>
  <c r="L207" i="158"/>
  <c r="H207" i="158"/>
  <c r="A207" i="158"/>
  <c r="N206" i="158"/>
  <c r="M206" i="158"/>
  <c r="L206" i="158"/>
  <c r="H206" i="158"/>
  <c r="A206" i="158"/>
  <c r="N205" i="158"/>
  <c r="M205" i="158"/>
  <c r="L205" i="158"/>
  <c r="H205" i="158"/>
  <c r="A205" i="158"/>
  <c r="N204" i="158"/>
  <c r="M204" i="158"/>
  <c r="L204" i="158"/>
  <c r="H204" i="158"/>
  <c r="A204" i="158"/>
  <c r="N203" i="158"/>
  <c r="M203" i="158"/>
  <c r="L203" i="158"/>
  <c r="H203" i="158"/>
  <c r="A203" i="158"/>
  <c r="N202" i="158"/>
  <c r="M202" i="158"/>
  <c r="L202" i="158"/>
  <c r="H202" i="158"/>
  <c r="A202" i="158"/>
  <c r="N201" i="158"/>
  <c r="M201" i="158"/>
  <c r="L201" i="158"/>
  <c r="H201" i="158"/>
  <c r="A201" i="158"/>
  <c r="N200" i="158"/>
  <c r="M200" i="158"/>
  <c r="L200" i="158"/>
  <c r="H200" i="158"/>
  <c r="A200" i="158"/>
  <c r="N199" i="158"/>
  <c r="M199" i="158"/>
  <c r="L199" i="158"/>
  <c r="H199" i="158"/>
  <c r="A199" i="158"/>
  <c r="N198" i="158"/>
  <c r="M198" i="158"/>
  <c r="L198" i="158"/>
  <c r="H198" i="158"/>
  <c r="A198" i="158"/>
  <c r="N197" i="158"/>
  <c r="M197" i="158"/>
  <c r="L197" i="158"/>
  <c r="H197" i="158"/>
  <c r="A197" i="158"/>
  <c r="N196" i="158"/>
  <c r="M196" i="158"/>
  <c r="L196" i="158"/>
  <c r="H196" i="158"/>
  <c r="A196" i="158"/>
  <c r="N195" i="158"/>
  <c r="M195" i="158"/>
  <c r="L195" i="158"/>
  <c r="H195" i="158"/>
  <c r="A195" i="158"/>
  <c r="N194" i="158"/>
  <c r="M194" i="158"/>
  <c r="L194" i="158"/>
  <c r="H194" i="158"/>
  <c r="A194" i="158"/>
  <c r="N193" i="158"/>
  <c r="M193" i="158"/>
  <c r="L193" i="158"/>
  <c r="H193" i="158"/>
  <c r="A193" i="158"/>
  <c r="N192" i="158"/>
  <c r="M192" i="158"/>
  <c r="L192" i="158"/>
  <c r="H192" i="158"/>
  <c r="A192" i="158"/>
  <c r="N191" i="158"/>
  <c r="M191" i="158"/>
  <c r="L191" i="158"/>
  <c r="H191" i="158"/>
  <c r="A191" i="158"/>
  <c r="N190" i="158"/>
  <c r="M190" i="158"/>
  <c r="L190" i="158"/>
  <c r="H190" i="158"/>
  <c r="A190" i="158"/>
  <c r="N189" i="158"/>
  <c r="M189" i="158"/>
  <c r="L189" i="158"/>
  <c r="H189" i="158"/>
  <c r="A189" i="158"/>
  <c r="N188" i="158"/>
  <c r="M188" i="158"/>
  <c r="L188" i="158"/>
  <c r="H188" i="158"/>
  <c r="A188" i="158"/>
  <c r="N187" i="158"/>
  <c r="M187" i="158"/>
  <c r="L187" i="158"/>
  <c r="H187" i="158"/>
  <c r="A187" i="158"/>
  <c r="N186" i="158"/>
  <c r="M186" i="158"/>
  <c r="L186" i="158"/>
  <c r="H186" i="158"/>
  <c r="A186" i="158"/>
  <c r="N185" i="158"/>
  <c r="M185" i="158"/>
  <c r="L185" i="158"/>
  <c r="H185" i="158"/>
  <c r="A185" i="158"/>
  <c r="N184" i="158"/>
  <c r="M184" i="158"/>
  <c r="L184" i="158"/>
  <c r="H184" i="158"/>
  <c r="A184" i="158"/>
  <c r="N183" i="158"/>
  <c r="M183" i="158"/>
  <c r="L183" i="158"/>
  <c r="H183" i="158"/>
  <c r="A183" i="158"/>
  <c r="N182" i="158"/>
  <c r="M182" i="158"/>
  <c r="L182" i="158"/>
  <c r="H182" i="158"/>
  <c r="A182" i="158"/>
  <c r="N181" i="158"/>
  <c r="M181" i="158"/>
  <c r="L181" i="158"/>
  <c r="H181" i="158"/>
  <c r="A181" i="158"/>
  <c r="N180" i="158"/>
  <c r="M180" i="158"/>
  <c r="L180" i="158"/>
  <c r="H180" i="158"/>
  <c r="A180" i="158"/>
  <c r="N179" i="158"/>
  <c r="M179" i="158"/>
  <c r="L179" i="158"/>
  <c r="H179" i="158"/>
  <c r="A179" i="158"/>
  <c r="N178" i="158"/>
  <c r="M178" i="158"/>
  <c r="L178" i="158"/>
  <c r="H178" i="158"/>
  <c r="A178" i="158"/>
  <c r="N177" i="158"/>
  <c r="M177" i="158"/>
  <c r="L177" i="158"/>
  <c r="H177" i="158"/>
  <c r="A177" i="158"/>
  <c r="N176" i="158"/>
  <c r="M176" i="158"/>
  <c r="L176" i="158"/>
  <c r="H176" i="158"/>
  <c r="A176" i="158"/>
  <c r="N175" i="158"/>
  <c r="M175" i="158"/>
  <c r="L175" i="158"/>
  <c r="H175" i="158"/>
  <c r="A175" i="158"/>
  <c r="N174" i="158"/>
  <c r="M174" i="158"/>
  <c r="L174" i="158"/>
  <c r="H174" i="158"/>
  <c r="A174" i="158"/>
  <c r="N173" i="158"/>
  <c r="M173" i="158"/>
  <c r="L173" i="158"/>
  <c r="H173" i="158"/>
  <c r="A173" i="158"/>
  <c r="N172" i="158"/>
  <c r="M172" i="158"/>
  <c r="L172" i="158"/>
  <c r="H172" i="158"/>
  <c r="A172" i="158"/>
  <c r="N171" i="158"/>
  <c r="M171" i="158"/>
  <c r="L171" i="158"/>
  <c r="H171" i="158"/>
  <c r="A171" i="158"/>
  <c r="N170" i="158"/>
  <c r="M170" i="158"/>
  <c r="L170" i="158"/>
  <c r="H170" i="158"/>
  <c r="A170" i="158"/>
  <c r="N169" i="158"/>
  <c r="M169" i="158"/>
  <c r="L169" i="158"/>
  <c r="H169" i="158"/>
  <c r="A169" i="158"/>
  <c r="N168" i="158"/>
  <c r="M168" i="158"/>
  <c r="L168" i="158"/>
  <c r="H168" i="158"/>
  <c r="A168" i="158"/>
  <c r="N167" i="158"/>
  <c r="M167" i="158"/>
  <c r="L167" i="158"/>
  <c r="H167" i="158"/>
  <c r="A167" i="158"/>
  <c r="N166" i="158"/>
  <c r="M166" i="158"/>
  <c r="L166" i="158"/>
  <c r="H166" i="158"/>
  <c r="A166" i="158"/>
  <c r="N165" i="158"/>
  <c r="M165" i="158"/>
  <c r="L165" i="158"/>
  <c r="H165" i="158"/>
  <c r="A165" i="158"/>
  <c r="N164" i="158"/>
  <c r="M164" i="158"/>
  <c r="L164" i="158"/>
  <c r="H164" i="158"/>
  <c r="A164" i="158"/>
  <c r="N163" i="158"/>
  <c r="M163" i="158"/>
  <c r="L163" i="158"/>
  <c r="H163" i="158"/>
  <c r="A163" i="158"/>
  <c r="N162" i="158"/>
  <c r="M162" i="158"/>
  <c r="L162" i="158"/>
  <c r="H162" i="158"/>
  <c r="A162" i="158"/>
  <c r="N161" i="158"/>
  <c r="M161" i="158"/>
  <c r="L161" i="158"/>
  <c r="H161" i="158"/>
  <c r="A161" i="158"/>
  <c r="N160" i="158"/>
  <c r="M160" i="158"/>
  <c r="L160" i="158"/>
  <c r="H160" i="158"/>
  <c r="A160" i="158"/>
  <c r="N159" i="158"/>
  <c r="M159" i="158"/>
  <c r="L159" i="158"/>
  <c r="H159" i="158"/>
  <c r="A159" i="158"/>
  <c r="N158" i="158"/>
  <c r="M158" i="158"/>
  <c r="L158" i="158"/>
  <c r="H158" i="158"/>
  <c r="A158" i="158"/>
  <c r="N157" i="158"/>
  <c r="M157" i="158"/>
  <c r="L157" i="158"/>
  <c r="H157" i="158"/>
  <c r="A157" i="158"/>
  <c r="N156" i="158"/>
  <c r="M156" i="158"/>
  <c r="L156" i="158"/>
  <c r="H156" i="158"/>
  <c r="A156" i="158"/>
  <c r="N155" i="158"/>
  <c r="M155" i="158"/>
  <c r="L155" i="158"/>
  <c r="H155" i="158"/>
  <c r="A155" i="158"/>
  <c r="N154" i="158"/>
  <c r="M154" i="158"/>
  <c r="L154" i="158"/>
  <c r="H154" i="158"/>
  <c r="A154" i="158"/>
  <c r="N153" i="158"/>
  <c r="M153" i="158"/>
  <c r="L153" i="158"/>
  <c r="H153" i="158"/>
  <c r="A153" i="158"/>
  <c r="N152" i="158"/>
  <c r="M152" i="158"/>
  <c r="L152" i="158"/>
  <c r="H152" i="158"/>
  <c r="A152" i="158"/>
  <c r="N151" i="158"/>
  <c r="M151" i="158"/>
  <c r="L151" i="158"/>
  <c r="H151" i="158"/>
  <c r="A151" i="158"/>
  <c r="N150" i="158"/>
  <c r="M150" i="158"/>
  <c r="L150" i="158"/>
  <c r="H150" i="158"/>
  <c r="A150" i="158"/>
  <c r="N149" i="158"/>
  <c r="M149" i="158"/>
  <c r="L149" i="158"/>
  <c r="H149" i="158"/>
  <c r="A149" i="158"/>
  <c r="N148" i="158"/>
  <c r="M148" i="158"/>
  <c r="L148" i="158"/>
  <c r="H148" i="158"/>
  <c r="A148" i="158"/>
  <c r="N147" i="158"/>
  <c r="M147" i="158"/>
  <c r="L147" i="158"/>
  <c r="H147" i="158"/>
  <c r="A147" i="158"/>
  <c r="N146" i="158"/>
  <c r="M146" i="158"/>
  <c r="L146" i="158"/>
  <c r="H146" i="158"/>
  <c r="A146" i="158"/>
  <c r="N145" i="158"/>
  <c r="M145" i="158"/>
  <c r="L145" i="158"/>
  <c r="H145" i="158"/>
  <c r="A145" i="158"/>
  <c r="N144" i="158"/>
  <c r="M144" i="158"/>
  <c r="L144" i="158"/>
  <c r="H144" i="158"/>
  <c r="A144" i="158"/>
  <c r="N143" i="158"/>
  <c r="M143" i="158"/>
  <c r="L143" i="158"/>
  <c r="H143" i="158"/>
  <c r="A143" i="158"/>
  <c r="N142" i="158"/>
  <c r="M142" i="158"/>
  <c r="L142" i="158"/>
  <c r="H142" i="158"/>
  <c r="A142" i="158"/>
  <c r="N141" i="158"/>
  <c r="M141" i="158"/>
  <c r="L141" i="158"/>
  <c r="H141" i="158"/>
  <c r="A141" i="158"/>
  <c r="N140" i="158"/>
  <c r="M140" i="158"/>
  <c r="L140" i="158"/>
  <c r="H140" i="158"/>
  <c r="A140" i="158"/>
  <c r="N139" i="158"/>
  <c r="M139" i="158"/>
  <c r="L139" i="158"/>
  <c r="H139" i="158"/>
  <c r="A139" i="158"/>
  <c r="N138" i="158"/>
  <c r="M138" i="158"/>
  <c r="L138" i="158"/>
  <c r="H138" i="158"/>
  <c r="A138" i="158"/>
  <c r="N137" i="158"/>
  <c r="M137" i="158"/>
  <c r="L137" i="158"/>
  <c r="H137" i="158"/>
  <c r="A137" i="158"/>
  <c r="N136" i="158"/>
  <c r="M136" i="158"/>
  <c r="L136" i="158"/>
  <c r="H136" i="158"/>
  <c r="A136" i="158"/>
  <c r="N135" i="158"/>
  <c r="M135" i="158"/>
  <c r="L135" i="158"/>
  <c r="H135" i="158"/>
  <c r="A135" i="158"/>
  <c r="N134" i="158"/>
  <c r="M134" i="158"/>
  <c r="L134" i="158"/>
  <c r="H134" i="158"/>
  <c r="A134" i="158"/>
  <c r="N133" i="158"/>
  <c r="M133" i="158"/>
  <c r="L133" i="158"/>
  <c r="H133" i="158"/>
  <c r="A133" i="158"/>
  <c r="N132" i="158"/>
  <c r="M132" i="158"/>
  <c r="L132" i="158"/>
  <c r="H132" i="158"/>
  <c r="A132" i="158"/>
  <c r="N131" i="158"/>
  <c r="M131" i="158"/>
  <c r="L131" i="158"/>
  <c r="H131" i="158"/>
  <c r="A131" i="158"/>
  <c r="N130" i="158"/>
  <c r="M130" i="158"/>
  <c r="L130" i="158"/>
  <c r="H130" i="158"/>
  <c r="A130" i="158"/>
  <c r="N129" i="158"/>
  <c r="M129" i="158"/>
  <c r="L129" i="158"/>
  <c r="H129" i="158"/>
  <c r="A129" i="158"/>
  <c r="N128" i="158"/>
  <c r="M128" i="158"/>
  <c r="L128" i="158"/>
  <c r="H128" i="158"/>
  <c r="A128" i="158"/>
  <c r="N127" i="158"/>
  <c r="M127" i="158"/>
  <c r="L127" i="158"/>
  <c r="H127" i="158"/>
  <c r="A127" i="158"/>
  <c r="N126" i="158"/>
  <c r="M126" i="158"/>
  <c r="L126" i="158"/>
  <c r="H126" i="158"/>
  <c r="A126" i="158"/>
  <c r="N125" i="158"/>
  <c r="M125" i="158"/>
  <c r="L125" i="158"/>
  <c r="H125" i="158"/>
  <c r="A125" i="158"/>
  <c r="N124" i="158"/>
  <c r="M124" i="158"/>
  <c r="L124" i="158"/>
  <c r="H124" i="158"/>
  <c r="A124" i="158"/>
  <c r="N123" i="158"/>
  <c r="M123" i="158"/>
  <c r="L123" i="158"/>
  <c r="H123" i="158"/>
  <c r="A123" i="158"/>
  <c r="N122" i="158"/>
  <c r="M122" i="158"/>
  <c r="L122" i="158"/>
  <c r="H122" i="158"/>
  <c r="A122" i="158"/>
  <c r="N121" i="158"/>
  <c r="M121" i="158"/>
  <c r="L121" i="158"/>
  <c r="H121" i="158"/>
  <c r="A121" i="158"/>
  <c r="N120" i="158"/>
  <c r="M120" i="158"/>
  <c r="L120" i="158"/>
  <c r="H120" i="158"/>
  <c r="A120" i="158"/>
  <c r="N119" i="158"/>
  <c r="M119" i="158"/>
  <c r="L119" i="158"/>
  <c r="H119" i="158"/>
  <c r="A119" i="158"/>
  <c r="N118" i="158"/>
  <c r="M118" i="158"/>
  <c r="L118" i="158"/>
  <c r="H118" i="158"/>
  <c r="A118" i="158"/>
  <c r="N117" i="158"/>
  <c r="M117" i="158"/>
  <c r="L117" i="158"/>
  <c r="H117" i="158"/>
  <c r="A117" i="158"/>
  <c r="N116" i="158"/>
  <c r="M116" i="158"/>
  <c r="L116" i="158"/>
  <c r="H116" i="158"/>
  <c r="A116" i="158"/>
  <c r="N115" i="158"/>
  <c r="M115" i="158"/>
  <c r="L115" i="158"/>
  <c r="H115" i="158"/>
  <c r="A115" i="158"/>
  <c r="N114" i="158"/>
  <c r="M114" i="158"/>
  <c r="L114" i="158"/>
  <c r="H114" i="158"/>
  <c r="A114" i="158"/>
  <c r="N113" i="158"/>
  <c r="M113" i="158"/>
  <c r="L113" i="158"/>
  <c r="H113" i="158"/>
  <c r="A113" i="158"/>
  <c r="N112" i="158"/>
  <c r="M112" i="158"/>
  <c r="L112" i="158"/>
  <c r="H112" i="158"/>
  <c r="A112" i="158"/>
  <c r="N111" i="158"/>
  <c r="M111" i="158"/>
  <c r="L111" i="158"/>
  <c r="H111" i="158"/>
  <c r="A111" i="158"/>
  <c r="N110" i="158"/>
  <c r="M110" i="158"/>
  <c r="L110" i="158"/>
  <c r="H110" i="158"/>
  <c r="A110" i="158"/>
  <c r="N109" i="158"/>
  <c r="M109" i="158"/>
  <c r="L109" i="158"/>
  <c r="H109" i="158"/>
  <c r="A109" i="158"/>
  <c r="N108" i="158"/>
  <c r="M108" i="158"/>
  <c r="L108" i="158"/>
  <c r="H108" i="158"/>
  <c r="A108" i="158"/>
  <c r="N107" i="158"/>
  <c r="M107" i="158"/>
  <c r="L107" i="158"/>
  <c r="H107" i="158"/>
  <c r="A107" i="158"/>
  <c r="N106" i="158"/>
  <c r="M106" i="158"/>
  <c r="L106" i="158"/>
  <c r="H106" i="158"/>
  <c r="A106" i="158"/>
  <c r="N105" i="158"/>
  <c r="M105" i="158"/>
  <c r="L105" i="158"/>
  <c r="H105" i="158"/>
  <c r="A105" i="158"/>
  <c r="N104" i="158"/>
  <c r="M104" i="158"/>
  <c r="L104" i="158"/>
  <c r="H104" i="158"/>
  <c r="A104" i="158"/>
  <c r="N103" i="158"/>
  <c r="M103" i="158"/>
  <c r="L103" i="158"/>
  <c r="H103" i="158"/>
  <c r="A103" i="158"/>
  <c r="N102" i="158"/>
  <c r="M102" i="158"/>
  <c r="L102" i="158"/>
  <c r="H102" i="158"/>
  <c r="A102" i="158"/>
  <c r="N101" i="158"/>
  <c r="M101" i="158"/>
  <c r="L101" i="158"/>
  <c r="H101" i="158"/>
  <c r="A101" i="158"/>
  <c r="N100" i="158"/>
  <c r="M100" i="158"/>
  <c r="L100" i="158"/>
  <c r="H100" i="158"/>
  <c r="A100" i="158"/>
  <c r="N99" i="158"/>
  <c r="M99" i="158"/>
  <c r="L99" i="158"/>
  <c r="H99" i="158"/>
  <c r="A99" i="158"/>
  <c r="N98" i="158"/>
  <c r="M98" i="158"/>
  <c r="L98" i="158"/>
  <c r="H98" i="158"/>
  <c r="A98" i="158"/>
  <c r="N97" i="158"/>
  <c r="M97" i="158"/>
  <c r="L97" i="158"/>
  <c r="H97" i="158"/>
  <c r="A97" i="158"/>
  <c r="N96" i="158"/>
  <c r="M96" i="158"/>
  <c r="L96" i="158"/>
  <c r="H96" i="158"/>
  <c r="A96" i="158"/>
  <c r="N95" i="158"/>
  <c r="M95" i="158"/>
  <c r="L95" i="158"/>
  <c r="H95" i="158"/>
  <c r="A95" i="158"/>
  <c r="N94" i="158"/>
  <c r="M94" i="158"/>
  <c r="L94" i="158"/>
  <c r="H94" i="158"/>
  <c r="A94" i="158"/>
  <c r="N93" i="158"/>
  <c r="M93" i="158"/>
  <c r="L93" i="158"/>
  <c r="H93" i="158"/>
  <c r="A93" i="158"/>
  <c r="N92" i="158"/>
  <c r="M92" i="158"/>
  <c r="L92" i="158"/>
  <c r="H92" i="158"/>
  <c r="A92" i="158"/>
  <c r="N91" i="158"/>
  <c r="M91" i="158"/>
  <c r="L91" i="158"/>
  <c r="H91" i="158"/>
  <c r="A91" i="158"/>
  <c r="N90" i="158"/>
  <c r="M90" i="158"/>
  <c r="L90" i="158"/>
  <c r="H90" i="158"/>
  <c r="A90" i="158"/>
  <c r="N89" i="158"/>
  <c r="M89" i="158"/>
  <c r="L89" i="158"/>
  <c r="H89" i="158"/>
  <c r="A89" i="158"/>
  <c r="N88" i="158"/>
  <c r="M88" i="158"/>
  <c r="L88" i="158"/>
  <c r="H88" i="158"/>
  <c r="A88" i="158"/>
  <c r="N87" i="158"/>
  <c r="M87" i="158"/>
  <c r="L87" i="158"/>
  <c r="H87" i="158"/>
  <c r="A87" i="158"/>
  <c r="N86" i="158"/>
  <c r="M86" i="158"/>
  <c r="L86" i="158"/>
  <c r="H86" i="158"/>
  <c r="A86" i="158"/>
  <c r="N85" i="158"/>
  <c r="M85" i="158"/>
  <c r="L85" i="158"/>
  <c r="H85" i="158"/>
  <c r="A85" i="158"/>
  <c r="N84" i="158"/>
  <c r="M84" i="158"/>
  <c r="L84" i="158"/>
  <c r="H84" i="158"/>
  <c r="A84" i="158"/>
  <c r="N83" i="158"/>
  <c r="M83" i="158"/>
  <c r="L83" i="158"/>
  <c r="H83" i="158"/>
  <c r="A83" i="158"/>
  <c r="N82" i="158"/>
  <c r="M82" i="158"/>
  <c r="L82" i="158"/>
  <c r="H82" i="158"/>
  <c r="A82" i="158"/>
  <c r="N81" i="158"/>
  <c r="M81" i="158"/>
  <c r="L81" i="158"/>
  <c r="H81" i="158"/>
  <c r="A81" i="158"/>
  <c r="N80" i="158"/>
  <c r="M80" i="158"/>
  <c r="L80" i="158"/>
  <c r="H80" i="158"/>
  <c r="A80" i="158"/>
  <c r="N79" i="158"/>
  <c r="M79" i="158"/>
  <c r="L79" i="158"/>
  <c r="H79" i="158"/>
  <c r="A79" i="158"/>
  <c r="N78" i="158"/>
  <c r="M78" i="158"/>
  <c r="L78" i="158"/>
  <c r="H78" i="158"/>
  <c r="A78" i="158"/>
  <c r="N77" i="158"/>
  <c r="M77" i="158"/>
  <c r="L77" i="158"/>
  <c r="H77" i="158"/>
  <c r="A77" i="158"/>
  <c r="N76" i="158"/>
  <c r="M76" i="158"/>
  <c r="L76" i="158"/>
  <c r="H76" i="158"/>
  <c r="A76" i="158"/>
  <c r="N75" i="158"/>
  <c r="M75" i="158"/>
  <c r="L75" i="158"/>
  <c r="H75" i="158"/>
  <c r="A75" i="158"/>
  <c r="N74" i="158"/>
  <c r="M74" i="158"/>
  <c r="L74" i="158"/>
  <c r="H74" i="158"/>
  <c r="A74" i="158"/>
  <c r="N73" i="158"/>
  <c r="M73" i="158"/>
  <c r="L73" i="158"/>
  <c r="H73" i="158"/>
  <c r="A73" i="158"/>
  <c r="N72" i="158"/>
  <c r="M72" i="158"/>
  <c r="L72" i="158"/>
  <c r="H72" i="158"/>
  <c r="A72" i="158"/>
  <c r="N71" i="158"/>
  <c r="M71" i="158"/>
  <c r="L71" i="158"/>
  <c r="H71" i="158"/>
  <c r="A71" i="158"/>
  <c r="N70" i="158"/>
  <c r="M70" i="158"/>
  <c r="L70" i="158"/>
  <c r="H70" i="158"/>
  <c r="A70" i="158"/>
  <c r="N69" i="158"/>
  <c r="M69" i="158"/>
  <c r="L69" i="158"/>
  <c r="H69" i="158"/>
  <c r="A69" i="158"/>
  <c r="N68" i="158"/>
  <c r="M68" i="158"/>
  <c r="L68" i="158"/>
  <c r="H68" i="158"/>
  <c r="A68" i="158"/>
  <c r="N67" i="158"/>
  <c r="M67" i="158"/>
  <c r="L67" i="158"/>
  <c r="H67" i="158"/>
  <c r="A67" i="158"/>
  <c r="N66" i="158"/>
  <c r="M66" i="158"/>
  <c r="L66" i="158"/>
  <c r="H66" i="158"/>
  <c r="A66" i="158"/>
  <c r="N65" i="158"/>
  <c r="M65" i="158"/>
  <c r="L65" i="158"/>
  <c r="H65" i="158"/>
  <c r="A65" i="158"/>
  <c r="N64" i="158"/>
  <c r="M64" i="158"/>
  <c r="L64" i="158"/>
  <c r="H64" i="158"/>
  <c r="A64" i="158"/>
  <c r="N63" i="158"/>
  <c r="M63" i="158"/>
  <c r="L63" i="158"/>
  <c r="H63" i="158"/>
  <c r="A63" i="158"/>
  <c r="N62" i="158"/>
  <c r="M62" i="158"/>
  <c r="L62" i="158"/>
  <c r="H62" i="158"/>
  <c r="A62" i="158"/>
  <c r="N61" i="158"/>
  <c r="M61" i="158"/>
  <c r="L61" i="158"/>
  <c r="H61" i="158"/>
  <c r="A61" i="158"/>
  <c r="N60" i="158"/>
  <c r="M60" i="158"/>
  <c r="L60" i="158"/>
  <c r="H60" i="158"/>
  <c r="A60" i="158"/>
  <c r="N59" i="158"/>
  <c r="M59" i="158"/>
  <c r="L59" i="158"/>
  <c r="H59" i="158"/>
  <c r="A59" i="158"/>
  <c r="N58" i="158"/>
  <c r="M58" i="158"/>
  <c r="L58" i="158"/>
  <c r="H58" i="158"/>
  <c r="A58" i="158"/>
  <c r="N57" i="158"/>
  <c r="M57" i="158"/>
  <c r="L57" i="158"/>
  <c r="H57" i="158"/>
  <c r="A57" i="158"/>
  <c r="N56" i="158"/>
  <c r="M56" i="158"/>
  <c r="L56" i="158"/>
  <c r="H56" i="158"/>
  <c r="A56" i="158"/>
  <c r="N55" i="158"/>
  <c r="M55" i="158"/>
  <c r="L55" i="158"/>
  <c r="H55" i="158"/>
  <c r="A55" i="158"/>
  <c r="N54" i="158"/>
  <c r="M54" i="158"/>
  <c r="L54" i="158"/>
  <c r="H54" i="158"/>
  <c r="A54" i="158"/>
  <c r="N53" i="158"/>
  <c r="M53" i="158"/>
  <c r="L53" i="158"/>
  <c r="H53" i="158"/>
  <c r="A53" i="158"/>
  <c r="N52" i="158"/>
  <c r="M52" i="158"/>
  <c r="L52" i="158"/>
  <c r="H52" i="158"/>
  <c r="A52" i="158"/>
  <c r="N51" i="158"/>
  <c r="M51" i="158"/>
  <c r="L51" i="158"/>
  <c r="H51" i="158"/>
  <c r="A51" i="158"/>
  <c r="N50" i="158"/>
  <c r="M50" i="158"/>
  <c r="L50" i="158"/>
  <c r="H50" i="158"/>
  <c r="A50" i="158"/>
  <c r="N49" i="158"/>
  <c r="M49" i="158"/>
  <c r="L49" i="158"/>
  <c r="H49" i="158"/>
  <c r="A49" i="158"/>
  <c r="N48" i="158"/>
  <c r="M48" i="158"/>
  <c r="L48" i="158"/>
  <c r="H48" i="158"/>
  <c r="A48" i="158"/>
  <c r="N47" i="158"/>
  <c r="M47" i="158"/>
  <c r="L47" i="158"/>
  <c r="H47" i="158"/>
  <c r="A47" i="158"/>
  <c r="N46" i="158"/>
  <c r="M46" i="158"/>
  <c r="L46" i="158"/>
  <c r="H46" i="158"/>
  <c r="A46" i="158"/>
  <c r="N45" i="158"/>
  <c r="M45" i="158"/>
  <c r="L45" i="158"/>
  <c r="H45" i="158"/>
  <c r="A45" i="158"/>
  <c r="N44" i="158"/>
  <c r="M44" i="158"/>
  <c r="L44" i="158"/>
  <c r="H44" i="158"/>
  <c r="A44" i="158"/>
  <c r="N43" i="158"/>
  <c r="M43" i="158"/>
  <c r="L43" i="158"/>
  <c r="H43" i="158"/>
  <c r="A43" i="158"/>
  <c r="N42" i="158"/>
  <c r="M42" i="158"/>
  <c r="L42" i="158"/>
  <c r="H42" i="158"/>
  <c r="A42" i="158"/>
  <c r="N41" i="158"/>
  <c r="M41" i="158"/>
  <c r="L41" i="158"/>
  <c r="H41" i="158"/>
  <c r="A41" i="158"/>
  <c r="N40" i="158"/>
  <c r="M40" i="158"/>
  <c r="L40" i="158"/>
  <c r="H40" i="158"/>
  <c r="A40" i="158"/>
  <c r="N39" i="158"/>
  <c r="M39" i="158"/>
  <c r="L39" i="158"/>
  <c r="H39" i="158"/>
  <c r="A39" i="158"/>
  <c r="N38" i="158"/>
  <c r="M38" i="158"/>
  <c r="L38" i="158"/>
  <c r="H38" i="158"/>
  <c r="A38" i="158"/>
  <c r="N37" i="158"/>
  <c r="M37" i="158"/>
  <c r="L37" i="158"/>
  <c r="H37" i="158"/>
  <c r="A37" i="158"/>
  <c r="N36" i="158"/>
  <c r="M36" i="158"/>
  <c r="L36" i="158"/>
  <c r="H36" i="158"/>
  <c r="A36" i="158"/>
  <c r="N35" i="158"/>
  <c r="M35" i="158"/>
  <c r="L35" i="158"/>
  <c r="H35" i="158"/>
  <c r="A35" i="158"/>
  <c r="N34" i="158"/>
  <c r="M34" i="158"/>
  <c r="L34" i="158"/>
  <c r="H34" i="158"/>
  <c r="A34" i="158"/>
  <c r="N33" i="158"/>
  <c r="M33" i="158"/>
  <c r="L33" i="158"/>
  <c r="H33" i="158"/>
  <c r="A33" i="158"/>
  <c r="N32" i="158"/>
  <c r="M32" i="158"/>
  <c r="L32" i="158"/>
  <c r="H32" i="158"/>
  <c r="A32" i="158"/>
  <c r="N31" i="158"/>
  <c r="M31" i="158"/>
  <c r="L31" i="158"/>
  <c r="H31" i="158"/>
  <c r="A31" i="158"/>
  <c r="N30" i="158"/>
  <c r="M30" i="158"/>
  <c r="L30" i="158"/>
  <c r="H30" i="158"/>
  <c r="A30" i="158"/>
  <c r="N29" i="158"/>
  <c r="M29" i="158"/>
  <c r="L29" i="158"/>
  <c r="H29" i="158"/>
  <c r="A29" i="158"/>
  <c r="N28" i="158"/>
  <c r="M28" i="158"/>
  <c r="L28" i="158"/>
  <c r="H28" i="158"/>
  <c r="A28" i="158"/>
  <c r="N27" i="158"/>
  <c r="M27" i="158"/>
  <c r="L27" i="158"/>
  <c r="H27" i="158"/>
  <c r="A27" i="158"/>
  <c r="N26" i="158"/>
  <c r="M26" i="158"/>
  <c r="L26" i="158"/>
  <c r="H26" i="158"/>
  <c r="A26" i="158"/>
  <c r="N25" i="158"/>
  <c r="M25" i="158"/>
  <c r="L25" i="158"/>
  <c r="H25" i="158"/>
  <c r="A25" i="158"/>
  <c r="N24" i="158"/>
  <c r="M24" i="158"/>
  <c r="L24" i="158"/>
  <c r="H24" i="158"/>
  <c r="A24" i="158"/>
  <c r="N23" i="158"/>
  <c r="M23" i="158"/>
  <c r="L23" i="158"/>
  <c r="H23" i="158"/>
  <c r="A23" i="158"/>
  <c r="N22" i="158"/>
  <c r="M22" i="158"/>
  <c r="L22" i="158"/>
  <c r="H22" i="158"/>
  <c r="A22" i="158"/>
  <c r="N21" i="158"/>
  <c r="M21" i="158"/>
  <c r="L21" i="158"/>
  <c r="H21" i="158"/>
  <c r="A21" i="158"/>
  <c r="N20" i="158"/>
  <c r="M20" i="158"/>
  <c r="L20" i="158"/>
  <c r="H20" i="158"/>
  <c r="A20" i="158"/>
  <c r="N19" i="158"/>
  <c r="M19" i="158"/>
  <c r="L19" i="158"/>
  <c r="H19" i="158"/>
  <c r="A19" i="158"/>
  <c r="N18" i="158"/>
  <c r="M18" i="158"/>
  <c r="L18" i="158"/>
  <c r="H18" i="158"/>
  <c r="A18" i="158"/>
  <c r="N17" i="158"/>
  <c r="M17" i="158"/>
  <c r="L17" i="158"/>
  <c r="H17" i="158"/>
  <c r="A17" i="158"/>
  <c r="N16" i="158"/>
  <c r="M16" i="158"/>
  <c r="L16" i="158"/>
  <c r="H16" i="158"/>
  <c r="A16" i="158"/>
  <c r="N15" i="158"/>
  <c r="M15" i="158"/>
  <c r="L15" i="158"/>
  <c r="H15" i="158"/>
  <c r="A15" i="158"/>
  <c r="N14" i="158"/>
  <c r="M14" i="158"/>
  <c r="L14" i="158"/>
  <c r="H14" i="158"/>
  <c r="A14" i="158"/>
  <c r="N13" i="158"/>
  <c r="M13" i="158"/>
  <c r="L13" i="158"/>
  <c r="H13" i="158"/>
  <c r="A13" i="158"/>
  <c r="N12" i="158"/>
  <c r="M12" i="158"/>
  <c r="L12" i="158"/>
  <c r="H12" i="158"/>
  <c r="A12" i="158"/>
  <c r="N11" i="158"/>
  <c r="M11" i="158"/>
  <c r="L11" i="158"/>
  <c r="H11" i="158"/>
  <c r="A11" i="158"/>
  <c r="N10" i="158"/>
  <c r="M10" i="158"/>
  <c r="L10" i="158"/>
  <c r="H10" i="158"/>
  <c r="A10" i="158"/>
  <c r="N9" i="158"/>
  <c r="M9" i="158"/>
  <c r="L9" i="158"/>
  <c r="H9" i="158"/>
  <c r="A9" i="158"/>
  <c r="N8" i="158"/>
  <c r="M8" i="158"/>
  <c r="L8" i="158"/>
  <c r="H8" i="158"/>
  <c r="A8" i="158"/>
  <c r="N7" i="158"/>
  <c r="M7" i="158"/>
  <c r="L7" i="158"/>
  <c r="H7" i="158"/>
  <c r="A7" i="158"/>
  <c r="N6" i="158"/>
  <c r="M6" i="158"/>
  <c r="L6" i="158"/>
  <c r="H6" i="158"/>
  <c r="A6" i="158"/>
  <c r="N5" i="158"/>
  <c r="M5" i="158"/>
  <c r="L5" i="158"/>
  <c r="H5" i="158"/>
  <c r="A5" i="158"/>
  <c r="N4" i="158"/>
  <c r="M4" i="158"/>
  <c r="L4" i="158"/>
  <c r="H4" i="158"/>
  <c r="A4" i="158"/>
  <c r="N3" i="158"/>
  <c r="M3" i="158"/>
  <c r="L3" i="158"/>
  <c r="H3" i="158"/>
  <c r="A3" i="158"/>
  <c r="N2" i="158"/>
  <c r="M2" i="158"/>
  <c r="L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<sst xmlns="http://schemas.openxmlformats.org/spreadsheetml/2006/main" count="741" uniqueCount="266">
  <si>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</si>
  <si>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</si>
  <si>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</si>
  <si>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</si>
  <si>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</si>
  <si>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</si>
  <si>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</si>
  <si>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</si>
  <si>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</si>
  <si>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</si>
  <si>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</si>
  <si>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</si>
  <si>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</si>
  <si>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</si>
  <si>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</si>
  <si>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</si>
  <si>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</si>
  <si>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</si>
  <si>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</si>
  <si>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</si>
  <si>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</si>
  <si>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</si>
  <si>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</si>
  <si>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</si>
  <si>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</si>
  <si>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</si>
  <si>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</si>
  <si>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</si>
  <si>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</si>
  <si>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</si>
  <si>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</si>
  <si>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</si>
  <si>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</si>
  <si>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</si>
  <si>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</si>
  <si>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</si>
  <si>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</si>
  <si>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</si>
  <si>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</si>
  <si>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</si>
  <si>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</si>
  <si>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</si>
  <si>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</si>
  <si>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</si>
  <si>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</si>
  <si>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</si>
  <si>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</si>
  <si>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</si>
  <si>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</si>
  <si>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</si>
  <si>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</si>
  <si>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</si>
  <si>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</si>
  <si>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</si>
  <si>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</si>
  <si>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</si>
  <si>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</si>
  <si>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</si>
  <si>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</si>
  <si>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</si>
  <si>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</si>
  <si>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</si>
  <si>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</si>
  <si>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</si>
  <si>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</si>
  <si>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</si>
  <si>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</si>
  <si>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</si>
  <si>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</si>
  <si>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</si>
  <si>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</si>
  <si>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</si>
  <si>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</si>
  <si>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</si>
  <si>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</si>
  <si>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</si>
  <si>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</si>
  <si>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</si>
  <si>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</si>
  <si>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</si>
  <si>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</si>
  <si>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</si>
  <si>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</si>
  <si>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</si>
  <si>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</si>
  <si>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</si>
  <si>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</si>
  <si>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</si>
  <si>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</si>
  <si>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</si>
  <si>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</si>
  <si>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</si>
  <si>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</si>
  <si>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</si>
  <si>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</si>
  <si>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</si>
  <si>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</si>
  <si>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</si>
  <si>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</si>
  <si>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</si>
  <si>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</si>
  <si>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</si>
  <si>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</si>
  <si>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</si>
  <si>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</si>
  <si>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</si>
  <si>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</si>
  <si>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</si>
  <si>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</si>
  <si>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</si>
  <si>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</si>
  <si>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</si>
  <si>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</si>
  <si>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</si>
  <si>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</si>
  <si>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</si>
  <si>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</si>
  <si>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</si>
  <si>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</si>
  <si>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</si>
  <si>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</si>
  <si>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</si>
  <si>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</si>
  <si>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</si>
  <si>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</si>
  <si>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</si>
  <si>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</si>
  <si>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</si>
  <si>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</si>
  <si>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</si>
  <si>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</si>
  <si>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</si>
  <si>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</si>
  <si>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</si>
  <si>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</si>
  <si>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</si>
  <si>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</si>
  <si>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</si>
  <si>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</si>
  <si>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</si>
  <si>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</si>
  <si>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</si>
  <si>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</si>
  <si>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</si>
  <si>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</si>
  <si>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</si>
  <si>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</si>
  <si>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</si>
  <si>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</si>
  <si>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</si>
  <si>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</si>
  <si>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</si>
  <si>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</si>
  <si>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</si>
  <si>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</si>
  <si>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</si>
  <si>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</si>
  <si>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</si>
  <si>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</si>
  <si>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</si>
  <si>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</si>
  <si>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</si>
  <si>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</si>
  <si>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</si>
  <si>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</si>
  <si>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</si>
  <si>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</si>
  <si>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</si>
  <si>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</si>
  <si>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</si>
  <si>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</si>
  <si>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</si>
  <si>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</si>
  <si>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</si>
  <si>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</si>
  <si>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</si>
  <si>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</si>
  <si>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</si>
  <si>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</si>
  <si>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</si>
  <si>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</si>
  <si>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</si>
  <si>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</si>
  <si>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</si>
  <si>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</si>
  <si>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</si>
  <si>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</si>
  <si>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</si>
  <si>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</si>
  <si>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</si>
  <si>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</si>
  <si>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</si>
  <si>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</si>
  <si>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</si>
  <si>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</si>
  <si>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</si>
  <si>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</si>
  <si>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</si>
  <si>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</si>
  <si>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</si>
  <si>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</si>
  <si>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</si>
  <si>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</si>
  <si>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</si>
  <si>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</si>
  <si>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</si>
  <si>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</si>
  <si>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</si>
  <si>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</si>
  <si>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</si>
  <si>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</si>
  <si>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</si>
  <si>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</si>
  <si>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</si>
  <si>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</si>
  <si>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</si>
  <si>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</si>
  <si>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</si>
  <si>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</si>
  <si>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</si>
  <si>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</si>
  <si>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</si>
  <si>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</si>
  <si>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</si>
  <si>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</si>
  <si>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</si>
  <si>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</si>
  <si>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</si>
  <si>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</si>
  <si>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</si>
  <si>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</si>
  <si>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</si>
  <si>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</si>
  <si>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</si>
  <si>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</si>
  <si>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</si>
  <si>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</si>
  <si>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</si>
  <si>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</si>
  <si>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skip</t>
    <phoneticPr fontId="21"/>
  </si>
  <si>
    <t>通常確率</t>
    <phoneticPr fontId="21"/>
  </si>
  <si>
    <t>通常確率</t>
    <phoneticPr fontId="21"/>
  </si>
  <si>
    <t>tables_363105</t>
    <phoneticPr fontId="21"/>
  </si>
  <si>
    <t>tables_363100</t>
    <phoneticPr fontId="21"/>
  </si>
  <si>
    <t>old</t>
    <phoneticPr fontId="21"/>
  </si>
  <si>
    <t>.tmp</t>
    <phoneticPr fontId="54"/>
  </si>
  <si>
    <t>PremiumSSw</t>
    <phoneticPr fontId="21"/>
  </si>
  <si>
    <t>tables_472010</t>
    <phoneticPr fontId="21"/>
  </si>
  <si>
    <t>tables_472011</t>
    <phoneticPr fontId="21"/>
  </si>
  <si>
    <t>tables_472012</t>
  </si>
  <si>
    <t>tables_472013</t>
  </si>
  <si>
    <t>PremiumW3color</t>
    <phoneticPr fontId="21"/>
  </si>
  <si>
    <t>PremiumW4color</t>
    <phoneticPr fontId="21"/>
  </si>
  <si>
    <t>Premium3color</t>
    <phoneticPr fontId="21"/>
  </si>
  <si>
    <t>Premium4color</t>
    <phoneticPr fontId="21"/>
  </si>
  <si>
    <t>Premium5color</t>
    <phoneticPr fontId="21"/>
  </si>
  <si>
    <t>Premium4R3lesscolor</t>
    <phoneticPr fontId="21"/>
  </si>
  <si>
    <t>Premium5R3lesscolor</t>
    <phoneticPr fontId="21"/>
  </si>
  <si>
    <t>Premium3R6releasecolor</t>
    <phoneticPr fontId="21"/>
  </si>
  <si>
    <t>Premium4R6releasecolor</t>
    <phoneticPr fontId="21"/>
  </si>
  <si>
    <t>Premium5R6releasecolor</t>
    <phoneticPr fontId="21"/>
  </si>
  <si>
    <t>PremiumSS4color</t>
    <phoneticPr fontId="21"/>
  </si>
  <si>
    <t>PremiumSS5color</t>
    <phoneticPr fontId="21"/>
  </si>
  <si>
    <t>PremiumSS5R5onlycolor</t>
    <phoneticPr fontId="21"/>
  </si>
  <si>
    <t>PremiumSSS4R3lesscolor</t>
    <phoneticPr fontId="21"/>
  </si>
  <si>
    <t>PremiumSSS5R3lesscolor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</si>
</sst>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B5" sqref="B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244</v>
      </c>
      <c r="B2" s="61" t="s">
        <v>110</v>
      </c>
      <c r="C2" s="50" t="str">
        <f t="shared" ref="C2" si="0">RIGHT(F2,6)</f>
        <v>472010</v>
      </c>
      <c r="D2" s="19" t="s">
        <v>45</v>
      </c>
      <c r="E2" s="17" t="str">
        <f t="shared" ref="E2" si="1">B2&amp;C2&amp;D2</f>
        <v>gacha_select_tables_472010.tmp</v>
      </c>
      <c r="F2" s="97" t="s">
        <v>247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244</v>
      </c>
      <c r="B3" s="61" t="s">
        <v>110</v>
      </c>
      <c r="C3" s="50" t="str">
        <f t="shared" ref="C3:C7" si="2">RIGHT(F3,6)</f>
        <v>472011</v>
      </c>
      <c r="D3" s="19" t="s">
        <v>45</v>
      </c>
      <c r="E3" s="17" t="str">
        <f t="shared" ref="E3:E10" si="3">B3&amp;C3&amp;D3</f>
        <v>gacha_select_tables_472011.tmp</v>
      </c>
      <c r="F3" s="97" t="s">
        <v>248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244</v>
      </c>
      <c r="B4" s="61" t="s">
        <v>110</v>
      </c>
      <c r="C4" s="95" t="str">
        <f t="shared" si="2"/>
        <v>472012</v>
      </c>
      <c r="D4" s="19" t="s">
        <v>245</v>
      </c>
      <c r="E4" s="17" t="str">
        <f t="shared" si="3"/>
        <v>gacha_select_tables_472012.tmp</v>
      </c>
      <c r="F4" s="97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2" t="s">
        <v>244</v>
      </c>
      <c r="B5" s="61" t="s">
        <v>110</v>
      </c>
      <c r="C5" s="50" t="str">
        <f t="shared" si="2"/>
        <v>472013</v>
      </c>
      <c r="D5" s="19" t="s">
        <v>45</v>
      </c>
      <c r="E5" s="17" t="str">
        <f t="shared" ref="E5:E7" si="4">B5&amp;C5&amp;D5</f>
        <v>gacha_select_tables_472013.tmp</v>
      </c>
      <c r="F5" s="97" t="s">
        <v>250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239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242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239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243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239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239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239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5" sqref="B5:B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VLOOKUP(L3,tables_472010!B:C,2,FALSE)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3.3333333333333335E-3</v>
      </c>
      <c r="F5">
        <f>(COUNTIF(tables_472010!C:C,input_472010!A28)+COUNTIF(tables_472010!C:C,input_472010!A29))</f>
        <v>15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3.9583333333333331E-2</v>
      </c>
      <c r="F6">
        <f>(COUNTIF(tables_472010!C:C,input_472010!A25)+COUNTIF(tables_472010!C:C,input_472010!A18)+COUNTIF(tables_472010!C:C,input_472010!A20)+COUNTIF(tables_472010!C:C,input_472010!A22))</f>
        <v>24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251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COUNTIF(tables_472010!C:C,input_472010!A17)-COUNTIF(Q:Q,A17)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252</v>
      </c>
      <c r="B18" s="56">
        <f>E$6*E18-B17+E34+0.04</f>
        <v>0.25216666667499987</v>
      </c>
      <c r="C18" s="85">
        <f t="shared" si="2"/>
        <v>0</v>
      </c>
      <c r="D18" s="74">
        <f t="shared" si="3"/>
        <v>0.25216666667499987</v>
      </c>
      <c r="E18">
        <f>COUNTIF(tables_472010!C:C,input_472010!A18)-COUNTIF(Q:Q,A18)</f>
        <v>5</v>
      </c>
      <c r="F18" s="43">
        <f>IFERROR(B18/E18,0)</f>
        <v>5.0433333334999976E-2</v>
      </c>
      <c r="G18">
        <f t="shared" si="4"/>
        <v>605200.00001999969</v>
      </c>
      <c r="H18">
        <f t="shared" si="5"/>
        <v>121040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253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COUNTIF(tables_472010!C:C,input_472010!A19)-COUNTIF(Q:Q,A19)</f>
        <v>12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254</v>
      </c>
      <c r="B20" s="94">
        <f>E$6*E20*B$6-0.02</f>
        <v>0.43124999999999997</v>
      </c>
      <c r="C20" s="85">
        <f t="shared" si="2"/>
        <v>0</v>
      </c>
      <c r="D20" s="74">
        <f t="shared" si="3"/>
        <v>0.43124999999999997</v>
      </c>
      <c r="E20">
        <f>COUNTIF(tables_472010!C:C,input_472010!A20)-COUNTIF(Q:Q,A20)</f>
        <v>12</v>
      </c>
      <c r="F20" s="43">
        <f t="shared" si="8"/>
        <v>3.5937499999999997E-2</v>
      </c>
      <c r="G20">
        <f t="shared" si="4"/>
        <v>1034999.9999999999</v>
      </c>
      <c r="H20">
        <f t="shared" si="5"/>
        <v>86250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255</v>
      </c>
      <c r="B21" s="56">
        <f>B7-B23-B26-B28-B29-E35</f>
        <v>9.500000000000005E-3</v>
      </c>
      <c r="C21" s="85">
        <f t="shared" si="2"/>
        <v>0</v>
      </c>
      <c r="D21" s="74">
        <f t="shared" si="3"/>
        <v>9.500000000000005E-3</v>
      </c>
      <c r="E21">
        <f>COUNTIF(tables_472010!C:C,input_472010!A21)-COUNTIF(Q:Q,A21)</f>
        <v>12</v>
      </c>
      <c r="F21" s="43">
        <f t="shared" si="8"/>
        <v>7.9166666666666708E-4</v>
      </c>
      <c r="G21">
        <f t="shared" si="4"/>
        <v>22800.000000000011</v>
      </c>
      <c r="H21">
        <f t="shared" si="5"/>
        <v>1900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256</v>
      </c>
      <c r="B22" s="75">
        <f>E$6*E22-B23-E36-0.02</f>
        <v>0.20364583333333333</v>
      </c>
      <c r="C22" s="85">
        <f t="shared" si="2"/>
        <v>0</v>
      </c>
      <c r="D22" s="74">
        <f t="shared" si="3"/>
        <v>0.20364583333333333</v>
      </c>
      <c r="E22">
        <f>COUNTIF(tables_472010!C:C,input_472010!A22)-COUNTIF(Q:Q,A22)</f>
        <v>6</v>
      </c>
      <c r="F22" s="43">
        <f t="shared" si="8"/>
        <v>3.394097222222222E-2</v>
      </c>
      <c r="G22">
        <f t="shared" si="4"/>
        <v>488750</v>
      </c>
      <c r="H22">
        <f t="shared" si="5"/>
        <v>81458.333329999994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257</v>
      </c>
      <c r="B23" s="70">
        <f>E23*E6*B7-E36</f>
        <v>1.3854166666666667E-2</v>
      </c>
      <c r="C23" s="85">
        <f t="shared" si="2"/>
        <v>0</v>
      </c>
      <c r="D23" s="74">
        <f t="shared" si="3"/>
        <v>1.3854166666666667E-2</v>
      </c>
      <c r="E23">
        <f>COUNTIF(tables_472010!C:C,input_472010!A23)-COUNTIF(Q:Q,A23)</f>
        <v>7</v>
      </c>
      <c r="F23" s="43">
        <f t="shared" si="8"/>
        <v>1.9791666666666668E-3</v>
      </c>
      <c r="G23">
        <f t="shared" si="4"/>
        <v>33250</v>
      </c>
      <c r="H23">
        <f t="shared" si="5"/>
        <v>4750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258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COUNTIF(tables_472010!C:C,input_472010!A24)-COUNTIF(Q:Q,A24)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259</v>
      </c>
      <c r="B25" s="56">
        <f>E$6*B$6*E25</f>
        <v>3.7604166666666661E-2</v>
      </c>
      <c r="C25" s="85">
        <f t="shared" si="2"/>
        <v>0</v>
      </c>
      <c r="D25" s="74">
        <f t="shared" si="3"/>
        <v>3.7604166666666661E-2</v>
      </c>
      <c r="E25">
        <f>COUNTIF(tables_472010!C:C,input_472010!A25)-COUNTIF(Q:Q,A25)</f>
        <v>1</v>
      </c>
      <c r="F25" s="43">
        <f t="shared" si="8"/>
        <v>3.7604166666666661E-2</v>
      </c>
      <c r="G25">
        <f t="shared" si="4"/>
        <v>90249.999999999985</v>
      </c>
      <c r="H25">
        <f t="shared" si="5"/>
        <v>90250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260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COUNTIF(tables_472010!C:C,input_472010!A26)-COUNTIF(Q:Q,A26)</f>
        <v>1</v>
      </c>
      <c r="F26" s="43">
        <f t="shared" si="8"/>
        <v>1.9791666666666668E-3</v>
      </c>
      <c r="G26">
        <f t="shared" si="4"/>
        <v>4750</v>
      </c>
      <c r="H26">
        <f t="shared" si="5"/>
        <v>4750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261</v>
      </c>
      <c r="B27" s="56">
        <f>E$5*E27*(B$5+B$6)</f>
        <v>2.5333333333333333E-2</v>
      </c>
      <c r="C27" s="85">
        <f t="shared" si="2"/>
        <v>0</v>
      </c>
      <c r="D27" s="74">
        <f t="shared" si="3"/>
        <v>2.5333333333333333E-2</v>
      </c>
      <c r="E27">
        <f>COUNTIF(tables_472010!C:C,input_472010!A27)-COUNTIF(Q:Q,A27)</f>
        <v>8</v>
      </c>
      <c r="F27" s="43">
        <f>IFERROR(B27/E27,0)</f>
        <v>3.1666666666666666E-3</v>
      </c>
      <c r="G27">
        <f t="shared" si="4"/>
        <v>60800</v>
      </c>
      <c r="H27">
        <f t="shared" si="5"/>
        <v>7600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262</v>
      </c>
      <c r="B28" s="56">
        <f>E$5*E28*B$7</f>
        <v>1.3333333333333335E-3</v>
      </c>
      <c r="C28" s="85">
        <f t="shared" si="2"/>
        <v>0</v>
      </c>
      <c r="D28" s="74">
        <f t="shared" si="3"/>
        <v>1.3333333333333335E-3</v>
      </c>
      <c r="E28">
        <f>COUNTIF(tables_472010!C:C,input_472010!A28)-COUNTIF(Q:Q,A28)</f>
        <v>8</v>
      </c>
      <c r="F28" s="43">
        <f t="shared" si="8"/>
        <v>1.6666666666666669E-4</v>
      </c>
      <c r="G28">
        <f t="shared" si="4"/>
        <v>3200.0000000000005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263</v>
      </c>
      <c r="B29" s="56">
        <f>E$5*E29</f>
        <v>2.3333333333333334E-2</v>
      </c>
      <c r="C29" s="85">
        <f t="shared" si="2"/>
        <v>0</v>
      </c>
      <c r="D29" s="74">
        <f t="shared" si="3"/>
        <v>2.3333333333333334E-2</v>
      </c>
      <c r="E29">
        <f>COUNTIF(tables_472010!C:C,input_472010!A29)-COUNTIF(Q:Q,A29)</f>
        <v>7</v>
      </c>
      <c r="F29" s="43">
        <f t="shared" si="8"/>
        <v>3.3333333333333335E-3</v>
      </c>
      <c r="G29">
        <f t="shared" si="4"/>
        <v>56000</v>
      </c>
      <c r="H29">
        <f t="shared" si="5"/>
        <v>8000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264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COUNTIF(tables_472010!C:C,input_472010!A30)-COUNTIF(Q:Q,A30)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265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COUNTIF(tables_472010!C:C,input_472010!A31)-COUNTIF(Q:Q,A31)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1.0000000000083331</v>
      </c>
      <c r="C32" s="41">
        <f>SUM(C19:C31)</f>
        <v>0</v>
      </c>
      <c r="D32" s="42">
        <f t="shared" si="3"/>
        <v>1.0000000000083331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1.4250000008333208E-2</v>
      </c>
      <c r="F34" s="55">
        <f ca="1">0.45-G41</f>
        <v>-0.49999999999166661</v>
      </c>
    </row>
    <row r="35" spans="1:7" x14ac:dyDescent="0.15">
      <c r="A35" t="s">
        <v>73</v>
      </c>
    </row>
    <row r="36" spans="1:7" x14ac:dyDescent="0.15">
      <c r="A36" s="31">
        <f>LCM(F5-I5,F6-I6)*1000*2*2*5</f>
        <v>2400000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SUMIF(tables_472010!C:C,input_472010!A40,tables_472010!O:O)</f>
        <v>0</v>
      </c>
      <c r="C40" s="54" t="e">
        <f t="shared" ref="C40:C46" si="9">B40/B$47</f>
        <v>#DIV/0!</v>
      </c>
      <c r="E40">
        <v>3</v>
      </c>
      <c r="F40">
        <f ca="1">SUMIF(tables_472010!J:J,input_472010!E40,tables_472010!O:O)</f>
        <v>0</v>
      </c>
      <c r="G40">
        <f ca="1">F40/A36</f>
        <v>0</v>
      </c>
    </row>
    <row r="41" spans="1:7" x14ac:dyDescent="0.15">
      <c r="A41" s="33" t="s">
        <v>104</v>
      </c>
      <c r="B41">
        <f>SUMIF(tables_472010!C:C,input_472010!A41,tables_472010!O:O)</f>
        <v>0</v>
      </c>
      <c r="C41" s="54" t="e">
        <f t="shared" si="9"/>
        <v>#DIV/0!</v>
      </c>
      <c r="E41">
        <v>4</v>
      </c>
      <c r="F41">
        <f ca="1">SUMIF(tables_472010!J:J,input_472010!E41,tables_472010!O:O)</f>
        <v>2279999.9999799998</v>
      </c>
      <c r="G41">
        <f ca="1">F41/A36</f>
        <v>0.94999999999166662</v>
      </c>
    </row>
    <row r="42" spans="1:7" x14ac:dyDescent="0.15">
      <c r="A42" s="33" t="s">
        <v>106</v>
      </c>
      <c r="B42">
        <f>SUMIF(tables_472010!C:C,input_472010!A42,tables_472010!O:O)</f>
        <v>0</v>
      </c>
      <c r="C42" s="54" t="e">
        <f t="shared" si="9"/>
        <v>#DIV/0!</v>
      </c>
      <c r="E42">
        <v>5</v>
      </c>
      <c r="F42">
        <f ca="1">SUMIF(tables_472010!J:J,input_472010!E42,tables_472010!O:O)</f>
        <v>120000</v>
      </c>
      <c r="G42">
        <f ca="1">F42/A36</f>
        <v>0.05</v>
      </c>
    </row>
    <row r="43" spans="1:7" x14ac:dyDescent="0.15">
      <c r="A43" s="33" t="s">
        <v>109</v>
      </c>
      <c r="B43">
        <f>SUMIF(tables_472010!C:C,input_472010!A43,tables_472010!O:O)</f>
        <v>0</v>
      </c>
      <c r="C43" s="54" t="e">
        <f t="shared" si="9"/>
        <v>#DIV/0!</v>
      </c>
      <c r="F43" s="55"/>
    </row>
    <row r="44" spans="1:7" x14ac:dyDescent="0.15">
      <c r="A44" s="33" t="s">
        <v>105</v>
      </c>
      <c r="B44">
        <f>SUMIF(tables_472010!C:C,input_472010!A44,tables_472010!O:O)</f>
        <v>0</v>
      </c>
      <c r="C44" s="54" t="e">
        <f t="shared" si="9"/>
        <v>#DIV/0!</v>
      </c>
      <c r="E44" t="s">
        <v>54</v>
      </c>
      <c r="F44" s="55"/>
    </row>
    <row r="45" spans="1:7" x14ac:dyDescent="0.15">
      <c r="A45" s="33" t="s">
        <v>107</v>
      </c>
      <c r="B45">
        <f>SUMIF(tables_472010!C:C,input_472010!A45,tables_472010!O:O)</f>
        <v>0</v>
      </c>
      <c r="C45" s="54" t="e">
        <f t="shared" si="9"/>
        <v>#DIV/0!</v>
      </c>
      <c r="E45" t="s">
        <v>204</v>
      </c>
      <c r="F45" s="55">
        <f ca="1">SUMIF(tables_472010!I:I,input_472010!E45,tables_472010!P:P)</f>
        <v>0.25414583333545132</v>
      </c>
    </row>
    <row r="46" spans="1:7" x14ac:dyDescent="0.15">
      <c r="A46" s="33" t="s">
        <v>108</v>
      </c>
      <c r="B46">
        <f>SUMIF(tables_472010!C:C,input_472010!A46,tables_472010!O:O)</f>
        <v>0</v>
      </c>
      <c r="C46" s="54" t="e">
        <f t="shared" si="9"/>
        <v>#DIV/0!</v>
      </c>
      <c r="E46" t="s">
        <v>205</v>
      </c>
      <c r="F46" s="55">
        <f ca="1">SUMIF(tables_472010!I:I,input_472010!E46,tables_472010!P:P)</f>
        <v>0.18650000000155423</v>
      </c>
    </row>
    <row r="47" spans="1:7" x14ac:dyDescent="0.15">
      <c r="A47" s="39" t="s">
        <v>59</v>
      </c>
      <c r="B47">
        <f>SUM(B40:B46)</f>
        <v>0</v>
      </c>
      <c r="C47" s="55" t="e">
        <f>SUM(C40:C46)</f>
        <v>#DIV/0!</v>
      </c>
      <c r="E47" t="s">
        <v>206</v>
      </c>
      <c r="F47" s="55">
        <f ca="1">SUMIF(tables_472010!I:I,input_472010!E47,tables_472010!P:P)</f>
        <v>0.50935416666257827</v>
      </c>
    </row>
    <row r="48" spans="1:7" x14ac:dyDescent="0.15">
      <c r="E48" t="s">
        <v>207</v>
      </c>
      <c r="F48" s="55">
        <f ca="1">SUMIF(tables_472010!I:I,input_472010!E48,tables_472010!P:P)</f>
        <v>4.6666666667055573E-2</v>
      </c>
      <c r="G48" s="55"/>
    </row>
    <row r="49" spans="5:6" x14ac:dyDescent="0.15">
      <c r="E49" t="s">
        <v>246</v>
      </c>
      <c r="F49" s="55">
        <f ca="1">SUMIF(tables_472010!I:I,input_472010!E49,tables_472010!P:P)</f>
        <v>3.3333333333611121E-3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G2" sqref="G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input_472010!A$2</f>
        <v>472010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IF(G2="color",IFERROR(VLOOKUP(B2,input_472010!L:R,7,FALSE),VLOOKUP(tables_472010!C2,input_472010!A:H,8,FALSE)),0)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input_472010!A$2</f>
        <v>472010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IF(G3="color",IFERROR(VLOOKUP(B3,input_472010!L:R,7,FALSE),VLOOKUP(tables_472010!C3,input_472010!A:H,8,FALSE)),0)</f>
        <v>121040</v>
      </c>
      <c r="P3" s="46">
        <f t="shared" ca="1" si="1"/>
        <v>5.0433333333753626E-2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input_472010!A$2</f>
        <v>472010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IF(G4="color",IFERROR(VLOOKUP(B4,input_472010!L:R,7,FALSE),VLOOKUP(tables_472010!C4,input_472010!A:H,8,FALSE)),0)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input_472010!A$2</f>
        <v>472010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IF(G5="color",IFERROR(VLOOKUP(B5,input_472010!L:R,7,FALSE),VLOOKUP(tables_472010!C5,input_472010!A:H,8,FALSE)),0)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input_472010!A$2</f>
        <v>472010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IF(G6="color",IFERROR(VLOOKUP(B6,input_472010!L:R,7,FALSE),VLOOKUP(tables_472010!C6,input_472010!A:H,8,FALSE)),0)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input_472010!A$2</f>
        <v>472010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IF(G7="color",IFERROR(VLOOKUP(B7,input_472010!L:R,7,FALSE),VLOOKUP(tables_472010!C7,input_472010!A:H,8,FALSE)),0)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input_472010!A$2</f>
        <v>472010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IF(G8="color",IFERROR(VLOOKUP(B8,input_472010!L:R,7,FALSE),VLOOKUP(tables_472010!C8,input_472010!A:H,8,FALSE)),0)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input_472010!A$2</f>
        <v>472010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IF(G9="color",IFERROR(VLOOKUP(B9,input_472010!L:R,7,FALSE),VLOOKUP(tables_472010!C9,input_472010!A:H,8,FALSE)),0)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input_472010!A$2</f>
        <v>472010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IF(G10="color",IFERROR(VLOOKUP(B10,input_472010!L:R,7,FALSE),VLOOKUP(tables_472010!C10,input_472010!A:H,8,FALSE)),0)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input_472010!A$2</f>
        <v>472010</v>
      </c>
      <c r="B11" s="6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IF(G11="color",IFERROR(VLOOKUP(B11,input_472010!L:R,7,FALSE),VLOOKUP(tables_472010!C11,input_472010!A:H,8,FALSE)),0)</f>
        <v>121040</v>
      </c>
      <c r="P11" s="46">
        <f t="shared" ca="1" si="1"/>
        <v>5.0433333333753626E-2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input_472010!A$2</f>
        <v>472010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IF(G12="color",IFERROR(VLOOKUP(B12,input_472010!L:R,7,FALSE),VLOOKUP(tables_472010!C12,input_472010!A:H,8,FALSE)),0)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input_472010!A$2</f>
        <v>472010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IF(G13="color",IFERROR(VLOOKUP(B13,input_472010!L:R,7,FALSE),VLOOKUP(tables_472010!C13,input_472010!A:H,8,FALSE)),0)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input_472010!A$2</f>
        <v>472010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IF(G14="color",IFERROR(VLOOKUP(B14,input_472010!L:R,7,FALSE),VLOOKUP(tables_472010!C14,input_472010!A:H,8,FALSE)),0)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input_472010!A$2</f>
        <v>472010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IF(G15="color",IFERROR(VLOOKUP(B15,input_472010!L:R,7,FALSE),VLOOKUP(tables_472010!C15,input_472010!A:H,8,FALSE)),0)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input_472010!A$2</f>
        <v>472010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IF(G16="color",IFERROR(VLOOKUP(B16,input_472010!L:R,7,FALSE),VLOOKUP(tables_472010!C16,input_472010!A:H,8,FALSE)),0)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input_472010!A$2</f>
        <v>472010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IF(G17="color",IFERROR(VLOOKUP(B17,input_472010!L:R,7,FALSE),VLOOKUP(tables_472010!C17,input_472010!A:H,8,FALSE)),0)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input_472010!A$2</f>
        <v>472010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IF(G18="color",IFERROR(VLOOKUP(B18,input_472010!L:R,7,FALSE),VLOOKUP(tables_472010!C18,input_472010!A:H,8,FALSE)),0)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input_472010!A$2</f>
        <v>472010</v>
      </c>
      <c r="B19" s="6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IF(G19="color",IFERROR(VLOOKUP(B19,input_472010!L:R,7,FALSE),VLOOKUP(tables_472010!C19,input_472010!A:H,8,FALSE)),0)</f>
        <v>121040</v>
      </c>
      <c r="P19" s="46">
        <f t="shared" ca="1" si="1"/>
        <v>5.0433333333753626E-2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input_472010!A$2</f>
        <v>472010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IF(G20="color",IFERROR(VLOOKUP(B20,input_472010!L:R,7,FALSE),VLOOKUP(tables_472010!C20,input_472010!A:H,8,FALSE)),0)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input_472010!A$2</f>
        <v>472010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IF(G21="color",IFERROR(VLOOKUP(B21,input_472010!L:R,7,FALSE),VLOOKUP(tables_472010!C21,input_472010!A:H,8,FALSE)),0)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input_472010!A$2</f>
        <v>472010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IF(G22="color",IFERROR(VLOOKUP(B22,input_472010!L:R,7,FALSE),VLOOKUP(tables_472010!C22,input_472010!A:H,8,FALSE)),0)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input_472010!A$2</f>
        <v>472010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IF(G23="color",IFERROR(VLOOKUP(B23,input_472010!L:R,7,FALSE),VLOOKUP(tables_472010!C23,input_472010!A:H,8,FALSE)),0)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input_472010!A$2</f>
        <v>472010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IF(G24="color",IFERROR(VLOOKUP(B24,input_472010!L:R,7,FALSE),VLOOKUP(tables_472010!C24,input_472010!A:H,8,FALSE)),0)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input_472010!A$2</f>
        <v>472010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IF(G25="color",IFERROR(VLOOKUP(B25,input_472010!L:R,7,FALSE),VLOOKUP(tables_472010!C25,input_472010!A:H,8,FALSE)),0)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input_472010!A$2</f>
        <v>472010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IF(G26="color",IFERROR(VLOOKUP(B26,input_472010!L:R,7,FALSE),VLOOKUP(tables_472010!C26,input_472010!A:H,8,FALSE)),0)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input_472010!A$2</f>
        <v>472010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IF(G27="color",IFERROR(VLOOKUP(B27,input_472010!L:R,7,FALSE),VLOOKUP(tables_472010!C27,input_472010!A:H,8,FALSE)),0)</f>
        <v>121040</v>
      </c>
      <c r="P27" s="46">
        <f t="shared" ca="1" si="1"/>
        <v>5.0433333333753626E-2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input_472010!A$2</f>
        <v>472010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IF(G28="color",IFERROR(VLOOKUP(B28,input_472010!L:R,7,FALSE),VLOOKUP(tables_472010!C28,input_472010!A:H,8,FALSE)),0)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input_472010!A$2</f>
        <v>472010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IF(G29="color",IFERROR(VLOOKUP(B29,input_472010!L:R,7,FALSE),VLOOKUP(tables_472010!C29,input_472010!A:H,8,FALSE)),0)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input_472010!A$2</f>
        <v>472010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IF(G30="color",IFERROR(VLOOKUP(B30,input_472010!L:R,7,FALSE),VLOOKUP(tables_472010!C30,input_472010!A:H,8,FALSE)),0)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input_472010!A$2</f>
        <v>472010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IF(G31="color",IFERROR(VLOOKUP(B31,input_472010!L:R,7,FALSE),VLOOKUP(tables_472010!C31,input_472010!A:H,8,FALSE)),0)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input_472010!A$2</f>
        <v>472010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IF(G32="color",IFERROR(VLOOKUP(B32,input_472010!L:R,7,FALSE),VLOOKUP(tables_472010!C32,input_472010!A:H,8,FALSE)),0)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input_472010!A$2</f>
        <v>472010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IF(G33="color",IFERROR(VLOOKUP(B33,input_472010!L:R,7,FALSE),VLOOKUP(tables_472010!C33,input_472010!A:H,8,FALSE)),0)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input_472010!A$2</f>
        <v>472010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IF(G34="color",IFERROR(VLOOKUP(B34,input_472010!L:R,7,FALSE),VLOOKUP(tables_472010!C34,input_472010!A:H,8,FALSE)),0)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input_472010!A$2</f>
        <v>472010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IF(G35="color",IFERROR(VLOOKUP(B35,input_472010!L:R,7,FALSE),VLOOKUP(tables_472010!C35,input_472010!A:H,8,FALSE)),0)</f>
        <v>121040</v>
      </c>
      <c r="P35" s="46">
        <f t="shared" ca="1" si="1"/>
        <v>5.0433333333753626E-2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input_472010!A$2</f>
        <v>472010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IF(G36="color",IFERROR(VLOOKUP(B36,input_472010!L:R,7,FALSE),VLOOKUP(tables_472010!C36,input_472010!A:H,8,FALSE)),0)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input_472010!A$2</f>
        <v>472010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IF(G37="color",IFERROR(VLOOKUP(B37,input_472010!L:R,7,FALSE),VLOOKUP(tables_472010!C37,input_472010!A:H,8,FALSE)),0)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input_472010!A$2</f>
        <v>472010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IF(G38="color",IFERROR(VLOOKUP(B38,input_472010!L:R,7,FALSE),VLOOKUP(tables_472010!C38,input_472010!A:H,8,FALSE)),0)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input_472010!A$2</f>
        <v>472010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IF(G39="color",IFERROR(VLOOKUP(B39,input_472010!L:R,7,FALSE),VLOOKUP(tables_472010!C39,input_472010!A:H,8,FALSE)),0)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input_472010!A$2</f>
        <v>472010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IF(G40="color",IFERROR(VLOOKUP(B40,input_472010!L:R,7,FALSE),VLOOKUP(tables_472010!C40,input_472010!A:H,8,FALSE)),0)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input_472010!A$2</f>
        <v>472010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IF(G41="color",IFERROR(VLOOKUP(B41,input_472010!L:R,7,FALSE),VLOOKUP(tables_472010!C41,input_472010!A:H,8,FALSE)),0)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input_472010!A$2</f>
        <v>472010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IF(G42="color",IFERROR(VLOOKUP(B42,input_472010!L:R,7,FALSE),VLOOKUP(tables_472010!C42,input_472010!A:H,8,FALSE)),0)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input_472010!A$2</f>
        <v>472010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IF(G43="color",IFERROR(VLOOKUP(B43,input_472010!L:R,7,FALSE),VLOOKUP(tables_472010!C43,input_472010!A:H,8,FALSE)),0)</f>
        <v>90250</v>
      </c>
      <c r="P43" s="46">
        <f t="shared" ca="1" si="1"/>
        <v>3.7604166666980042E-2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input_472010!A$2</f>
        <v>472010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IF(G44="color",IFERROR(VLOOKUP(B44,input_472010!L:R,7,FALSE),VLOOKUP(tables_472010!C44,input_472010!A:H,8,FALSE)),0)</f>
        <v>4750</v>
      </c>
      <c r="P44" s="46">
        <f t="shared" ca="1" si="1"/>
        <v>1.9791666666831602E-3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input_472010!A$2</f>
        <v>472010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IF(G45="color",IFERROR(VLOOKUP(B45,input_472010!L:R,7,FALSE),VLOOKUP(tables_472010!C45,input_472010!A:H,8,FALSE)),0)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input_472010!A$2</f>
        <v>472010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IF(G46="color",IFERROR(VLOOKUP(B46,input_472010!L:R,7,FALSE),VLOOKUP(tables_472010!C46,input_472010!A:H,8,FALSE)),0)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input_472010!A$2</f>
        <v>472010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IF(G47="color",IFERROR(VLOOKUP(B47,input_472010!L:R,7,FALSE),VLOOKUP(tables_472010!C47,input_472010!A:H,8,FALSE)),0)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input_472010!A$2</f>
        <v>472010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IF(G48="color",IFERROR(VLOOKUP(B48,input_472010!L:R,7,FALSE),VLOOKUP(tables_472010!C48,input_472010!A:H,8,FALSE)),0)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input_472010!A$2</f>
        <v>472010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IF(G49="color",IFERROR(VLOOKUP(B49,input_472010!L:R,7,FALSE),VLOOKUP(tables_472010!C49,input_472010!A:H,8,FALSE)),0)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input_472010!A$2</f>
        <v>472010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IF(G50="color",IFERROR(VLOOKUP(B50,input_472010!L:R,7,FALSE),VLOOKUP(tables_472010!C50,input_472010!A:H,8,FALSE)),0)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input_472010!A$2</f>
        <v>472010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IF(G51="color",IFERROR(VLOOKUP(B51,input_472010!L:R,7,FALSE),VLOOKUP(tables_472010!C51,input_472010!A:H,8,FALSE)),0)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input_472010!A$2</f>
        <v>472010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IF(G52="color",IFERROR(VLOOKUP(B52,input_472010!L:R,7,FALSE),VLOOKUP(tables_472010!C52,input_472010!A:H,8,FALSE)),0)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input_472010!A$2</f>
        <v>472010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IF(G53="color",IFERROR(VLOOKUP(B53,input_472010!L:R,7,FALSE),VLOOKUP(tables_472010!C53,input_472010!A:H,8,FALSE)),0)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input_472010!A$2</f>
        <v>472010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IF(G54="color",IFERROR(VLOOKUP(B54,input_472010!L:R,7,FALSE),VLOOKUP(tables_472010!C54,input_472010!A:H,8,FALSE)),0)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input_472010!A$2</f>
        <v>472010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IF(G55="color",IFERROR(VLOOKUP(B55,input_472010!L:R,7,FALSE),VLOOKUP(tables_472010!C55,input_472010!A:H,8,FALSE)),0)</f>
        <v>86250</v>
      </c>
      <c r="P55" s="46">
        <f t="shared" ca="1" si="1"/>
        <v>3.5937500000299487E-2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input_472010!A$2</f>
        <v>472010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IF(G56="color",IFERROR(VLOOKUP(B56,input_472010!L:R,7,FALSE),VLOOKUP(tables_472010!C56,input_472010!A:H,8,FALSE)),0)</f>
        <v>1900</v>
      </c>
      <c r="P56" s="46">
        <f t="shared" ca="1" si="1"/>
        <v>7.9166666667326413E-4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input_472010!A$2</f>
        <v>472010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IF(G57="color",IFERROR(VLOOKUP(B57,input_472010!L:R,7,FALSE),VLOOKUP(tables_472010!C57,input_472010!A:H,8,FALSE)),0)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input_472010!A$2</f>
        <v>472010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IF(G58="color",IFERROR(VLOOKUP(B58,input_472010!L:R,7,FALSE),VLOOKUP(tables_472010!C58,input_472010!A:H,8,FALSE)),0)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input_472010!A$2</f>
        <v>472010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IF(G59="color",IFERROR(VLOOKUP(B59,input_472010!L:R,7,FALSE),VLOOKUP(tables_472010!C59,input_472010!A:H,8,FALSE)),0)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input_472010!A$2</f>
        <v>472010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IF(G60="color",IFERROR(VLOOKUP(B60,input_472010!L:R,7,FALSE),VLOOKUP(tables_472010!C60,input_472010!A:H,8,FALSE)),0)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input_472010!A$2</f>
        <v>472010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IF(G61="color",IFERROR(VLOOKUP(B61,input_472010!L:R,7,FALSE),VLOOKUP(tables_472010!C61,input_472010!A:H,8,FALSE)),0)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input_472010!A$2</f>
        <v>472010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IF(G62="color",IFERROR(VLOOKUP(B62,input_472010!L:R,7,FALSE),VLOOKUP(tables_472010!C62,input_472010!A:H,8,FALSE)),0)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input_472010!A$2</f>
        <v>472010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IF(G63="color",IFERROR(VLOOKUP(B63,input_472010!L:R,7,FALSE),VLOOKUP(tables_472010!C63,input_472010!A:H,8,FALSE)),0)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input_472010!A$2</f>
        <v>472010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IF(G64="color",IFERROR(VLOOKUP(B64,input_472010!L:R,7,FALSE),VLOOKUP(tables_472010!C64,input_472010!A:H,8,FALSE)),0)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input_472010!A$2</f>
        <v>472010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IF(G65="color",IFERROR(VLOOKUP(B65,input_472010!L:R,7,FALSE),VLOOKUP(tables_472010!C65,input_472010!A:H,8,FALSE)),0)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input_472010!A$2</f>
        <v>472010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IF(G66="color",IFERROR(VLOOKUP(B66,input_472010!L:R,7,FALSE),VLOOKUP(tables_472010!C66,input_472010!A:H,8,FALSE)),0)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input_472010!A$2</f>
        <v>472010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IF(G67="color",IFERROR(VLOOKUP(B67,input_472010!L:R,7,FALSE),VLOOKUP(tables_472010!C67,input_472010!A:H,8,FALSE)),0)</f>
        <v>86250</v>
      </c>
      <c r="P67" s="46">
        <f t="shared" ca="1" si="5"/>
        <v>3.5937500000299487E-2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input_472010!A$2</f>
        <v>472010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IF(G68="color",IFERROR(VLOOKUP(B68,input_472010!L:R,7,FALSE),VLOOKUP(tables_472010!C68,input_472010!A:H,8,FALSE)),0)</f>
        <v>1900</v>
      </c>
      <c r="P68" s="46">
        <f t="shared" ca="1" si="5"/>
        <v>7.9166666667326413E-4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input_472010!A$2</f>
        <v>472010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IF(G69="color",IFERROR(VLOOKUP(B69,input_472010!L:R,7,FALSE),VLOOKUP(tables_472010!C69,input_472010!A:H,8,FALSE)),0)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input_472010!A$2</f>
        <v>472010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IF(G70="color",IFERROR(VLOOKUP(B70,input_472010!L:R,7,FALSE),VLOOKUP(tables_472010!C70,input_472010!A:H,8,FALSE)),0)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input_472010!A$2</f>
        <v>472010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IF(G71="color",IFERROR(VLOOKUP(B71,input_472010!L:R,7,FALSE),VLOOKUP(tables_472010!C71,input_472010!A:H,8,FALSE)),0)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input_472010!A$2</f>
        <v>472010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IF(G72="color",IFERROR(VLOOKUP(B72,input_472010!L:R,7,FALSE),VLOOKUP(tables_472010!C72,input_472010!A:H,8,FALSE)),0)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input_472010!A$2</f>
        <v>472010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IF(G73="color",IFERROR(VLOOKUP(B73,input_472010!L:R,7,FALSE),VLOOKUP(tables_472010!C73,input_472010!A:H,8,FALSE)),0)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input_472010!A$2</f>
        <v>472010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IF(G74="color",IFERROR(VLOOKUP(B74,input_472010!L:R,7,FALSE),VLOOKUP(tables_472010!C74,input_472010!A:H,8,FALSE)),0)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input_472010!A$2</f>
        <v>472010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IF(G75="color",IFERROR(VLOOKUP(B75,input_472010!L:R,7,FALSE),VLOOKUP(tables_472010!C75,input_472010!A:H,8,FALSE)),0)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input_472010!A$2</f>
        <v>472010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IF(G76="color",IFERROR(VLOOKUP(B76,input_472010!L:R,7,FALSE),VLOOKUP(tables_472010!C76,input_472010!A:H,8,FALSE)),0)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input_472010!A$2</f>
        <v>472010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IF(G77="color",IFERROR(VLOOKUP(B77,input_472010!L:R,7,FALSE),VLOOKUP(tables_472010!C77,input_472010!A:H,8,FALSE)),0)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input_472010!A$2</f>
        <v>472010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IF(G78="color",IFERROR(VLOOKUP(B78,input_472010!L:R,7,FALSE),VLOOKUP(tables_472010!C78,input_472010!A:H,8,FALSE)),0)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input_472010!A$2</f>
        <v>472010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IF(G79="color",IFERROR(VLOOKUP(B79,input_472010!L:R,7,FALSE),VLOOKUP(tables_472010!C79,input_472010!A:H,8,FALSE)),0)</f>
        <v>86250</v>
      </c>
      <c r="P79" s="46">
        <f t="shared" ca="1" si="5"/>
        <v>3.5937500000299487E-2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input_472010!A$2</f>
        <v>472010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IF(G80="color",IFERROR(VLOOKUP(B80,input_472010!L:R,7,FALSE),VLOOKUP(tables_472010!C80,input_472010!A:H,8,FALSE)),0)</f>
        <v>1900</v>
      </c>
      <c r="P80" s="46">
        <f t="shared" ca="1" si="5"/>
        <v>7.9166666667326413E-4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input_472010!A$2</f>
        <v>472010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IF(G81="color",IFERROR(VLOOKUP(B81,input_472010!L:R,7,FALSE),VLOOKUP(tables_472010!C81,input_472010!A:H,8,FALSE)),0)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input_472010!A$2</f>
        <v>472010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IF(G82="color",IFERROR(VLOOKUP(B82,input_472010!L:R,7,FALSE),VLOOKUP(tables_472010!C82,input_472010!A:H,8,FALSE)),0)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input_472010!A$2</f>
        <v>472010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IF(G83="color",IFERROR(VLOOKUP(B83,input_472010!L:R,7,FALSE),VLOOKUP(tables_472010!C83,input_472010!A:H,8,FALSE)),0)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input_472010!A$2</f>
        <v>472010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IF(G84="color",IFERROR(VLOOKUP(B84,input_472010!L:R,7,FALSE),VLOOKUP(tables_472010!C84,input_472010!A:H,8,FALSE)),0)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input_472010!A$2</f>
        <v>472010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IF(G85="color",IFERROR(VLOOKUP(B85,input_472010!L:R,7,FALSE),VLOOKUP(tables_472010!C85,input_472010!A:H,8,FALSE)),0)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input_472010!A$2</f>
        <v>472010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IF(G86="color",IFERROR(VLOOKUP(B86,input_472010!L:R,7,FALSE),VLOOKUP(tables_472010!C86,input_472010!A:H,8,FALSE)),0)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input_472010!A$2</f>
        <v>472010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IF(G87="color",IFERROR(VLOOKUP(B87,input_472010!L:R,7,FALSE),VLOOKUP(tables_472010!C87,input_472010!A:H,8,FALSE)),0)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input_472010!A$2</f>
        <v>472010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IF(G88="color",IFERROR(VLOOKUP(B88,input_472010!L:R,7,FALSE),VLOOKUP(tables_472010!C88,input_472010!A:H,8,FALSE)),0)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input_472010!A$2</f>
        <v>472010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IF(G89="color",IFERROR(VLOOKUP(B89,input_472010!L:R,7,FALSE),VLOOKUP(tables_472010!C89,input_472010!A:H,8,FALSE)),0)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input_472010!A$2</f>
        <v>472010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IF(G90="color",IFERROR(VLOOKUP(B90,input_472010!L:R,7,FALSE),VLOOKUP(tables_472010!C90,input_472010!A:H,8,FALSE)),0)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input_472010!A$2</f>
        <v>472010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IF(G91="color",IFERROR(VLOOKUP(B91,input_472010!L:R,7,FALSE),VLOOKUP(tables_472010!C91,input_472010!A:H,8,FALSE)),0)</f>
        <v>86250</v>
      </c>
      <c r="P91" s="46">
        <f t="shared" ca="1" si="5"/>
        <v>3.5937500000299487E-2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input_472010!A$2</f>
        <v>472010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IF(G92="color",IFERROR(VLOOKUP(B92,input_472010!L:R,7,FALSE),VLOOKUP(tables_472010!C92,input_472010!A:H,8,FALSE)),0)</f>
        <v>1900</v>
      </c>
      <c r="P92" s="46">
        <f t="shared" ca="1" si="5"/>
        <v>7.9166666667326413E-4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input_472010!A$2</f>
        <v>472010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IF(G93="color",IFERROR(VLOOKUP(B93,input_472010!L:R,7,FALSE),VLOOKUP(tables_472010!C93,input_472010!A:H,8,FALSE)),0)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input_472010!A$2</f>
        <v>472010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IF(G94="color",IFERROR(VLOOKUP(B94,input_472010!L:R,7,FALSE),VLOOKUP(tables_472010!C94,input_472010!A:H,8,FALSE)),0)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input_472010!A$2</f>
        <v>472010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IF(G95="color",IFERROR(VLOOKUP(B95,input_472010!L:R,7,FALSE),VLOOKUP(tables_472010!C95,input_472010!A:H,8,FALSE)),0)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input_472010!A$2</f>
        <v>472010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IF(G96="color",IFERROR(VLOOKUP(B96,input_472010!L:R,7,FALSE),VLOOKUP(tables_472010!C96,input_472010!A:H,8,FALSE)),0)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input_472010!A$2</f>
        <v>472010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IF(G97="color",IFERROR(VLOOKUP(B97,input_472010!L:R,7,FALSE),VLOOKUP(tables_472010!C97,input_472010!A:H,8,FALSE)),0)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input_472010!A$2</f>
        <v>472010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IF(G98="color",IFERROR(VLOOKUP(B98,input_472010!L:R,7,FALSE),VLOOKUP(tables_472010!C98,input_472010!A:H,8,FALSE)),0)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input_472010!A$2</f>
        <v>472010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IF(G99="color",IFERROR(VLOOKUP(B99,input_472010!L:R,7,FALSE),VLOOKUP(tables_472010!C99,input_472010!A:H,8,FALSE)),0)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input_472010!A$2</f>
        <v>472010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IF(G100="color",IFERROR(VLOOKUP(B100,input_472010!L:R,7,FALSE),VLOOKUP(tables_472010!C100,input_472010!A:H,8,FALSE)),0)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input_472010!A$2</f>
        <v>472010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IF(G101="color",IFERROR(VLOOKUP(B101,input_472010!L:R,7,FALSE),VLOOKUP(tables_472010!C101,input_472010!A:H,8,FALSE)),0)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input_472010!A$2</f>
        <v>472010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IF(G102="color",IFERROR(VLOOKUP(B102,input_472010!L:R,7,FALSE),VLOOKUP(tables_472010!C102,input_472010!A:H,8,FALSE)),0)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input_472010!A$2</f>
        <v>472010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IF(G103="color",IFERROR(VLOOKUP(B103,input_472010!L:R,7,FALSE),VLOOKUP(tables_472010!C103,input_472010!A:H,8,FALSE)),0)</f>
        <v>86250</v>
      </c>
      <c r="P103" s="46">
        <f t="shared" ca="1" si="5"/>
        <v>3.5937500000299487E-2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input_472010!A$2</f>
        <v>472010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IF(G104="color",IFERROR(VLOOKUP(B104,input_472010!L:R,7,FALSE),VLOOKUP(tables_472010!C104,input_472010!A:H,8,FALSE)),0)</f>
        <v>1900</v>
      </c>
      <c r="P104" s="46">
        <f t="shared" ca="1" si="5"/>
        <v>7.9166666667326413E-4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input_472010!A$2</f>
        <v>472010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IF(G105="color",IFERROR(VLOOKUP(B105,input_472010!L:R,7,FALSE),VLOOKUP(tables_472010!C105,input_472010!A:H,8,FALSE)),0)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input_472010!A$2</f>
        <v>472010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IF(G106="color",IFERROR(VLOOKUP(B106,input_472010!L:R,7,FALSE),VLOOKUP(tables_472010!C106,input_472010!A:H,8,FALSE)),0)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input_472010!A$2</f>
        <v>472010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IF(G107="color",IFERROR(VLOOKUP(B107,input_472010!L:R,7,FALSE),VLOOKUP(tables_472010!C107,input_472010!A:H,8,FALSE)),0)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input_472010!A$2</f>
        <v>472010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IF(G108="color",IFERROR(VLOOKUP(B108,input_472010!L:R,7,FALSE),VLOOKUP(tables_472010!C108,input_472010!A:H,8,FALSE)),0)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input_472010!A$2</f>
        <v>472010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IF(G109="color",IFERROR(VLOOKUP(B109,input_472010!L:R,7,FALSE),VLOOKUP(tables_472010!C109,input_472010!A:H,8,FALSE)),0)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input_472010!A$2</f>
        <v>472010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IF(G110="color",IFERROR(VLOOKUP(B110,input_472010!L:R,7,FALSE),VLOOKUP(tables_472010!C110,input_472010!A:H,8,FALSE)),0)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input_472010!A$2</f>
        <v>472010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IF(G111="color",IFERROR(VLOOKUP(B111,input_472010!L:R,7,FALSE),VLOOKUP(tables_472010!C111,input_472010!A:H,8,FALSE)),0)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input_472010!A$2</f>
        <v>472010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IF(G112="color",IFERROR(VLOOKUP(B112,input_472010!L:R,7,FALSE),VLOOKUP(tables_472010!C112,input_472010!A:H,8,FALSE)),0)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input_472010!A$2</f>
        <v>472010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IF(G113="color",IFERROR(VLOOKUP(B113,input_472010!L:R,7,FALSE),VLOOKUP(tables_472010!C113,input_472010!A:H,8,FALSE)),0)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input_472010!A$2</f>
        <v>472010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IF(G114="color",IFERROR(VLOOKUP(B114,input_472010!L:R,7,FALSE),VLOOKUP(tables_472010!C114,input_472010!A:H,8,FALSE)),0)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input_472010!A$2</f>
        <v>472010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IF(G115="color",IFERROR(VLOOKUP(B115,input_472010!L:R,7,FALSE),VLOOKUP(tables_472010!C115,input_472010!A:H,8,FALSE)),0)</f>
        <v>86250</v>
      </c>
      <c r="P115" s="46">
        <f t="shared" ca="1" si="5"/>
        <v>3.5937500000299487E-2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input_472010!A$2</f>
        <v>472010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IF(G116="color",IFERROR(VLOOKUP(B116,input_472010!L:R,7,FALSE),VLOOKUP(tables_472010!C116,input_472010!A:H,8,FALSE)),0)</f>
        <v>1900</v>
      </c>
      <c r="P116" s="46">
        <f t="shared" ca="1" si="5"/>
        <v>7.9166666667326413E-4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input_472010!A$2</f>
        <v>472010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IF(G117="color",IFERROR(VLOOKUP(B117,input_472010!L:R,7,FALSE),VLOOKUP(tables_472010!C117,input_472010!A:H,8,FALSE)),0)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input_472010!A$2</f>
        <v>472010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IF(G118="color",IFERROR(VLOOKUP(B118,input_472010!L:R,7,FALSE),VLOOKUP(tables_472010!C118,input_472010!A:H,8,FALSE)),0)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input_472010!A$2</f>
        <v>472010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IF(G119="color",IFERROR(VLOOKUP(B119,input_472010!L:R,7,FALSE),VLOOKUP(tables_472010!C119,input_472010!A:H,8,FALSE)),0)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input_472010!A$2</f>
        <v>472010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IF(G120="color",IFERROR(VLOOKUP(B120,input_472010!L:R,7,FALSE),VLOOKUP(tables_472010!C120,input_472010!A:H,8,FALSE)),0)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input_472010!A$2</f>
        <v>472010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IF(G121="color",IFERROR(VLOOKUP(B121,input_472010!L:R,7,FALSE),VLOOKUP(tables_472010!C121,input_472010!A:H,8,FALSE)),0)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input_472010!A$2</f>
        <v>472010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IF(G122="color",IFERROR(VLOOKUP(B122,input_472010!L:R,7,FALSE),VLOOKUP(tables_472010!C122,input_472010!A:H,8,FALSE)),0)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input_472010!A$2</f>
        <v>472010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IF(G123="color",IFERROR(VLOOKUP(B123,input_472010!L:R,7,FALSE),VLOOKUP(tables_472010!C123,input_472010!A:H,8,FALSE)),0)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input_472010!A$2</f>
        <v>472010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IF(G124="color",IFERROR(VLOOKUP(B124,input_472010!L:R,7,FALSE),VLOOKUP(tables_472010!C124,input_472010!A:H,8,FALSE)),0)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input_472010!A$2</f>
        <v>472010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IF(G125="color",IFERROR(VLOOKUP(B125,input_472010!L:R,7,FALSE),VLOOKUP(tables_472010!C125,input_472010!A:H,8,FALSE)),0)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input_472010!A$2</f>
        <v>472010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IF(G126="color",IFERROR(VLOOKUP(B126,input_472010!L:R,7,FALSE),VLOOKUP(tables_472010!C126,input_472010!A:H,8,FALSE)),0)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input_472010!A$2</f>
        <v>472010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IF(G127="color",IFERROR(VLOOKUP(B127,input_472010!L:R,7,FALSE),VLOOKUP(tables_472010!C127,input_472010!A:H,8,FALSE)),0)</f>
        <v>86250</v>
      </c>
      <c r="P127" s="46">
        <f t="shared" ca="1" si="5"/>
        <v>3.5937500000299487E-2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input_472010!A$2</f>
        <v>472010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IF(G128="color",IFERROR(VLOOKUP(B128,input_472010!L:R,7,FALSE),VLOOKUP(tables_472010!C128,input_472010!A:H,8,FALSE)),0)</f>
        <v>1900</v>
      </c>
      <c r="P128" s="46">
        <f t="shared" ca="1" si="5"/>
        <v>7.9166666667326413E-4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input_472010!A$2</f>
        <v>472010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IF(G129="color",IFERROR(VLOOKUP(B129,input_472010!L:R,7,FALSE),VLOOKUP(tables_472010!C129,input_472010!A:H,8,FALSE)),0)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input_472010!A$2</f>
        <v>472010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IF(G130="color",IFERROR(VLOOKUP(B130,input_472010!L:R,7,FALSE),VLOOKUP(tables_472010!C130,input_472010!A:H,8,FALSE)),0)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input_472010!A$2</f>
        <v>472010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IF(G131="color",IFERROR(VLOOKUP(B131,input_472010!L:R,7,FALSE),VLOOKUP(tables_472010!C131,input_472010!A:H,8,FALSE)),0)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input_472010!A$2</f>
        <v>472010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IF(G132="color",IFERROR(VLOOKUP(B132,input_472010!L:R,7,FALSE),VLOOKUP(tables_472010!C132,input_472010!A:H,8,FALSE)),0)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input_472010!A$2</f>
        <v>472010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IF(G133="color",IFERROR(VLOOKUP(B133,input_472010!L:R,7,FALSE),VLOOKUP(tables_472010!C133,input_472010!A:H,8,FALSE)),0)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input_472010!A$2</f>
        <v>472010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IF(G134="color",IFERROR(VLOOKUP(B134,input_472010!L:R,7,FALSE),VLOOKUP(tables_472010!C134,input_472010!A:H,8,FALSE)),0)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input_472010!A$2</f>
        <v>472010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IF(G135="color",IFERROR(VLOOKUP(B135,input_472010!L:R,7,FALSE),VLOOKUP(tables_472010!C135,input_472010!A:H,8,FALSE)),0)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input_472010!A$2</f>
        <v>472010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IF(G136="color",IFERROR(VLOOKUP(B136,input_472010!L:R,7,FALSE),VLOOKUP(tables_472010!C136,input_472010!A:H,8,FALSE)),0)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input_472010!A$2</f>
        <v>472010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IF(G137="color",IFERROR(VLOOKUP(B137,input_472010!L:R,7,FALSE),VLOOKUP(tables_472010!C137,input_472010!A:H,8,FALSE)),0)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input_472010!A$2</f>
        <v>472010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IF(G138="color",IFERROR(VLOOKUP(B138,input_472010!L:R,7,FALSE),VLOOKUP(tables_472010!C138,input_472010!A:H,8,FALSE)),0)</f>
        <v>7600</v>
      </c>
      <c r="P138" s="46">
        <f t="shared" ca="1" si="9"/>
        <v>3.1666666666930565E-3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input_472010!A$2</f>
        <v>472010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IF(G139="color",IFERROR(VLOOKUP(B139,input_472010!L:R,7,FALSE),VLOOKUP(tables_472010!C139,input_472010!A:H,8,FALSE)),0)</f>
        <v>400</v>
      </c>
      <c r="P139" s="46">
        <f t="shared" ca="1" si="9"/>
        <v>1.6666666666805561E-4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input_472010!A$2</f>
        <v>472010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IF(G140="color",IFERROR(VLOOKUP(B140,input_472010!L:R,7,FALSE),VLOOKUP(tables_472010!C140,input_472010!A:H,8,FALSE)),0)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input_472010!A$2</f>
        <v>472010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IF(G141="color",IFERROR(VLOOKUP(B141,input_472010!L:R,7,FALSE),VLOOKUP(tables_472010!C141,input_472010!A:H,8,FALSE)),0)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input_472010!A$2</f>
        <v>472010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IF(G142="color",IFERROR(VLOOKUP(B142,input_472010!L:R,7,FALSE),VLOOKUP(tables_472010!C142,input_472010!A:H,8,FALSE)),0)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input_472010!A$2</f>
        <v>472010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IF(G143="color",IFERROR(VLOOKUP(B143,input_472010!L:R,7,FALSE),VLOOKUP(tables_472010!C143,input_472010!A:H,8,FALSE)),0)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input_472010!A$2</f>
        <v>472010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IF(G144="color",IFERROR(VLOOKUP(B144,input_472010!L:R,7,FALSE),VLOOKUP(tables_472010!C144,input_472010!A:H,8,FALSE)),0)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input_472010!A$2</f>
        <v>472010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IF(G145="color",IFERROR(VLOOKUP(B145,input_472010!L:R,7,FALSE),VLOOKUP(tables_472010!C145,input_472010!A:H,8,FALSE)),0)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input_472010!A$2</f>
        <v>472010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IF(G146="color",IFERROR(VLOOKUP(B146,input_472010!L:R,7,FALSE),VLOOKUP(tables_472010!C146,input_472010!A:H,8,FALSE)),0)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input_472010!A$2</f>
        <v>472010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IF(G147="color",IFERROR(VLOOKUP(B147,input_472010!L:R,7,FALSE),VLOOKUP(tables_472010!C147,input_472010!A:H,8,FALSE)),0)</f>
        <v>86250</v>
      </c>
      <c r="P147" s="46">
        <f t="shared" ca="1" si="9"/>
        <v>3.5937500000299487E-2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input_472010!A$2</f>
        <v>472010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IF(G148="color",IFERROR(VLOOKUP(B148,input_472010!L:R,7,FALSE),VLOOKUP(tables_472010!C148,input_472010!A:H,8,FALSE)),0)</f>
        <v>1900</v>
      </c>
      <c r="P148" s="46">
        <f t="shared" ca="1" si="9"/>
        <v>7.9166666667326413E-4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input_472010!A$2</f>
        <v>472010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IF(G149="color",IFERROR(VLOOKUP(B149,input_472010!L:R,7,FALSE),VLOOKUP(tables_472010!C149,input_472010!A:H,8,FALSE)),0)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input_472010!A$2</f>
        <v>472010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IF(G150="color",IFERROR(VLOOKUP(B150,input_472010!L:R,7,FALSE),VLOOKUP(tables_472010!C150,input_472010!A:H,8,FALSE)),0)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input_472010!A$2</f>
        <v>472010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IF(G151="color",IFERROR(VLOOKUP(B151,input_472010!L:R,7,FALSE),VLOOKUP(tables_472010!C151,input_472010!A:H,8,FALSE)),0)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input_472010!A$2</f>
        <v>472010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IF(G152="color",IFERROR(VLOOKUP(B152,input_472010!L:R,7,FALSE),VLOOKUP(tables_472010!C152,input_472010!A:H,8,FALSE)),0)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input_472010!A$2</f>
        <v>472010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IF(G153="color",IFERROR(VLOOKUP(B153,input_472010!L:R,7,FALSE),VLOOKUP(tables_472010!C153,input_472010!A:H,8,FALSE)),0)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input_472010!A$2</f>
        <v>472010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IF(G154="color",IFERROR(VLOOKUP(B154,input_472010!L:R,7,FALSE),VLOOKUP(tables_472010!C154,input_472010!A:H,8,FALSE)),0)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input_472010!A$2</f>
        <v>472010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IF(G155="color",IFERROR(VLOOKUP(B155,input_472010!L:R,7,FALSE),VLOOKUP(tables_472010!C155,input_472010!A:H,8,FALSE)),0)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input_472010!A$2</f>
        <v>472010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IF(G156="color",IFERROR(VLOOKUP(B156,input_472010!L:R,7,FALSE),VLOOKUP(tables_472010!C156,input_472010!A:H,8,FALSE)),0)</f>
        <v>7600</v>
      </c>
      <c r="P156" s="46">
        <f t="shared" ca="1" si="9"/>
        <v>3.1666666666930565E-3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input_472010!A$2</f>
        <v>472010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IF(G157="color",IFERROR(VLOOKUP(B157,input_472010!L:R,7,FALSE),VLOOKUP(tables_472010!C157,input_472010!A:H,8,FALSE)),0)</f>
        <v>400</v>
      </c>
      <c r="P157" s="46">
        <f t="shared" ca="1" si="9"/>
        <v>1.6666666666805561E-4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input_472010!A$2</f>
        <v>472010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IF(G158="color",IFERROR(VLOOKUP(B158,input_472010!L:R,7,FALSE),VLOOKUP(tables_472010!C158,input_472010!A:H,8,FALSE)),0)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input_472010!A$2</f>
        <v>472010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IF(G159="color",IFERROR(VLOOKUP(B159,input_472010!L:R,7,FALSE),VLOOKUP(tables_472010!C159,input_472010!A:H,8,FALSE)),0)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input_472010!A$2</f>
        <v>472010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IF(G160="color",IFERROR(VLOOKUP(B160,input_472010!L:R,7,FALSE),VLOOKUP(tables_472010!C160,input_472010!A:H,8,FALSE)),0)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input_472010!A$2</f>
        <v>472010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IF(G161="color",IFERROR(VLOOKUP(B161,input_472010!L:R,7,FALSE),VLOOKUP(tables_472010!C161,input_472010!A:H,8,FALSE)),0)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input_472010!A$2</f>
        <v>472010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IF(G162="color",IFERROR(VLOOKUP(B162,input_472010!L:R,7,FALSE),VLOOKUP(tables_472010!C162,input_472010!A:H,8,FALSE)),0)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input_472010!A$2</f>
        <v>472010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IF(G163="color",IFERROR(VLOOKUP(B163,input_472010!L:R,7,FALSE),VLOOKUP(tables_472010!C163,input_472010!A:H,8,FALSE)),0)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input_472010!A$2</f>
        <v>472010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IF(G164="color",IFERROR(VLOOKUP(B164,input_472010!L:R,7,FALSE),VLOOKUP(tables_472010!C164,input_472010!A:H,8,FALSE)),0)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input_472010!A$2</f>
        <v>472010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IF(G165="color",IFERROR(VLOOKUP(B165,input_472010!L:R,7,FALSE),VLOOKUP(tables_472010!C165,input_472010!A:H,8,FALSE)),0)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input_472010!A$2</f>
        <v>472010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IF(G166="color",IFERROR(VLOOKUP(B166,input_472010!L:R,7,FALSE),VLOOKUP(tables_472010!C166,input_472010!A:H,8,FALSE)),0)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input_472010!A$2</f>
        <v>472010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IF(G167="color",IFERROR(VLOOKUP(B167,input_472010!L:R,7,FALSE),VLOOKUP(tables_472010!C167,input_472010!A:H,8,FALSE)),0)</f>
        <v>86250</v>
      </c>
      <c r="P167" s="46">
        <f t="shared" ca="1" si="9"/>
        <v>3.5937500000299487E-2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input_472010!A$2</f>
        <v>472010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IF(G168="color",IFERROR(VLOOKUP(B168,input_472010!L:R,7,FALSE),VLOOKUP(tables_472010!C168,input_472010!A:H,8,FALSE)),0)</f>
        <v>1900</v>
      </c>
      <c r="P168" s="46">
        <f t="shared" ca="1" si="9"/>
        <v>7.9166666667326413E-4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input_472010!A$2</f>
        <v>472010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IF(G169="color",IFERROR(VLOOKUP(B169,input_472010!L:R,7,FALSE),VLOOKUP(tables_472010!C169,input_472010!A:H,8,FALSE)),0)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input_472010!A$2</f>
        <v>472010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IF(G170="color",IFERROR(VLOOKUP(B170,input_472010!L:R,7,FALSE),VLOOKUP(tables_472010!C170,input_472010!A:H,8,FALSE)),0)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input_472010!A$2</f>
        <v>472010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IF(G171="color",IFERROR(VLOOKUP(B171,input_472010!L:R,7,FALSE),VLOOKUP(tables_472010!C171,input_472010!A:H,8,FALSE)),0)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input_472010!A$2</f>
        <v>472010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IF(G172="color",IFERROR(VLOOKUP(B172,input_472010!L:R,7,FALSE),VLOOKUP(tables_472010!C172,input_472010!A:H,8,FALSE)),0)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input_472010!A$2</f>
        <v>472010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IF(G173="color",IFERROR(VLOOKUP(B173,input_472010!L:R,7,FALSE),VLOOKUP(tables_472010!C173,input_472010!A:H,8,FALSE)),0)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input_472010!A$2</f>
        <v>472010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IF(G174="color",IFERROR(VLOOKUP(B174,input_472010!L:R,7,FALSE),VLOOKUP(tables_472010!C174,input_472010!A:H,8,FALSE)),0)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input_472010!A$2</f>
        <v>472010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IF(G175="color",IFERROR(VLOOKUP(B175,input_472010!L:R,7,FALSE),VLOOKUP(tables_472010!C175,input_472010!A:H,8,FALSE)),0)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input_472010!A$2</f>
        <v>472010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IF(G176="color",IFERROR(VLOOKUP(B176,input_472010!L:R,7,FALSE),VLOOKUP(tables_472010!C176,input_472010!A:H,8,FALSE)),0)</f>
        <v>7600</v>
      </c>
      <c r="P176" s="46">
        <f t="shared" ca="1" si="9"/>
        <v>3.1666666666930565E-3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input_472010!A$2</f>
        <v>472010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IF(G177="color",IFERROR(VLOOKUP(B177,input_472010!L:R,7,FALSE),VLOOKUP(tables_472010!C177,input_472010!A:H,8,FALSE)),0)</f>
        <v>400</v>
      </c>
      <c r="P177" s="46">
        <f t="shared" ca="1" si="9"/>
        <v>1.6666666666805561E-4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input_472010!A$2</f>
        <v>472010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IF(G178="color",IFERROR(VLOOKUP(B178,input_472010!L:R,7,FALSE),VLOOKUP(tables_472010!C178,input_472010!A:H,8,FALSE)),0)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input_472010!A$2</f>
        <v>472010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IF(G179="color",IFERROR(VLOOKUP(B179,input_472010!L:R,7,FALSE),VLOOKUP(tables_472010!C179,input_472010!A:H,8,FALSE)),0)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input_472010!A$2</f>
        <v>472010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IF(G180="color",IFERROR(VLOOKUP(B180,input_472010!L:R,7,FALSE),VLOOKUP(tables_472010!C180,input_472010!A:H,8,FALSE)),0)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input_472010!A$2</f>
        <v>472010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IF(G181="color",IFERROR(VLOOKUP(B181,input_472010!L:R,7,FALSE),VLOOKUP(tables_472010!C181,input_472010!A:H,8,FALSE)),0)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input_472010!A$2</f>
        <v>472010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IF(G182="color",IFERROR(VLOOKUP(B182,input_472010!L:R,7,FALSE),VLOOKUP(tables_472010!C182,input_472010!A:H,8,FALSE)),0)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input_472010!A$2</f>
        <v>472010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IF(G183="color",IFERROR(VLOOKUP(B183,input_472010!L:R,7,FALSE),VLOOKUP(tables_472010!C183,input_472010!A:H,8,FALSE)),0)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input_472010!A$2</f>
        <v>472010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IF(G184="color",IFERROR(VLOOKUP(B184,input_472010!L:R,7,FALSE),VLOOKUP(tables_472010!C184,input_472010!A:H,8,FALSE)),0)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input_472010!A$2</f>
        <v>472010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IF(G185="color",IFERROR(VLOOKUP(B185,input_472010!L:R,7,FALSE),VLOOKUP(tables_472010!C185,input_472010!A:H,8,FALSE)),0)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input_472010!A$2</f>
        <v>472010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IF(G186="color",IFERROR(VLOOKUP(B186,input_472010!L:R,7,FALSE),VLOOKUP(tables_472010!C186,input_472010!A:H,8,FALSE)),0)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input_472010!A$2</f>
        <v>472010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IF(G187="color",IFERROR(VLOOKUP(B187,input_472010!L:R,7,FALSE),VLOOKUP(tables_472010!C187,input_472010!A:H,8,FALSE)),0)</f>
        <v>86250</v>
      </c>
      <c r="P187" s="46">
        <f t="shared" ca="1" si="9"/>
        <v>3.5937500000299487E-2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input_472010!A$2</f>
        <v>472010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IF(G188="color",IFERROR(VLOOKUP(B188,input_472010!L:R,7,FALSE),VLOOKUP(tables_472010!C188,input_472010!A:H,8,FALSE)),0)</f>
        <v>1900</v>
      </c>
      <c r="P188" s="46">
        <f t="shared" ca="1" si="9"/>
        <v>7.9166666667326413E-4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input_472010!A$2</f>
        <v>472010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IF(G189="color",IFERROR(VLOOKUP(B189,input_472010!L:R,7,FALSE),VLOOKUP(tables_472010!C189,input_472010!A:H,8,FALSE)),0)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input_472010!A$2</f>
        <v>472010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IF(G190="color",IFERROR(VLOOKUP(B190,input_472010!L:R,7,FALSE),VLOOKUP(tables_472010!C190,input_472010!A:H,8,FALSE)),0)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input_472010!A$2</f>
        <v>472010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IF(G191="color",IFERROR(VLOOKUP(B191,input_472010!L:R,7,FALSE),VLOOKUP(tables_472010!C191,input_472010!A:H,8,FALSE)),0)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input_472010!A$2</f>
        <v>472010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IF(G192="color",IFERROR(VLOOKUP(B192,input_472010!L:R,7,FALSE),VLOOKUP(tables_472010!C192,input_472010!A:H,8,FALSE)),0)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input_472010!A$2</f>
        <v>472010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IF(G193="color",IFERROR(VLOOKUP(B193,input_472010!L:R,7,FALSE),VLOOKUP(tables_472010!C193,input_472010!A:H,8,FALSE)),0)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input_472010!A$2</f>
        <v>472010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IF(G194="color",IFERROR(VLOOKUP(B194,input_472010!L:R,7,FALSE),VLOOKUP(tables_472010!C194,input_472010!A:H,8,FALSE)),0)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input_472010!A$2</f>
        <v>472010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IF(G195="color",IFERROR(VLOOKUP(B195,input_472010!L:R,7,FALSE),VLOOKUP(tables_472010!C195,input_472010!A:H,8,FALSE)),0)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input_472010!A$2</f>
        <v>472010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IF(G196="color",IFERROR(VLOOKUP(B196,input_472010!L:R,7,FALSE),VLOOKUP(tables_472010!C196,input_472010!A:H,8,FALSE)),0)</f>
        <v>7600</v>
      </c>
      <c r="P196" s="46">
        <f t="shared" ca="1" si="13"/>
        <v>3.1666666666930565E-3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input_472010!A$2</f>
        <v>472010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IF(G197="color",IFERROR(VLOOKUP(B197,input_472010!L:R,7,FALSE),VLOOKUP(tables_472010!C197,input_472010!A:H,8,FALSE)),0)</f>
        <v>400</v>
      </c>
      <c r="P197" s="46">
        <f t="shared" ca="1" si="13"/>
        <v>1.6666666666805561E-4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input_472010!A$2</f>
        <v>472010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IF(G198="color",IFERROR(VLOOKUP(B198,input_472010!L:R,7,FALSE),VLOOKUP(tables_472010!C198,input_472010!A:H,8,FALSE)),0)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input_472010!A$2</f>
        <v>472010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IF(G199="color",IFERROR(VLOOKUP(B199,input_472010!L:R,7,FALSE),VLOOKUP(tables_472010!C199,input_472010!A:H,8,FALSE)),0)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input_472010!A$2</f>
        <v>472010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IF(G200="color",IFERROR(VLOOKUP(B200,input_472010!L:R,7,FALSE),VLOOKUP(tables_472010!C200,input_472010!A:H,8,FALSE)),0)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input_472010!A$2</f>
        <v>472010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IF(G201="color",IFERROR(VLOOKUP(B201,input_472010!L:R,7,FALSE),VLOOKUP(tables_472010!C201,input_472010!A:H,8,FALSE)),0)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input_472010!A$2</f>
        <v>472010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IF(G202="color",IFERROR(VLOOKUP(B202,input_472010!L:R,7,FALSE),VLOOKUP(tables_472010!C202,input_472010!A:H,8,FALSE)),0)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input_472010!A$2</f>
        <v>472010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IF(G203="color",IFERROR(VLOOKUP(B203,input_472010!L:R,7,FALSE),VLOOKUP(tables_472010!C203,input_472010!A:H,8,FALSE)),0)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input_472010!A$2</f>
        <v>472010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IF(G204="color",IFERROR(VLOOKUP(B204,input_472010!L:R,7,FALSE),VLOOKUP(tables_472010!C204,input_472010!A:H,8,FALSE)),0)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input_472010!A$2</f>
        <v>472010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IF(G205="color",IFERROR(VLOOKUP(B205,input_472010!L:R,7,FALSE),VLOOKUP(tables_472010!C205,input_472010!A:H,8,FALSE)),0)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input_472010!A$2</f>
        <v>472010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IF(G206="color",IFERROR(VLOOKUP(B206,input_472010!L:R,7,FALSE),VLOOKUP(tables_472010!C206,input_472010!A:H,8,FALSE)),0)</f>
        <v>7600</v>
      </c>
      <c r="P206" s="46">
        <f t="shared" ca="1" si="13"/>
        <v>3.1666666666930565E-3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input_472010!A$2</f>
        <v>472010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IF(G207="color",IFERROR(VLOOKUP(B207,input_472010!L:R,7,FALSE),VLOOKUP(tables_472010!C207,input_472010!A:H,8,FALSE)),0)</f>
        <v>400</v>
      </c>
      <c r="P207" s="46">
        <f t="shared" ca="1" si="13"/>
        <v>1.6666666666805561E-4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input_472010!A$2</f>
        <v>472010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IF(G208="color",IFERROR(VLOOKUP(B208,input_472010!L:R,7,FALSE),VLOOKUP(tables_472010!C208,input_472010!A:H,8,FALSE)),0)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input_472010!A$2</f>
        <v>472010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IF(G209="color",IFERROR(VLOOKUP(B209,input_472010!L:R,7,FALSE),VLOOKUP(tables_472010!C209,input_472010!A:H,8,FALSE)),0)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input_472010!A$2</f>
        <v>472010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IF(G210="color",IFERROR(VLOOKUP(B210,input_472010!L:R,7,FALSE),VLOOKUP(tables_472010!C210,input_472010!A:H,8,FALSE)),0)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input_472010!A$2</f>
        <v>472010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IF(G211="color",IFERROR(VLOOKUP(B211,input_472010!L:R,7,FALSE),VLOOKUP(tables_472010!C211,input_472010!A:H,8,FALSE)),0)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input_472010!A$2</f>
        <v>472010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IF(G212="color",IFERROR(VLOOKUP(B212,input_472010!L:R,7,FALSE),VLOOKUP(tables_472010!C212,input_472010!A:H,8,FALSE)),0)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input_472010!A$2</f>
        <v>472010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IF(G213="color",IFERROR(VLOOKUP(B213,input_472010!L:R,7,FALSE),VLOOKUP(tables_472010!C213,input_472010!A:H,8,FALSE)),0)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input_472010!A$2</f>
        <v>472010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IF(G214="color",IFERROR(VLOOKUP(B214,input_472010!L:R,7,FALSE),VLOOKUP(tables_472010!C214,input_472010!A:H,8,FALSE)),0)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input_472010!A$2</f>
        <v>472010</v>
      </c>
      <c r="B215" s="6">
        <v>560</v>
      </c>
      <c r="C215" s="7" t="str">
        <f t="shared" si="12"/>
        <v>premium5R3lesscolor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IF(G215="color",IFERROR(VLOOKUP(B215,input_472010!L:R,7,FALSE),VLOOKUP(tables_472010!C215,input_472010!A:H,8,FALSE)),0)</f>
        <v>4750</v>
      </c>
      <c r="P215" s="46">
        <f t="shared" ca="1" si="13"/>
        <v>1.9791666666831602E-3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input_472010!A$2</f>
        <v>472010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IF(G216="color",IFERROR(VLOOKUP(B216,input_472010!L:R,7,FALSE),VLOOKUP(tables_472010!C216,input_472010!A:H,8,FALSE)),0)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input_472010!A$2</f>
        <v>472010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IF(G217="color",IFERROR(VLOOKUP(B217,input_472010!L:R,7,FALSE),VLOOKUP(tables_472010!C217,input_472010!A:H,8,FALSE)),0)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input_472010!A$2</f>
        <v>472010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IF(G218="color",IFERROR(VLOOKUP(B218,input_472010!L:R,7,FALSE),VLOOKUP(tables_472010!C218,input_472010!A:H,8,FALSE)),0)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input_472010!A$2</f>
        <v>472010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IF(G219="color",IFERROR(VLOOKUP(B219,input_472010!L:R,7,FALSE),VLOOKUP(tables_472010!C219,input_472010!A:H,8,FALSE)),0)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input_472010!A$2</f>
        <v>472010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IF(G220="color",IFERROR(VLOOKUP(B220,input_472010!L:R,7,FALSE),VLOOKUP(tables_472010!C220,input_472010!A:H,8,FALSE)),0)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input_472010!A$2</f>
        <v>472010</v>
      </c>
      <c r="B221" s="6">
        <v>586</v>
      </c>
      <c r="C221" s="7" t="str">
        <f t="shared" si="12"/>
        <v>PremiumSS4color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IF(G221="color",IFERROR(VLOOKUP(B221,input_472010!L:R,7,FALSE),VLOOKUP(tables_472010!C221,input_472010!A:H,8,FALSE)),0)</f>
        <v>7600</v>
      </c>
      <c r="P221" s="46">
        <f t="shared" ca="1" si="13"/>
        <v>3.1666666666930565E-3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input_472010!A$2</f>
        <v>472010</v>
      </c>
      <c r="B222" s="6">
        <v>587</v>
      </c>
      <c r="C222" s="7" t="str">
        <f t="shared" si="12"/>
        <v>PremiumSS5color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IF(G222="color",IFERROR(VLOOKUP(B222,input_472010!L:R,7,FALSE),VLOOKUP(tables_472010!C222,input_472010!A:H,8,FALSE)),0)</f>
        <v>400</v>
      </c>
      <c r="P222" s="46">
        <f t="shared" ca="1" si="13"/>
        <v>1.6666666666805561E-4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input_472010!A$2</f>
        <v>472010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IF(G223="color",IFERROR(VLOOKUP(B223,input_472010!L:R,7,FALSE),VLOOKUP(tables_472010!C223,input_472010!A:H,8,FALSE)),0)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input_472010!A$2</f>
        <v>472010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IF(G224="color",IFERROR(VLOOKUP(B224,input_472010!L:R,7,FALSE),VLOOKUP(tables_472010!C224,input_472010!A:H,8,FALSE)),0)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input_472010!A$2</f>
        <v>472010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IF(G225="color",IFERROR(VLOOKUP(B225,input_472010!L:R,7,FALSE),VLOOKUP(tables_472010!C225,input_472010!A:H,8,FALSE)),0)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input_472010!A$2</f>
        <v>472010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IF(G226="color",IFERROR(VLOOKUP(B226,input_472010!L:R,7,FALSE),VLOOKUP(tables_472010!C226,input_472010!A:H,8,FALSE)),0)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input_472010!A$2</f>
        <v>472010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IF(G227="color",IFERROR(VLOOKUP(B227,input_472010!L:R,7,FALSE),VLOOKUP(tables_472010!C227,input_472010!A:H,8,FALSE)),0)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input_472010!A$2</f>
        <v>472010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IF(G228="color",IFERROR(VLOOKUP(B228,input_472010!L:R,7,FALSE),VLOOKUP(tables_472010!C228,input_472010!A:H,8,FALSE)),0)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input_472010!A$2</f>
        <v>472010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IF(G229="color",IFERROR(VLOOKUP(B229,input_472010!L:R,7,FALSE),VLOOKUP(tables_472010!C229,input_472010!A:H,8,FALSE)),0)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input_472010!A$2</f>
        <v>472010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IF(G230="color",IFERROR(VLOOKUP(B230,input_472010!L:R,7,FALSE),VLOOKUP(tables_472010!C230,input_472010!A:H,8,FALSE)),0)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input_472010!A$2</f>
        <v>472010</v>
      </c>
      <c r="B231" s="6">
        <v>596</v>
      </c>
      <c r="C231" s="7" t="str">
        <f t="shared" si="12"/>
        <v>Premium3color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IF(G231="color",IFERROR(VLOOKUP(B231,input_472010!L:R,7,FALSE),VLOOKUP(tables_472010!C231,input_472010!A:H,8,FALSE)),0)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input_472010!A$2</f>
        <v>472010</v>
      </c>
      <c r="B232" s="6">
        <v>597</v>
      </c>
      <c r="C232" s="7" t="str">
        <f t="shared" si="12"/>
        <v>Premium4color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IF(G232="color",IFERROR(VLOOKUP(B232,input_472010!L:R,7,FALSE),VLOOKUP(tables_472010!C232,input_472010!A:H,8,FALSE)),0)</f>
        <v>86250</v>
      </c>
      <c r="P232" s="46">
        <f t="shared" ca="1" si="13"/>
        <v>3.5937500000299487E-2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input_472010!A$2</f>
        <v>472010</v>
      </c>
      <c r="B233" s="6">
        <v>598</v>
      </c>
      <c r="C233" s="7" t="str">
        <f t="shared" si="12"/>
        <v>Premium5color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IF(G233="color",IFERROR(VLOOKUP(B233,input_472010!L:R,7,FALSE),VLOOKUP(tables_472010!C233,input_472010!A:H,8,FALSE)),0)</f>
        <v>1900</v>
      </c>
      <c r="P233" s="46">
        <f t="shared" ca="1" si="13"/>
        <v>7.9166666667326413E-4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input_472010!A$2</f>
        <v>472010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IF(G234="color",IFERROR(VLOOKUP(B234,input_472010!L:R,7,FALSE),VLOOKUP(tables_472010!C234,input_472010!A:H,8,FALSE)),0)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input_472010!A$2</f>
        <v>472010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IF(G235="color",IFERROR(VLOOKUP(B235,input_472010!L:R,7,FALSE),VLOOKUP(tables_472010!C235,input_472010!A:H,8,FALSE)),0)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input_472010!A$2</f>
        <v>472010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IF(G236="color",IFERROR(VLOOKUP(B236,input_472010!L:R,7,FALSE),VLOOKUP(tables_472010!C236,input_472010!A:H,8,FALSE)),0)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input_472010!A$2</f>
        <v>472010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IF(G237="color",IFERROR(VLOOKUP(B237,input_472010!L:R,7,FALSE),VLOOKUP(tables_472010!C237,input_472010!A:H,8,FALSE)),0)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input_472010!A$2</f>
        <v>472010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IF(G238="color",IFERROR(VLOOKUP(B238,input_472010!L:R,7,FALSE),VLOOKUP(tables_472010!C238,input_472010!A:H,8,FALSE)),0)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input_472010!A$2</f>
        <v>472010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IF(G239="color",IFERROR(VLOOKUP(B239,input_472010!L:R,7,FALSE),VLOOKUP(tables_472010!C239,input_472010!A:H,8,FALSE)),0)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input_472010!A$2</f>
        <v>472010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IF(G240="color",IFERROR(VLOOKUP(B240,input_472010!L:R,7,FALSE),VLOOKUP(tables_472010!C240,input_472010!A:H,8,FALSE)),0)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input_472010!A$2</f>
        <v>472010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IF(G241="color",IFERROR(VLOOKUP(B241,input_472010!L:R,7,FALSE),VLOOKUP(tables_472010!C241,input_472010!A:H,8,FALSE)),0)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input_472010!A$2</f>
        <v>472010</v>
      </c>
      <c r="B242" s="6">
        <v>658</v>
      </c>
      <c r="C242" s="7" t="str">
        <f t="shared" si="12"/>
        <v>PremiumSS4color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IF(G242="color",IFERROR(VLOOKUP(B242,input_472010!L:R,7,FALSE),VLOOKUP(tables_472010!C242,input_472010!A:H,8,FALSE)),0)</f>
        <v>7600</v>
      </c>
      <c r="P242" s="46">
        <f t="shared" ca="1" si="13"/>
        <v>3.1666666666930565E-3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input_472010!A$2</f>
        <v>472010</v>
      </c>
      <c r="B243" s="6">
        <v>659</v>
      </c>
      <c r="C243" s="7" t="str">
        <f t="shared" si="12"/>
        <v>PremiumSS5color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IF(G243="color",IFERROR(VLOOKUP(B243,input_472010!L:R,7,FALSE),VLOOKUP(tables_472010!C243,input_472010!A:H,8,FALSE)),0)</f>
        <v>400</v>
      </c>
      <c r="P243" s="46">
        <f t="shared" ca="1" si="13"/>
        <v>1.6666666666805561E-4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input_472010!A$2</f>
        <v>472010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IF(G244="color",IFERROR(VLOOKUP(B244,input_472010!L:R,7,FALSE),VLOOKUP(tables_472010!C244,input_472010!A:H,8,FALSE)),0)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input_472010!A$2</f>
        <v>472010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IF(G245="color",IFERROR(VLOOKUP(B245,input_472010!L:R,7,FALSE),VLOOKUP(tables_472010!C245,input_472010!A:H,8,FALSE)),0)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input_472010!A$2</f>
        <v>472010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IF(G246="color",IFERROR(VLOOKUP(B246,input_472010!L:R,7,FALSE),VLOOKUP(tables_472010!C246,input_472010!A:H,8,FALSE)),0)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input_472010!A$2</f>
        <v>472010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IF(G247="color",IFERROR(VLOOKUP(B247,input_472010!L:R,7,FALSE),VLOOKUP(tables_472010!C247,input_472010!A:H,8,FALSE)),0)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input_472010!A$2</f>
        <v>472010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IF(G248="color",IFERROR(VLOOKUP(B248,input_472010!L:R,7,FALSE),VLOOKUP(tables_472010!C248,input_472010!A:H,8,FALSE)),0)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input_472010!A$2</f>
        <v>472010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IF(G249="color",IFERROR(VLOOKUP(B249,input_472010!L:R,7,FALSE),VLOOKUP(tables_472010!C249,input_472010!A:H,8,FALSE)),0)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input_472010!A$2</f>
        <v>472010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IF(G250="color",IFERROR(VLOOKUP(B250,input_472010!L:R,7,FALSE),VLOOKUP(tables_472010!C250,input_472010!A:H,8,FALSE)),0)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input_472010!A$2</f>
        <v>472010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IF(G251="color",IFERROR(VLOOKUP(B251,input_472010!L:R,7,FALSE),VLOOKUP(tables_472010!C251,input_472010!A:H,8,FALSE)),0)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input_472010!A$2</f>
        <v>472010</v>
      </c>
      <c r="B252" s="60">
        <v>668</v>
      </c>
      <c r="C252" s="7" t="str">
        <f t="shared" si="12"/>
        <v>Premium3color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IF(G252="color",IFERROR(VLOOKUP(B252,input_472010!L:R,7,FALSE),VLOOKUP(tables_472010!C252,input_472010!A:H,8,FALSE)),0)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input_472010!A$2</f>
        <v>472010</v>
      </c>
      <c r="B253" s="60">
        <v>669</v>
      </c>
      <c r="C253" s="7" t="str">
        <f t="shared" si="12"/>
        <v>Premium4color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IF(G253="color",IFERROR(VLOOKUP(B253,input_472010!L:R,7,FALSE),VLOOKUP(tables_472010!C253,input_472010!A:H,8,FALSE)),0)</f>
        <v>86250</v>
      </c>
      <c r="P253" s="46">
        <f t="shared" ca="1" si="13"/>
        <v>3.5937500000299487E-2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input_472010!A$2</f>
        <v>472010</v>
      </c>
      <c r="B254" s="60">
        <v>670</v>
      </c>
      <c r="C254" s="7" t="str">
        <f t="shared" si="12"/>
        <v>Premium5color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IF(G254="color",IFERROR(VLOOKUP(B254,input_472010!L:R,7,FALSE),VLOOKUP(tables_472010!C254,input_472010!A:H,8,FALSE)),0)</f>
        <v>1900</v>
      </c>
      <c r="P254" s="46">
        <f t="shared" ca="1" si="13"/>
        <v>7.9166666667326413E-4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input_472010!A$2</f>
        <v>472010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IF(G255="color",IFERROR(VLOOKUP(B255,input_472010!L:R,7,FALSE),VLOOKUP(tables_472010!C255,input_472010!A:H,8,FALSE)),0)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input_472010!A$2</f>
        <v>472010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IF(G256="color",IFERROR(VLOOKUP(B256,input_472010!L:R,7,FALSE),VLOOKUP(tables_472010!C256,input_472010!A:H,8,FALSE)),0)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input_472010!A$2</f>
        <v>472010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IF(G257="color",IFERROR(VLOOKUP(B257,input_472010!L:R,7,FALSE),VLOOKUP(tables_472010!C257,input_472010!A:H,8,FALSE)),0)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input_472010!A$2</f>
        <v>472010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IF(G258="color",IFERROR(VLOOKUP(B258,input_472010!L:R,7,FALSE),VLOOKUP(tables_472010!C258,input_472010!A:H,8,FALSE)),0)</f>
        <v>0</v>
      </c>
      <c r="P258" s="46">
        <f t="shared" ref="P258:P321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input_472010!A$2</f>
        <v>472010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IF(G259="color",IFERROR(VLOOKUP(B259,input_472010!L:R,7,FALSE),VLOOKUP(tables_472010!C259,input_472010!A:H,8,FALSE)),0)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input_472010!A$2</f>
        <v>472010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IF(G260="color",IFERROR(VLOOKUP(B260,input_472010!L:R,7,FALSE),VLOOKUP(tables_472010!C260,input_472010!A:H,8,FALSE)),0)</f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input_472010!A$2</f>
        <v>472010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IF(G261="color",IFERROR(VLOOKUP(B261,input_472010!L:R,7,FALSE),VLOOKUP(tables_472010!C261,input_472010!A:H,8,FALSE)),0)</f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input_472010!A$2</f>
        <v>472010</v>
      </c>
      <c r="B262" s="60">
        <v>728</v>
      </c>
      <c r="C262" s="7" t="str">
        <f t="shared" si="16"/>
        <v>Premium4R3lesscolor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IF(G262="color",IFERROR(VLOOKUP(B262,input_472010!L:R,7,FALSE),VLOOKUP(tables_472010!C262,input_472010!A:H,8,FALSE)),0)</f>
        <v>81458.333329999994</v>
      </c>
      <c r="P262" s="46">
        <f t="shared" ca="1" si="17"/>
        <v>3.3940972221116181E-2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input_472010!A$2</f>
        <v>472010</v>
      </c>
      <c r="B263" s="60">
        <v>729</v>
      </c>
      <c r="C263" s="7" t="str">
        <f t="shared" si="16"/>
        <v>Premium5R3lesscolor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IF(G263="color",IFERROR(VLOOKUP(B263,input_472010!L:R,7,FALSE),VLOOKUP(tables_472010!C263,input_472010!A:H,8,FALSE)),0)</f>
        <v>4750</v>
      </c>
      <c r="P263" s="46">
        <f t="shared" ca="1" si="17"/>
        <v>1.9791666666831602E-3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input_472010!A$2</f>
        <v>472010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IF(G264="color",IFERROR(VLOOKUP(B264,input_472010!L:R,7,FALSE),VLOOKUP(tables_472010!C264,input_472010!A:H,8,FALSE)),0)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input_472010!A$2</f>
        <v>472010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IF(G265="color",IFERROR(VLOOKUP(B265,input_472010!L:R,7,FALSE),VLOOKUP(tables_472010!C265,input_472010!A:H,8,FALSE)),0)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input_472010!A$2</f>
        <v>472010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IF(G266="color",IFERROR(VLOOKUP(B266,input_472010!L:R,7,FALSE),VLOOKUP(tables_472010!C266,input_472010!A:H,8,FALSE)),0)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input_472010!A$2</f>
        <v>472010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IF(G267="color",IFERROR(VLOOKUP(B267,input_472010!L:R,7,FALSE),VLOOKUP(tables_472010!C267,input_472010!A:H,8,FALSE)),0)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input_472010!A$2</f>
        <v>472010</v>
      </c>
      <c r="B268" s="60">
        <v>742</v>
      </c>
      <c r="C268" s="7" t="str">
        <f t="shared" si="16"/>
        <v>PremiumSS5R5onlycolor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IF(G268="color",IFERROR(VLOOKUP(B268,input_472010!L:R,7,FALSE),VLOOKUP(tables_472010!C268,input_472010!A:H,8,FALSE)),0)</f>
        <v>8000</v>
      </c>
      <c r="P268" s="46">
        <f t="shared" ca="1" si="17"/>
        <v>3.3333333333611121E-3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input_472010!A$2</f>
        <v>472010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IF(G269="color",IFERROR(VLOOKUP(B269,input_472010!L:R,7,FALSE),VLOOKUP(tables_472010!C269,input_472010!A:H,8,FALSE)),0)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input_472010!A$2</f>
        <v>472010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IF(G270="color",IFERROR(VLOOKUP(B270,input_472010!L:R,7,FALSE),VLOOKUP(tables_472010!C270,input_472010!A:H,8,FALSE)),0)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input_472010!A$2</f>
        <v>472010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IF(G271="color",IFERROR(VLOOKUP(B271,input_472010!L:R,7,FALSE),VLOOKUP(tables_472010!C271,input_472010!A:H,8,FALSE)),0)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input_472010!A$2</f>
        <v>472010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IF(G272="color",IFERROR(VLOOKUP(B272,input_472010!L:R,7,FALSE),VLOOKUP(tables_472010!C272,input_472010!A:H,8,FALSE)),0)</f>
        <v>0</v>
      </c>
      <c r="P272" s="46">
        <f t="shared" ca="1" si="17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input_472010!A$2</f>
        <v>472010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IF(G273="color",IFERROR(VLOOKUP(B273,input_472010!L:R,7,FALSE),VLOOKUP(tables_472010!C273,input_472010!A:H,8,FALSE)),0)</f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input_472010!A$2</f>
        <v>472010</v>
      </c>
      <c r="B274" s="81">
        <v>770</v>
      </c>
      <c r="C274" s="7" t="str">
        <f t="shared" si="16"/>
        <v>PremiumSS4color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IF(G274="color",IFERROR(VLOOKUP(B274,input_472010!L:R,7,FALSE),VLOOKUP(tables_472010!C274,input_472010!A:H,8,FALSE)),0)</f>
        <v>7600</v>
      </c>
      <c r="P274" s="46">
        <f t="shared" ca="1" si="17"/>
        <v>3.1666666666930565E-3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input_472010!A$2</f>
        <v>472010</v>
      </c>
      <c r="B275" s="81">
        <v>771</v>
      </c>
      <c r="C275" s="7" t="str">
        <f t="shared" si="16"/>
        <v>PremiumSS5color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IF(G275="color",IFERROR(VLOOKUP(B275,input_472010!L:R,7,FALSE),VLOOKUP(tables_472010!C275,input_472010!A:H,8,FALSE)),0)</f>
        <v>400</v>
      </c>
      <c r="P275" s="46">
        <f t="shared" ca="1" si="17"/>
        <v>1.6666666666805561E-4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input_472010!A$2</f>
        <v>472010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IF(G276="color",IFERROR(VLOOKUP(B276,input_472010!L:R,7,FALSE),VLOOKUP(tables_472010!C276,input_472010!A:H,8,FALSE)),0)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input_472010!A$2</f>
        <v>472010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IF(G277="color",IFERROR(VLOOKUP(B277,input_472010!L:R,7,FALSE),VLOOKUP(tables_472010!C277,input_472010!A:H,8,FALSE)),0)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input_472010!A$2</f>
        <v>472010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IF(G278="color",IFERROR(VLOOKUP(B278,input_472010!L:R,7,FALSE),VLOOKUP(tables_472010!C278,input_472010!A:H,8,FALSE)),0)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input_472010!A$2</f>
        <v>472010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IF(G279="color",IFERROR(VLOOKUP(B279,input_472010!L:R,7,FALSE),VLOOKUP(tables_472010!C279,input_472010!A:H,8,FALSE)),0)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input_472010!A$2</f>
        <v>472010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IF(G280="color",IFERROR(VLOOKUP(B280,input_472010!L:R,7,FALSE),VLOOKUP(tables_472010!C280,input_472010!A:H,8,FALSE)),0)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input_472010!A$2</f>
        <v>472010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IF(G281="color",IFERROR(VLOOKUP(B281,input_472010!L:R,7,FALSE),VLOOKUP(tables_472010!C281,input_472010!A:H,8,FALSE)),0)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input_472010!A$2</f>
        <v>472010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IF(G282="color",IFERROR(VLOOKUP(B282,input_472010!L:R,7,FALSE),VLOOKUP(tables_472010!C282,input_472010!A:H,8,FALSE)),0)</f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input_472010!A$2</f>
        <v>472010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IF(G283="color",IFERROR(VLOOKUP(B283,input_472010!L:R,7,FALSE),VLOOKUP(tables_472010!C283,input_472010!A:H,8,FALSE)),0)</f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input_472010!A$2</f>
        <v>472010</v>
      </c>
      <c r="B284" s="5">
        <v>848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IF(G284="color",IFERROR(VLOOKUP(B284,input_472010!L:R,7,FALSE),VLOOKUP(tables_472010!C284,input_472010!A:H,8,FALSE)),0)</f>
        <v>8000</v>
      </c>
      <c r="P284" s="46">
        <f t="shared" ca="1" si="17"/>
        <v>3.3333333333611121E-3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input_472010!A$2</f>
        <v>472010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IF(G285="color",IFERROR(VLOOKUP(B285,input_472010!L:R,7,FALSE),VLOOKUP(tables_472010!C285,input_472010!A:H,8,FALSE)),0)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input_472010!A$2</f>
        <v>472010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IF(G286="color",IFERROR(VLOOKUP(B286,input_472010!L:R,7,FALSE),VLOOKUP(tables_472010!C286,input_472010!A:H,8,FALSE)),0)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input_472010!A$2</f>
        <v>472010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IF(G287="color",IFERROR(VLOOKUP(B287,input_472010!L:R,7,FALSE),VLOOKUP(tables_472010!C287,input_472010!A:H,8,FALSE)),0)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input_472010!A$2</f>
        <v>472010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IF(G288="color",IFERROR(VLOOKUP(B288,input_472010!L:R,7,FALSE),VLOOKUP(tables_472010!C288,input_472010!A:H,8,FALSE)),0)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input_472010!A$2</f>
        <v>472010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IF(G289="color",IFERROR(VLOOKUP(B289,input_472010!L:R,7,FALSE),VLOOKUP(tables_472010!C289,input_472010!A:H,8,FALSE)),0)</f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input_472010!A$2</f>
        <v>472010</v>
      </c>
      <c r="B290" s="5">
        <v>862</v>
      </c>
      <c r="C290" s="7" t="str">
        <f t="shared" ref="C290:C294" si="21">D290&amp;J290&amp;E290&amp;F290&amp;G290</f>
        <v>Premium4R3lesscolor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IF(G290="color",IFERROR(VLOOKUP(B290,input_472010!L:R,7,FALSE),VLOOKUP(tables_472010!C290,input_472010!A:H,8,FALSE)),0)</f>
        <v>81458.333329999994</v>
      </c>
      <c r="P290" s="46">
        <f t="shared" ca="1" si="17"/>
        <v>3.3940972221116181E-2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input_472010!A$2</f>
        <v>472010</v>
      </c>
      <c r="B291" s="5">
        <v>863</v>
      </c>
      <c r="C291" s="7" t="str">
        <f t="shared" si="21"/>
        <v>Premium5R3lesscolor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IF(G291="color",IFERROR(VLOOKUP(B291,input_472010!L:R,7,FALSE),VLOOKUP(tables_472010!C291,input_472010!A:H,8,FALSE)),0)</f>
        <v>4750</v>
      </c>
      <c r="P291" s="46">
        <f t="shared" ca="1" si="17"/>
        <v>1.9791666666831602E-3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input_472010!A$2</f>
        <v>472010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IF(G292="color",IFERROR(VLOOKUP(B292,input_472010!L:R,7,FALSE),VLOOKUP(tables_472010!C292,input_472010!A:H,8,FALSE)),0)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input_472010!A$2</f>
        <v>472010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IF(G293="color",IFERROR(VLOOKUP(B293,input_472010!L:R,7,FALSE),VLOOKUP(tables_472010!C293,input_472010!A:H,8,FALSE)),0)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input_472010!A$2</f>
        <v>472010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IF(G294="color",IFERROR(VLOOKUP(B294,input_472010!L:R,7,FALSE),VLOOKUP(tables_472010!C294,input_472010!A:H,8,FALSE)),0)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input_472010!A$2</f>
        <v>472010</v>
      </c>
      <c r="B295" s="5">
        <v>868</v>
      </c>
      <c r="C295" s="7" t="str">
        <f t="shared" ref="C295:C299" si="22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IF(G295="color",IFERROR(VLOOKUP(B295,input_472010!L:R,7,FALSE),VLOOKUP(tables_472010!C295,input_472010!A:H,8,FALSE)),0)</f>
        <v>0</v>
      </c>
      <c r="P295" s="46">
        <f t="shared" ca="1" si="17"/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input_472010!A$2</f>
        <v>472010</v>
      </c>
      <c r="B296" s="5">
        <v>937</v>
      </c>
      <c r="C296" s="7" t="str">
        <f t="shared" si="22"/>
        <v>PremiumSS5R5onlycolor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IF(G296="color",IFERROR(VLOOKUP(B296,input_472010!L:R,7,FALSE),VLOOKUP(tables_472010!C296,input_472010!A:H,8,FALSE)),0)</f>
        <v>8000</v>
      </c>
      <c r="P296" s="46">
        <f t="shared" ca="1" si="17"/>
        <v>3.3333333333611121E-3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input_472010!A$2</f>
        <v>472010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IF(G297="color",IFERROR(VLOOKUP(B297,input_472010!L:R,7,FALSE),VLOOKUP(tables_472010!C297,input_472010!A:H,8,FALSE)),0)</f>
        <v>0</v>
      </c>
      <c r="P297" s="46">
        <f t="shared" ca="1" si="17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input_472010!A$2</f>
        <v>472010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IF(G298="color",IFERROR(VLOOKUP(B298,input_472010!L:R,7,FALSE),VLOOKUP(tables_472010!C298,input_472010!A:H,8,FALSE)),0)</f>
        <v>0</v>
      </c>
      <c r="P298" s="46">
        <f t="shared" ca="1" si="17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input_472010!A$2</f>
        <v>472010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IF(G299="color",IFERROR(VLOOKUP(B299,input_472010!L:R,7,FALSE),VLOOKUP(tables_472010!C299,input_472010!A:H,8,FALSE)),0)</f>
        <v>0</v>
      </c>
      <c r="P299" s="46">
        <f t="shared" ca="1" si="17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input_472010!A$2</f>
        <v>472010</v>
      </c>
      <c r="B300" s="5">
        <v>943</v>
      </c>
      <c r="C300" s="7" t="str">
        <f t="shared" ref="C300:C304" si="23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IF(G300="color",IFERROR(VLOOKUP(B300,input_472010!L:R,7,FALSE),VLOOKUP(tables_472010!C300,input_472010!A:H,8,FALSE)),0)</f>
        <v>0</v>
      </c>
      <c r="P300" s="46">
        <f t="shared" ca="1" si="17"/>
        <v>0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input_472010!A$2</f>
        <v>472010</v>
      </c>
      <c r="B301" s="5">
        <v>1012</v>
      </c>
      <c r="C301" s="7" t="str">
        <f t="shared" si="23"/>
        <v>PremiumSS5R5onlycolor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IF(G301="color",IFERROR(VLOOKUP(B301,input_472010!L:R,7,FALSE),VLOOKUP(tables_472010!C301,input_472010!A:H,8,FALSE)),0)</f>
        <v>8000</v>
      </c>
      <c r="P301" s="46">
        <f t="shared" ca="1" si="17"/>
        <v>3.3333333333611121E-3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input_472010!A$2</f>
        <v>472010</v>
      </c>
      <c r="B302" s="5">
        <v>1014</v>
      </c>
      <c r="C302" s="7" t="str">
        <f t="shared" si="23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IF(G302="color",IFERROR(VLOOKUP(B302,input_472010!L:R,7,FALSE),VLOOKUP(tables_472010!C302,input_472010!A:H,8,FALSE)),0)</f>
        <v>0</v>
      </c>
      <c r="P302" s="46">
        <f t="shared" ca="1" si="1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input_472010!A$2</f>
        <v>472010</v>
      </c>
      <c r="B303" s="5">
        <v>1016</v>
      </c>
      <c r="C303" s="7" t="str">
        <f t="shared" si="23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IF(G303="color",IFERROR(VLOOKUP(B303,input_472010!L:R,7,FALSE),VLOOKUP(tables_472010!C303,input_472010!A:H,8,FALSE)),0)</f>
        <v>0</v>
      </c>
      <c r="P303" s="46">
        <f t="shared" ca="1" si="17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input_472010!A$2</f>
        <v>472010</v>
      </c>
      <c r="B304" s="5">
        <v>1017</v>
      </c>
      <c r="C304" s="7" t="str">
        <f t="shared" si="23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IF(G304="color",IFERROR(VLOOKUP(B304,input_472010!L:R,7,FALSE),VLOOKUP(tables_472010!C304,input_472010!A:H,8,FALSE)),0)</f>
        <v>0</v>
      </c>
      <c r="P304" s="46">
        <f t="shared" ca="1" si="17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input_472010!A$2</f>
        <v>472010</v>
      </c>
      <c r="B305" s="5">
        <v>1018</v>
      </c>
      <c r="C305" s="7" t="str">
        <f t="shared" ref="C305:C309" si="24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IF(G305="color",IFERROR(VLOOKUP(B305,input_472010!L:R,7,FALSE),VLOOKUP(tables_472010!C305,input_472010!A:H,8,FALSE)),0)</f>
        <v>0</v>
      </c>
      <c r="P305" s="46">
        <f t="shared" ca="1" si="17"/>
        <v>0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input_472010!A$2</f>
        <v>472010</v>
      </c>
      <c r="B306" s="5">
        <v>1026</v>
      </c>
      <c r="C306" s="7" t="str">
        <f t="shared" si="24"/>
        <v>Premium4R3lesscolor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IF(G306="color",IFERROR(VLOOKUP(B306,input_472010!L:R,7,FALSE),VLOOKUP(tables_472010!C306,input_472010!A:H,8,FALSE)),0)</f>
        <v>81458.333329999994</v>
      </c>
      <c r="P306" s="46">
        <f t="shared" ca="1" si="17"/>
        <v>3.3940972221116181E-2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input_472010!A$2</f>
        <v>472010</v>
      </c>
      <c r="B307" s="5">
        <v>1027</v>
      </c>
      <c r="C307" s="7" t="str">
        <f t="shared" si="24"/>
        <v>Premium5R3lesscolor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IF(G307="color",IFERROR(VLOOKUP(B307,input_472010!L:R,7,FALSE),VLOOKUP(tables_472010!C307,input_472010!A:H,8,FALSE)),0)</f>
        <v>4750</v>
      </c>
      <c r="P307" s="46">
        <f t="shared" ca="1" si="17"/>
        <v>1.9791666666831602E-3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input_472010!A$2</f>
        <v>472010</v>
      </c>
      <c r="B308" s="5">
        <v>1028</v>
      </c>
      <c r="C308" s="7" t="str">
        <f t="shared" si="24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IF(G308="color",IFERROR(VLOOKUP(B308,input_472010!L:R,7,FALSE),VLOOKUP(tables_472010!C308,input_472010!A:H,8,FALSE)),0)</f>
        <v>0</v>
      </c>
      <c r="P308" s="46">
        <f t="shared" ca="1" si="1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input_472010!A$2</f>
        <v>472010</v>
      </c>
      <c r="B309" s="5">
        <v>1031</v>
      </c>
      <c r="C309" s="7" t="str">
        <f t="shared" si="24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IF(G309="color",IFERROR(VLOOKUP(B309,input_472010!L:R,7,FALSE),VLOOKUP(tables_472010!C309,input_472010!A:H,8,FALSE)),0)</f>
        <v>0</v>
      </c>
      <c r="P309" s="46">
        <f t="shared" ca="1" si="17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input_472010!A$2</f>
        <v>472010</v>
      </c>
      <c r="B310" s="5">
        <v>1033</v>
      </c>
      <c r="C310" s="7" t="str">
        <f t="shared" ref="C310:C314" si="25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IF(G310="color",IFERROR(VLOOKUP(B310,input_472010!L:R,7,FALSE),VLOOKUP(tables_472010!C310,input_472010!A:H,8,FALSE)),0)</f>
        <v>0</v>
      </c>
      <c r="P310" s="46">
        <f t="shared" ca="1" si="17"/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input_472010!A$2</f>
        <v>472010</v>
      </c>
      <c r="B311" s="5">
        <v>1067</v>
      </c>
      <c r="C311" s="7" t="str">
        <f t="shared" si="25"/>
        <v>Premium4R3lesscolor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IF(G311="color",IFERROR(VLOOKUP(B311,input_472010!L:R,7,FALSE),VLOOKUP(tables_472010!C311,input_472010!A:H,8,FALSE)),0)</f>
        <v>81458.333329999994</v>
      </c>
      <c r="P311" s="46">
        <f t="shared" ca="1" si="17"/>
        <v>3.3940972221116181E-2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input_472010!A$2</f>
        <v>472010</v>
      </c>
      <c r="B312" s="5">
        <v>1068</v>
      </c>
      <c r="C312" s="7" t="str">
        <f t="shared" si="25"/>
        <v>Premium5R3lesscolor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IF(G312="color",IFERROR(VLOOKUP(B312,input_472010!L:R,7,FALSE),VLOOKUP(tables_472010!C312,input_472010!A:H,8,FALSE)),0)</f>
        <v>4750</v>
      </c>
      <c r="P312" s="46">
        <f t="shared" ca="1" si="17"/>
        <v>1.9791666666831602E-3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input_472010!A$2</f>
        <v>472010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IF(G313="color",IFERROR(VLOOKUP(B313,input_472010!L:R,7,FALSE),VLOOKUP(tables_472010!C313,input_472010!A:H,8,FALSE)),0)</f>
        <v>0</v>
      </c>
      <c r="P313" s="46">
        <f t="shared" ca="1" si="17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input_472010!A$2</f>
        <v>472010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IF(G314="color",IFERROR(VLOOKUP(B314,input_472010!L:R,7,FALSE),VLOOKUP(tables_472010!C314,input_472010!A:H,8,FALSE)),0)</f>
        <v>0</v>
      </c>
      <c r="P314" s="46">
        <f t="shared" ca="1" si="17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input_472010!A$2</f>
        <v>472010</v>
      </c>
      <c r="B315" s="5">
        <v>1074</v>
      </c>
      <c r="C315" s="7" t="str">
        <f t="shared" ref="C315:C319" si="26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IF(G315="color",IFERROR(VLOOKUP(B315,input_472010!L:R,7,FALSE),VLOOKUP(tables_472010!C315,input_472010!A:H,8,FALSE)),0)</f>
        <v>0</v>
      </c>
      <c r="P315" s="46">
        <f t="shared" ca="1" si="17"/>
        <v>0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input_472010!A$2</f>
        <v>472010</v>
      </c>
      <c r="B316" s="5">
        <v>1100</v>
      </c>
      <c r="C316" s="7" t="str">
        <f t="shared" si="26"/>
        <v>PremiumSS5R5onlycolor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IF(G316="color",IFERROR(VLOOKUP(B316,input_472010!L:R,7,FALSE),VLOOKUP(tables_472010!C316,input_472010!A:H,8,FALSE)),0)</f>
        <v>8000</v>
      </c>
      <c r="P316" s="46">
        <f t="shared" ca="1" si="17"/>
        <v>3.3333333333611121E-3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input_472010!A$2</f>
        <v>472010</v>
      </c>
      <c r="B317" s="5">
        <v>1102</v>
      </c>
      <c r="C317" s="7" t="str">
        <f t="shared" si="2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IF(G317="color",IFERROR(VLOOKUP(B317,input_472010!L:R,7,FALSE),VLOOKUP(tables_472010!C317,input_472010!A:H,8,FALSE)),0)</f>
        <v>0</v>
      </c>
      <c r="P317" s="46">
        <f t="shared" ca="1" si="1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input_472010!A$2</f>
        <v>472010</v>
      </c>
      <c r="B318" s="5">
        <v>1104</v>
      </c>
      <c r="C318" s="7" t="str">
        <f t="shared" si="2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IF(G318="color",IFERROR(VLOOKUP(B318,input_472010!L:R,7,FALSE),VLOOKUP(tables_472010!C318,input_472010!A:H,8,FALSE)),0)</f>
        <v>0</v>
      </c>
      <c r="P318" s="46">
        <f t="shared" ca="1" si="17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input_472010!A$2</f>
        <v>472010</v>
      </c>
      <c r="B319" s="5">
        <v>1105</v>
      </c>
      <c r="C319" s="7" t="str">
        <f t="shared" si="2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IF(G319="color",IFERROR(VLOOKUP(B319,input_472010!L:R,7,FALSE),VLOOKUP(tables_472010!C319,input_472010!A:H,8,FALSE)),0)</f>
        <v>0</v>
      </c>
      <c r="P319" s="46">
        <f t="shared" ca="1" si="17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input_472010!A$2</f>
        <v>472010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IF(G320="color",IFERROR(VLOOKUP(B320,input_472010!L:R,7,FALSE),VLOOKUP(tables_472010!C320,input_472010!A:H,8,FALSE)),0)</f>
        <v>0</v>
      </c>
      <c r="P320" s="46">
        <f t="shared" ca="1" si="17"/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input_472010!A$2</f>
        <v>472010</v>
      </c>
      <c r="B321" s="5">
        <v>1137</v>
      </c>
      <c r="C321" s="7" t="str">
        <f t="shared" si="27"/>
        <v>PremiumSS5R5onlycolor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IF(G321="color",IFERROR(VLOOKUP(B321,input_472010!L:R,7,FALSE),VLOOKUP(tables_472010!C321,input_472010!A:H,8,FALSE)),0)</f>
        <v>8000</v>
      </c>
      <c r="P321" s="46">
        <f t="shared" ca="1" si="17"/>
        <v>3.3333333333611121E-3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input_472010!A$2</f>
        <v>472010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IF(G322="color",IFERROR(VLOOKUP(B322,input_472010!L:R,7,FALSE),VLOOKUP(tables_472010!C322,input_472010!A:H,8,FALSE)),0)</f>
        <v>0</v>
      </c>
      <c r="P322" s="46">
        <f t="shared" ref="P322:P330" ca="1" si="28">O322/SUM(O:O)</f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input_472010!A$2</f>
        <v>472010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30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IF(G323="color",IFERROR(VLOOKUP(B323,input_472010!L:R,7,FALSE),VLOOKUP(tables_472010!C323,input_472010!A:H,8,FALSE)),0)</f>
        <v>0</v>
      </c>
      <c r="P323" s="46">
        <f t="shared" ca="1" si="28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input_472010!A$2</f>
        <v>472010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IF(G324="color",IFERROR(VLOOKUP(B324,input_472010!L:R,7,FALSE),VLOOKUP(tables_472010!C324,input_472010!A:H,8,FALSE)),0)</f>
        <v>0</v>
      </c>
      <c r="P324" s="46">
        <f t="shared" ca="1" si="28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input_472010!A$2</f>
        <v>472010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0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IF(G325="color",IFERROR(VLOOKUP(B325,input_472010!L:R,7,FALSE),VLOOKUP(tables_472010!C325,input_472010!A:H,8,FALSE)),0)</f>
        <v>0</v>
      </c>
      <c r="P325" s="46">
        <f t="shared" ca="1" si="28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input_472010!A$2</f>
        <v>472010</v>
      </c>
      <c r="B326" s="2">
        <v>1151</v>
      </c>
      <c r="C326" s="7" t="str">
        <f t="shared" si="31"/>
        <v>Premium4R3lesscolor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0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IF(G326="color",IFERROR(VLOOKUP(B326,input_472010!L:R,7,FALSE),VLOOKUP(tables_472010!C326,input_472010!A:H,8,FALSE)),0)</f>
        <v>81458.333329999994</v>
      </c>
      <c r="P326" s="46">
        <f t="shared" ca="1" si="28"/>
        <v>3.3940972221116181E-2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input_472010!A$2</f>
        <v>472010</v>
      </c>
      <c r="B327" s="2">
        <v>1152</v>
      </c>
      <c r="C327" s="7" t="str">
        <f t="shared" si="31"/>
        <v>Premium5R3lesscolor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0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IF(G327="color",IFERROR(VLOOKUP(B327,input_472010!L:R,7,FALSE),VLOOKUP(tables_472010!C327,input_472010!A:H,8,FALSE)),0)</f>
        <v>4750</v>
      </c>
      <c r="P327" s="46">
        <f t="shared" ca="1" si="28"/>
        <v>1.9791666666831602E-3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input_472010!A$2</f>
        <v>472010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0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IF(G328="color",IFERROR(VLOOKUP(B328,input_472010!L:R,7,FALSE),VLOOKUP(tables_472010!C328,input_472010!A:H,8,FALSE)),0)</f>
        <v>0</v>
      </c>
      <c r="P328" s="46">
        <f t="shared" ca="1" si="28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input_472010!A$2</f>
        <v>472010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0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IF(G329="color",IFERROR(VLOOKUP(B329,input_472010!L:R,7,FALSE),VLOOKUP(tables_472010!C329,input_472010!A:H,8,FALSE)),0)</f>
        <v>0</v>
      </c>
      <c r="P329" s="46">
        <f t="shared" ca="1" si="28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input_472010!A$2</f>
        <v>472010</v>
      </c>
      <c r="B330" s="2">
        <v>1157</v>
      </c>
      <c r="C330" s="7" t="str">
        <f t="shared" si="31"/>
        <v>PremiumSS5R5only</v>
      </c>
      <c r="D330" s="96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0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IF(G330="color",IFERROR(VLOOKUP(B330,input_472010!L:R,7,FALSE),VLOOKUP(tables_472010!C330,input_472010!A:H,8,FALSE)),0)</f>
        <v>0</v>
      </c>
      <c r="P330" s="46">
        <f t="shared" ca="1" si="28"/>
        <v>0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input_472010!A$2</f>
        <v>472010</v>
      </c>
      <c r="B331" s="60">
        <v>1214</v>
      </c>
      <c r="C331" s="7" t="str">
        <f t="shared" ref="C331:C335" si="32">D331&amp;J331&amp;E331&amp;F331&amp;G331</f>
        <v>PremiumSS5R5only</v>
      </c>
      <c r="D331" s="96" t="str">
        <f t="shared" ref="D331:D335" si="33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0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IF(G331="color",IFERROR(VLOOKUP(B331,input_472010!L:R,7,FALSE),VLOOKUP(tables_472010!C331,input_472010!A:H,8,FALSE)),0)</f>
        <v>0</v>
      </c>
      <c r="P331" s="46">
        <f t="shared" ref="P331:P335" ca="1" si="34">O331/SUM(O:O)</f>
        <v>0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input_472010!A$2</f>
        <v>472010</v>
      </c>
      <c r="B332" s="60">
        <v>1212</v>
      </c>
      <c r="C332" s="7" t="str">
        <f t="shared" si="32"/>
        <v>PremiumSS5R5only</v>
      </c>
      <c r="D332" s="96" t="str">
        <f t="shared" si="3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0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IF(G332="color",IFERROR(VLOOKUP(B332,input_472010!L:R,7,FALSE),VLOOKUP(tables_472010!C332,input_472010!A:H,8,FALSE)),0)</f>
        <v>0</v>
      </c>
      <c r="P332" s="46">
        <f t="shared" ca="1" si="34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input_472010!A$2</f>
        <v>472010</v>
      </c>
      <c r="B333" s="60">
        <v>1208</v>
      </c>
      <c r="C333" s="7" t="str">
        <f t="shared" si="32"/>
        <v>PremiumSS5R5onlycolor</v>
      </c>
      <c r="D333" s="96" t="str">
        <f t="shared" si="3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0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IF(G333="color",IFERROR(VLOOKUP(B333,input_472010!L:R,7,FALSE),VLOOKUP(tables_472010!C333,input_472010!A:H,8,FALSE)),0)</f>
        <v>8000</v>
      </c>
      <c r="P333" s="46">
        <f t="shared" ca="1" si="34"/>
        <v>3.3333333333611121E-3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input_472010!A$2</f>
        <v>472010</v>
      </c>
      <c r="B334" s="93">
        <v>1210</v>
      </c>
      <c r="C334" s="7" t="str">
        <f t="shared" si="32"/>
        <v>Premium4R3less</v>
      </c>
      <c r="D334" s="96" t="str">
        <f t="shared" si="3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0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IF(G334="color",IFERROR(VLOOKUP(B334,input_472010!L:R,7,FALSE),VLOOKUP(tables_472010!C334,input_472010!A:H,8,FALSE)),0)</f>
        <v>0</v>
      </c>
      <c r="P334" s="46">
        <f t="shared" ca="1" si="34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input_472010!A$2</f>
        <v>472010</v>
      </c>
      <c r="B335" s="60">
        <v>1211</v>
      </c>
      <c r="C335" s="7" t="str">
        <f t="shared" si="32"/>
        <v>Premium5R3less</v>
      </c>
      <c r="D335" s="96" t="str">
        <f t="shared" si="3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0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IF(G335="color",IFERROR(VLOOKUP(B335,input_472010!L:R,7,FALSE),VLOOKUP(tables_472010!C335,input_472010!A:H,8,FALSE)),0)</f>
        <v>0</v>
      </c>
      <c r="P335" s="46">
        <f t="shared" ca="1" si="34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input_472010!A$2</f>
        <v>472010</v>
      </c>
      <c r="B336" s="2">
        <v>1224</v>
      </c>
      <c r="C336" s="7" t="str">
        <f t="shared" ref="C336:C340" si="35">D336&amp;J336&amp;E336&amp;F336&amp;G336</f>
        <v>Premium4R3lesscolor</v>
      </c>
      <c r="D336" s="96" t="str">
        <f t="shared" ref="D336:D340" si="3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0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IF(G336="color",IFERROR(VLOOKUP(B336,input_472010!L:R,7,FALSE),VLOOKUP(tables_472010!C336,input_472010!A:H,8,FALSE)),0)</f>
        <v>81458.333329999994</v>
      </c>
      <c r="P336" s="46">
        <f t="shared" ref="P336:P340" ca="1" si="37">O336/SUM(O:O)</f>
        <v>3.3940972221116181E-2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input_472010!A$2</f>
        <v>472010</v>
      </c>
      <c r="B337" s="2">
        <v>1225</v>
      </c>
      <c r="C337" s="7" t="str">
        <f t="shared" si="35"/>
        <v>Premium5R3lesscolor</v>
      </c>
      <c r="D337" s="96" t="str">
        <f t="shared" si="3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0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IF(G337="color",IFERROR(VLOOKUP(B337,input_472010!L:R,7,FALSE),VLOOKUP(tables_472010!C337,input_472010!A:H,8,FALSE)),0)</f>
        <v>4750</v>
      </c>
      <c r="P337" s="46">
        <f t="shared" ca="1" si="37"/>
        <v>1.9791666666831602E-3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input_472010!A$2</f>
        <v>472010</v>
      </c>
      <c r="B338" s="2">
        <v>1226</v>
      </c>
      <c r="C338" s="7" t="str">
        <f t="shared" si="35"/>
        <v>PremiumSS5R5only</v>
      </c>
      <c r="D338" s="96" t="str">
        <f t="shared" si="3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0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IF(G338="color",IFERROR(VLOOKUP(B338,input_472010!L:R,7,FALSE),VLOOKUP(tables_472010!C338,input_472010!A:H,8,FALSE)),0)</f>
        <v>0</v>
      </c>
      <c r="P338" s="46">
        <f t="shared" ca="1" si="37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input_472010!A$2</f>
        <v>472010</v>
      </c>
      <c r="B339" s="2">
        <v>1228</v>
      </c>
      <c r="C339" s="7" t="str">
        <f t="shared" si="35"/>
        <v>PremiumSS5R5only</v>
      </c>
      <c r="D339" s="96" t="str">
        <f t="shared" si="3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0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IF(G339="color",IFERROR(VLOOKUP(B339,input_472010!L:R,7,FALSE),VLOOKUP(tables_472010!C339,input_472010!A:H,8,FALSE)),0)</f>
        <v>0</v>
      </c>
      <c r="P339" s="46">
        <f t="shared" ca="1" si="37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input_472010!A$2</f>
        <v>472010</v>
      </c>
      <c r="B340" s="2">
        <v>1230</v>
      </c>
      <c r="C340" s="7" t="str">
        <f t="shared" si="35"/>
        <v>PremiumSS5R5only</v>
      </c>
      <c r="D340" s="96" t="str">
        <f t="shared" si="3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0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IF(G340="color",IFERROR(VLOOKUP(B340,input_472010!L:R,7,FALSE),VLOOKUP(tables_472010!C340,input_472010!A:H,8,FALSE)),0)</f>
        <v>0</v>
      </c>
      <c r="P340" s="46">
        <f t="shared" ca="1" si="37"/>
        <v>0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5" sqref="B5:B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472011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VLOOKUP(L3,tables_472011!B:C,2,FALSE)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VLOOKUP(L4,tables_472011!B:C,2,FALSE)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3.3333333333333335E-3</v>
      </c>
      <c r="F5">
        <f>(COUNTIF(tables_472011!C:C,input_472011!A28)+COUNTIF(tables_472011!C:C,input_472011!A29))</f>
        <v>15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VLOOKUP(L5,tables_472011!B:C,2,FALSE)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3.9583333333333331E-2</v>
      </c>
      <c r="F6">
        <f>(COUNTIF(tables_472011!C:C,input_472011!A25)+COUNTIF(tables_472011!C:C,input_472011!A18)+COUNTIF(tables_472011!C:C,input_472011!A20)+COUNTIF(tables_472011!C:C,input_472011!A22))</f>
        <v>24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VLOOKUP(L6,tables_472011!B:C,2,FALSE)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VLOOKUP(L7,tables_472011!B:C,2,FALSE)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VLOOKUP(L8,tables_472011!B:C,2,FALSE)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VLOOKUP(L9,tables_472011!B:C,2,FALSE)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VLOOKUP(L10,tables_472011!B:C,2,FALSE)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VLOOKUP(L11,tables_472011!B:C,2,FALSE)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VLOOKUP(L12,tables_472011!B:C,2,FALSE)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VLOOKUP(L13,tables_472011!B:C,2,FALSE)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VLOOKUP(L14,tables_472011!B:C,2,FALSE)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VLOOKUP(L15,tables_472011!B:C,2,FALSE)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VLOOKUP(L16,tables_472011!B:C,2,FALSE)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251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COUNTIF(tables_472011!C:C,input_472011!A17)-COUNTIF(Q:Q,A17)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VLOOKUP(L17,tables_472011!B:C,2,FALSE)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252</v>
      </c>
      <c r="B18" s="56">
        <f>E$6*E18-B17+E34+0.02</f>
        <v>0.24047916667500008</v>
      </c>
      <c r="C18" s="85">
        <f t="shared" si="2"/>
        <v>0</v>
      </c>
      <c r="D18" s="74">
        <f t="shared" si="3"/>
        <v>0.24047916667500008</v>
      </c>
      <c r="E18">
        <f>COUNTIF(tables_472011!C:C,input_472011!A18)-COUNTIF(Q:Q,A18)</f>
        <v>5</v>
      </c>
      <c r="F18" s="43">
        <f>IFERROR(B18/E18,0)</f>
        <v>4.8095833335000018E-2</v>
      </c>
      <c r="G18">
        <f t="shared" si="4"/>
        <v>577150.00002000015</v>
      </c>
      <c r="H18">
        <f t="shared" si="5"/>
        <v>115430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VLOOKUP(L18,tables_472011!B:C,2,FALSE)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253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COUNTIF(tables_472011!C:C,input_472011!A19)-COUNTIF(Q:Q,A19)</f>
        <v>14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VLOOKUP(L19,tables_472011!B:C,2,FALSE)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254</v>
      </c>
      <c r="B20" s="94">
        <f>E$6*E20*B$6-0.02</f>
        <v>0.50645833333333334</v>
      </c>
      <c r="C20" s="85">
        <f t="shared" si="2"/>
        <v>0</v>
      </c>
      <c r="D20" s="74">
        <f t="shared" si="3"/>
        <v>0.50645833333333334</v>
      </c>
      <c r="E20">
        <f>COUNTIF(tables_472011!C:C,input_472011!A20)-COUNTIF(Q:Q,A20)</f>
        <v>14</v>
      </c>
      <c r="F20" s="43">
        <f t="shared" si="8"/>
        <v>3.6175595238095236E-2</v>
      </c>
      <c r="G20">
        <f t="shared" si="4"/>
        <v>1215500</v>
      </c>
      <c r="H20">
        <f t="shared" si="5"/>
        <v>86821.428570000004</v>
      </c>
      <c r="I20">
        <f t="shared" si="6"/>
        <v>0.42857000000367407</v>
      </c>
      <c r="J20">
        <f t="shared" si="7"/>
        <v>2.3333411111170337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VLOOKUP(L20,tables_472011!B:C,2,FALSE)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255</v>
      </c>
      <c r="B21" s="56">
        <f>B7-B23-B26-B28-B29-E35</f>
        <v>5.1458333333333391E-3</v>
      </c>
      <c r="C21" s="85">
        <f t="shared" si="2"/>
        <v>0</v>
      </c>
      <c r="D21" s="74">
        <f t="shared" si="3"/>
        <v>5.1458333333333391E-3</v>
      </c>
      <c r="E21">
        <f>COUNTIF(tables_472011!C:C,input_472011!A21)-COUNTIF(Q:Q,A21)</f>
        <v>14</v>
      </c>
      <c r="F21" s="43">
        <f t="shared" si="8"/>
        <v>3.6755952380952423E-4</v>
      </c>
      <c r="G21">
        <f t="shared" si="4"/>
        <v>12350.000000000015</v>
      </c>
      <c r="H21">
        <f t="shared" si="5"/>
        <v>882.14286000000004</v>
      </c>
      <c r="I21">
        <f t="shared" si="6"/>
        <v>0.14286000000004151</v>
      </c>
      <c r="J21">
        <f t="shared" si="7"/>
        <v>6.9998600027979103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256</v>
      </c>
      <c r="B22" s="75">
        <f>E$6*E22-B23-E36</f>
        <v>0.14645833333333333</v>
      </c>
      <c r="C22" s="85">
        <f t="shared" si="2"/>
        <v>0</v>
      </c>
      <c r="D22" s="74">
        <f t="shared" si="3"/>
        <v>0.14645833333333333</v>
      </c>
      <c r="E22">
        <f>COUNTIF(tables_472011!C:C,input_472011!A22)-COUNTIF(Q:Q,A22)</f>
        <v>4</v>
      </c>
      <c r="F22" s="43">
        <f t="shared" si="8"/>
        <v>3.6614583333333332E-2</v>
      </c>
      <c r="G22">
        <f t="shared" si="4"/>
        <v>351500</v>
      </c>
      <c r="H22">
        <f t="shared" si="5"/>
        <v>87875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257</v>
      </c>
      <c r="B23" s="70">
        <f>E23*E6*B7-E36</f>
        <v>1.1875E-2</v>
      </c>
      <c r="C23" s="85">
        <f t="shared" si="2"/>
        <v>0</v>
      </c>
      <c r="D23" s="74">
        <f t="shared" si="3"/>
        <v>1.1875E-2</v>
      </c>
      <c r="E23">
        <f>COUNTIF(tables_472011!C:C,input_472011!A23)-COUNTIF(Q:Q,A23)</f>
        <v>6</v>
      </c>
      <c r="F23" s="43">
        <f t="shared" si="8"/>
        <v>1.9791666666666668E-3</v>
      </c>
      <c r="G23">
        <f t="shared" si="4"/>
        <v>28500</v>
      </c>
      <c r="H23">
        <f t="shared" si="5"/>
        <v>4750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258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COUNTIF(tables_472011!C:C,input_472011!A24)-COUNTIF(Q:Q,A24)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259</v>
      </c>
      <c r="B25" s="56">
        <f>E$6*B$6*E25</f>
        <v>3.7604166666666661E-2</v>
      </c>
      <c r="C25" s="85">
        <f t="shared" si="2"/>
        <v>0</v>
      </c>
      <c r="D25" s="74">
        <f t="shared" si="3"/>
        <v>3.7604166666666661E-2</v>
      </c>
      <c r="E25">
        <f>COUNTIF(tables_472011!C:C,input_472011!A25)-COUNTIF(Q:Q,A25)</f>
        <v>1</v>
      </c>
      <c r="F25" s="43">
        <f t="shared" si="8"/>
        <v>3.7604166666666661E-2</v>
      </c>
      <c r="G25">
        <f t="shared" si="4"/>
        <v>90249.999999999985</v>
      </c>
      <c r="H25">
        <f t="shared" si="5"/>
        <v>90250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260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COUNTIF(tables_472011!C:C,input_472011!A26)-COUNTIF(Q:Q,A26)</f>
        <v>1</v>
      </c>
      <c r="F26" s="43">
        <f t="shared" si="8"/>
        <v>1.9791666666666668E-3</v>
      </c>
      <c r="G26">
        <f t="shared" si="4"/>
        <v>4750</v>
      </c>
      <c r="H26">
        <f t="shared" si="5"/>
        <v>4750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261</v>
      </c>
      <c r="B27" s="56">
        <f>E$5*E27*(B$5+B$6)</f>
        <v>1.9E-2</v>
      </c>
      <c r="C27" s="85">
        <f t="shared" si="2"/>
        <v>0</v>
      </c>
      <c r="D27" s="74">
        <f t="shared" si="3"/>
        <v>1.9E-2</v>
      </c>
      <c r="E27">
        <f>COUNTIF(tables_472011!C:C,input_472011!A27)-COUNTIF(Q:Q,A27)</f>
        <v>6</v>
      </c>
      <c r="F27" s="43">
        <f>IFERROR(B27/E27,0)</f>
        <v>3.1666666666666666E-3</v>
      </c>
      <c r="G27">
        <f t="shared" si="4"/>
        <v>45600</v>
      </c>
      <c r="H27">
        <f t="shared" si="5"/>
        <v>7600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262</v>
      </c>
      <c r="B28" s="56">
        <f>E$5*E28*B$7</f>
        <v>1E-3</v>
      </c>
      <c r="C28" s="85">
        <f t="shared" si="2"/>
        <v>0</v>
      </c>
      <c r="D28" s="74">
        <f t="shared" si="3"/>
        <v>1E-3</v>
      </c>
      <c r="E28">
        <f>COUNTIF(tables_472011!C:C,input_472011!A28)-COUNTIF(Q:Q,A28)</f>
        <v>6</v>
      </c>
      <c r="F28" s="43">
        <f t="shared" si="8"/>
        <v>1.6666666666666666E-4</v>
      </c>
      <c r="G28">
        <f t="shared" si="4"/>
        <v>2400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263</v>
      </c>
      <c r="B29" s="56">
        <f>E$5*E29</f>
        <v>3.0000000000000002E-2</v>
      </c>
      <c r="C29" s="85">
        <f t="shared" si="2"/>
        <v>0</v>
      </c>
      <c r="D29" s="74">
        <f t="shared" si="3"/>
        <v>3.0000000000000002E-2</v>
      </c>
      <c r="E29">
        <f>COUNTIF(tables_472011!C:C,input_472011!A29)-COUNTIF(Q:Q,A29)</f>
        <v>9</v>
      </c>
      <c r="F29" s="43">
        <f t="shared" si="8"/>
        <v>3.3333333333333335E-3</v>
      </c>
      <c r="G29">
        <f t="shared" si="4"/>
        <v>72000</v>
      </c>
      <c r="H29">
        <f t="shared" si="5"/>
        <v>8000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264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COUNTIF(tables_472011!C:C,input_472011!A30)-COUNTIF(Q:Q,A30)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265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COUNTIF(tables_472011!C:C,input_472011!A31)-COUNTIF(Q:Q,A31)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1.0000000000083333</v>
      </c>
      <c r="C32" s="41">
        <f>SUM(C19:C31)</f>
        <v>0</v>
      </c>
      <c r="D32" s="42">
        <f t="shared" si="3"/>
        <v>1.0000000000083333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2.256250000833343E-2</v>
      </c>
      <c r="F34" s="55">
        <f ca="1">0.45-G41</f>
        <v>-0.49999999999166661</v>
      </c>
    </row>
    <row r="35" spans="1:7" x14ac:dyDescent="0.15">
      <c r="A35" t="s">
        <v>73</v>
      </c>
    </row>
    <row r="36" spans="1:7" x14ac:dyDescent="0.15">
      <c r="A36" s="31">
        <f>LCM(F5-I5,F6-I6)*1000*2*2*5</f>
        <v>2400000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SUMIF(tables_472011!C:C,input_472011!A40,tables_472011!O:O)</f>
        <v>0</v>
      </c>
      <c r="C40" s="54" t="e">
        <f t="shared" ref="C40:C46" si="9">B40/B$47</f>
        <v>#DIV/0!</v>
      </c>
      <c r="E40">
        <v>3</v>
      </c>
      <c r="F40">
        <f ca="1">SUMIF(tables_472011!J:J,input_472011!E40,tables_472011!O:O)</f>
        <v>0</v>
      </c>
      <c r="G40">
        <f ca="1">F40/A36</f>
        <v>0</v>
      </c>
    </row>
    <row r="41" spans="1:7" x14ac:dyDescent="0.15">
      <c r="A41" s="33" t="s">
        <v>104</v>
      </c>
      <c r="B41">
        <f>SUMIF(tables_472011!C:C,input_472011!A41,tables_472011!O:O)</f>
        <v>0</v>
      </c>
      <c r="C41" s="54" t="e">
        <f t="shared" si="9"/>
        <v>#DIV/0!</v>
      </c>
      <c r="E41">
        <v>4</v>
      </c>
      <c r="F41">
        <f ca="1">SUMIF(tables_472011!J:J,input_472011!E41,tables_472011!O:O)</f>
        <v>2279999.9999799998</v>
      </c>
      <c r="G41">
        <f ca="1">F41/A36</f>
        <v>0.94999999999166662</v>
      </c>
    </row>
    <row r="42" spans="1:7" x14ac:dyDescent="0.15">
      <c r="A42" s="33" t="s">
        <v>106</v>
      </c>
      <c r="B42">
        <f>SUMIF(tables_472011!C:C,input_472011!A42,tables_472011!O:O)</f>
        <v>0</v>
      </c>
      <c r="C42" s="54" t="e">
        <f t="shared" si="9"/>
        <v>#DIV/0!</v>
      </c>
      <c r="E42">
        <v>5</v>
      </c>
      <c r="F42">
        <f ca="1">SUMIF(tables_472011!J:J,input_472011!E42,tables_472011!O:O)</f>
        <v>120000.00004</v>
      </c>
      <c r="G42">
        <f ca="1">F42/A36</f>
        <v>5.0000000016666664E-2</v>
      </c>
    </row>
    <row r="43" spans="1:7" x14ac:dyDescent="0.15">
      <c r="A43" s="33" t="s">
        <v>109</v>
      </c>
      <c r="B43">
        <f>SUMIF(tables_472011!C:C,input_472011!A43,tables_472011!O:O)</f>
        <v>0</v>
      </c>
      <c r="C43" s="54" t="e">
        <f t="shared" si="9"/>
        <v>#DIV/0!</v>
      </c>
      <c r="F43" s="55"/>
    </row>
    <row r="44" spans="1:7" x14ac:dyDescent="0.15">
      <c r="A44" s="33" t="s">
        <v>105</v>
      </c>
      <c r="B44">
        <f>SUMIF(tables_472011!C:C,input_472011!A44,tables_472011!O:O)</f>
        <v>0</v>
      </c>
      <c r="C44" s="54" t="e">
        <f t="shared" si="9"/>
        <v>#DIV/0!</v>
      </c>
      <c r="E44" t="s">
        <v>54</v>
      </c>
      <c r="F44" s="55"/>
    </row>
    <row r="45" spans="1:7" x14ac:dyDescent="0.15">
      <c r="A45" s="33" t="s">
        <v>107</v>
      </c>
      <c r="B45">
        <f>SUMIF(tables_472011!C:C,input_472011!A45,tables_472011!O:O)</f>
        <v>0</v>
      </c>
      <c r="C45" s="54" t="e">
        <f t="shared" si="9"/>
        <v>#DIV/0!</v>
      </c>
      <c r="E45" t="s">
        <v>204</v>
      </c>
      <c r="F45" s="55">
        <f ca="1">SUMIF(tables_472011!I:I,input_472011!E45,tables_472011!P:P)</f>
        <v>0.24443749999796305</v>
      </c>
    </row>
    <row r="46" spans="1:7" x14ac:dyDescent="0.15">
      <c r="A46" s="33" t="s">
        <v>108</v>
      </c>
      <c r="B46">
        <f>SUMIF(tables_472011!C:C,input_472011!A46,tables_472011!O:O)</f>
        <v>0</v>
      </c>
      <c r="C46" s="54" t="e">
        <f t="shared" si="9"/>
        <v>#DIV/0!</v>
      </c>
      <c r="E46" t="s">
        <v>205</v>
      </c>
      <c r="F46" s="55">
        <f ca="1">SUMIF(tables_472011!I:I,input_472011!E46,tables_472011!P:P)</f>
        <v>0.18575595238178533</v>
      </c>
    </row>
    <row r="47" spans="1:7" x14ac:dyDescent="0.15">
      <c r="A47" s="39" t="s">
        <v>59</v>
      </c>
      <c r="B47">
        <f>SUM(B40:B46)</f>
        <v>0</v>
      </c>
      <c r="C47" s="55" t="e">
        <f>SUM(C40:C46)</f>
        <v>#DIV/0!</v>
      </c>
      <c r="E47" t="s">
        <v>206</v>
      </c>
      <c r="F47" s="55">
        <f ca="1">SUMIF(tables_472011!I:I,input_472011!E47,tables_472011!P:P)</f>
        <v>0.51980654762066825</v>
      </c>
    </row>
    <row r="48" spans="1:7" x14ac:dyDescent="0.15">
      <c r="E48" t="s">
        <v>207</v>
      </c>
      <c r="F48" s="55">
        <f ca="1">SUMIF(tables_472011!I:I,input_472011!E48,tables_472011!P:P)</f>
        <v>4.3333333332972221E-2</v>
      </c>
      <c r="G48" s="55"/>
    </row>
    <row r="49" spans="5:6" x14ac:dyDescent="0.15">
      <c r="E49" t="s">
        <v>246</v>
      </c>
      <c r="F49" s="55">
        <f ca="1">SUMIF(tables_472011!I:I,input_472011!E49,tables_472011!P:P)</f>
        <v>6.6666666666111108E-3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G2" sqref="G2:O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input_472011!A$2</f>
        <v>472011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IF(G2="color",IFERROR(VLOOKUP(B2,input_472011!L:R,7,FALSE),VLOOKUP(tables_472011!C2,input_472011!A:H,8,FALSE)),0)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input_472011!A$2</f>
        <v>472011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IF(G3="color",IFERROR(VLOOKUP(B3,input_472011!L:R,7,FALSE),VLOOKUP(tables_472011!C3,input_472011!A:H,8,FALSE)),0)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input_472011!A$2</f>
        <v>472011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IF(G4="color",IFERROR(VLOOKUP(B4,input_472011!L:R,7,FALSE),VLOOKUP(tables_472011!C4,input_472011!A:H,8,FALSE)),0)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input_472011!A$2</f>
        <v>472011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IF(G5="color",IFERROR(VLOOKUP(B5,input_472011!L:R,7,FALSE),VLOOKUP(tables_472011!C5,input_472011!A:H,8,FALSE)),0)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input_472011!A$2</f>
        <v>472011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IF(G6="color",IFERROR(VLOOKUP(B6,input_472011!L:R,7,FALSE),VLOOKUP(tables_472011!C6,input_472011!A:H,8,FALSE)),0)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input_472011!A$2</f>
        <v>472011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IF(G7="color",IFERROR(VLOOKUP(B7,input_472011!L:R,7,FALSE),VLOOKUP(tables_472011!C7,input_472011!A:H,8,FALSE)),0)</f>
        <v>115430</v>
      </c>
      <c r="P7" s="46">
        <f t="shared" ca="1" si="1"/>
        <v>4.8095833332932533E-2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input_472011!A$2</f>
        <v>472011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IF(G8="color",IFERROR(VLOOKUP(B8,input_472011!L:R,7,FALSE),VLOOKUP(tables_472011!C8,input_472011!A:H,8,FALSE)),0)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input_472011!A$2</f>
        <v>472011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IF(G9="color",IFERROR(VLOOKUP(B9,input_472011!L:R,7,FALSE),VLOOKUP(tables_472011!C9,input_472011!A:H,8,FALSE)),0)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input_472011!A$2</f>
        <v>472011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IF(G10="color",IFERROR(VLOOKUP(B10,input_472011!L:R,7,FALSE),VLOOKUP(tables_472011!C10,input_472011!A:H,8,FALSE)),0)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input_472011!A$2</f>
        <v>472011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IF(G11="color",IFERROR(VLOOKUP(B11,input_472011!L:R,7,FALSE),VLOOKUP(tables_472011!C11,input_472011!A:H,8,FALSE)),0)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input_472011!A$2</f>
        <v>472011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IF(G12="color",IFERROR(VLOOKUP(B12,input_472011!L:R,7,FALSE),VLOOKUP(tables_472011!C12,input_472011!A:H,8,FALSE)),0)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input_472011!A$2</f>
        <v>472011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IF(G13="color",IFERROR(VLOOKUP(B13,input_472011!L:R,7,FALSE),VLOOKUP(tables_472011!C13,input_472011!A:H,8,FALSE)),0)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input_472011!A$2</f>
        <v>472011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IF(G14="color",IFERROR(VLOOKUP(B14,input_472011!L:R,7,FALSE),VLOOKUP(tables_472011!C14,input_472011!A:H,8,FALSE)),0)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input_472011!A$2</f>
        <v>472011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IF(G15="color",IFERROR(VLOOKUP(B15,input_472011!L:R,7,FALSE),VLOOKUP(tables_472011!C15,input_472011!A:H,8,FALSE)),0)</f>
        <v>115430</v>
      </c>
      <c r="P15" s="46">
        <f t="shared" ca="1" si="1"/>
        <v>4.8095833332932533E-2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input_472011!A$2</f>
        <v>472011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IF(G16="color",IFERROR(VLOOKUP(B16,input_472011!L:R,7,FALSE),VLOOKUP(tables_472011!C16,input_472011!A:H,8,FALSE)),0)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input_472011!A$2</f>
        <v>472011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IF(G17="color",IFERROR(VLOOKUP(B17,input_472011!L:R,7,FALSE),VLOOKUP(tables_472011!C17,input_472011!A:H,8,FALSE)),0)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input_472011!A$2</f>
        <v>472011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IF(G18="color",IFERROR(VLOOKUP(B18,input_472011!L:R,7,FALSE),VLOOKUP(tables_472011!C18,input_472011!A:H,8,FALSE)),0)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input_472011!A$2</f>
        <v>472011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IF(G19="color",IFERROR(VLOOKUP(B19,input_472011!L:R,7,FALSE),VLOOKUP(tables_472011!C19,input_472011!A:H,8,FALSE)),0)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input_472011!A$2</f>
        <v>472011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IF(G20="color",IFERROR(VLOOKUP(B20,input_472011!L:R,7,FALSE),VLOOKUP(tables_472011!C20,input_472011!A:H,8,FALSE)),0)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input_472011!A$2</f>
        <v>472011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IF(G21="color",IFERROR(VLOOKUP(B21,input_472011!L:R,7,FALSE),VLOOKUP(tables_472011!C21,input_472011!A:H,8,FALSE)),0)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input_472011!A$2</f>
        <v>472011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IF(G22="color",IFERROR(VLOOKUP(B22,input_472011!L:R,7,FALSE),VLOOKUP(tables_472011!C22,input_472011!A:H,8,FALSE)),0)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input_472011!A$2</f>
        <v>472011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IF(G23="color",IFERROR(VLOOKUP(B23,input_472011!L:R,7,FALSE),VLOOKUP(tables_472011!C23,input_472011!A:H,8,FALSE)),0)</f>
        <v>115430</v>
      </c>
      <c r="P23" s="46">
        <f t="shared" ca="1" si="1"/>
        <v>4.8095833332932533E-2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input_472011!A$2</f>
        <v>472011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IF(G24="color",IFERROR(VLOOKUP(B24,input_472011!L:R,7,FALSE),VLOOKUP(tables_472011!C24,input_472011!A:H,8,FALSE)),0)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input_472011!A$2</f>
        <v>472011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IF(G25="color",IFERROR(VLOOKUP(B25,input_472011!L:R,7,FALSE),VLOOKUP(tables_472011!C25,input_472011!A:H,8,FALSE)),0)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input_472011!A$2</f>
        <v>472011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IF(G26="color",IFERROR(VLOOKUP(B26,input_472011!L:R,7,FALSE),VLOOKUP(tables_472011!C26,input_472011!A:H,8,FALSE)),0)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input_472011!A$2</f>
        <v>472011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IF(G27="color",IFERROR(VLOOKUP(B27,input_472011!L:R,7,FALSE),VLOOKUP(tables_472011!C27,input_472011!A:H,8,FALSE)),0)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input_472011!A$2</f>
        <v>472011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IF(G28="color",IFERROR(VLOOKUP(B28,input_472011!L:R,7,FALSE),VLOOKUP(tables_472011!C28,input_472011!A:H,8,FALSE)),0)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input_472011!A$2</f>
        <v>472011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IF(G29="color",IFERROR(VLOOKUP(B29,input_472011!L:R,7,FALSE),VLOOKUP(tables_472011!C29,input_472011!A:H,8,FALSE)),0)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input_472011!A$2</f>
        <v>472011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IF(G30="color",IFERROR(VLOOKUP(B30,input_472011!L:R,7,FALSE),VLOOKUP(tables_472011!C30,input_472011!A:H,8,FALSE)),0)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input_472011!A$2</f>
        <v>472011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IF(G31="color",IFERROR(VLOOKUP(B31,input_472011!L:R,7,FALSE),VLOOKUP(tables_472011!C31,input_472011!A:H,8,FALSE)),0)</f>
        <v>115430</v>
      </c>
      <c r="P31" s="46">
        <f t="shared" ca="1" si="1"/>
        <v>4.8095833332932533E-2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input_472011!A$2</f>
        <v>472011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IF(G32="color",IFERROR(VLOOKUP(B32,input_472011!L:R,7,FALSE),VLOOKUP(tables_472011!C32,input_472011!A:H,8,FALSE)),0)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input_472011!A$2</f>
        <v>472011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IF(G33="color",IFERROR(VLOOKUP(B33,input_472011!L:R,7,FALSE),VLOOKUP(tables_472011!C33,input_472011!A:H,8,FALSE)),0)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input_472011!A$2</f>
        <v>472011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IF(G34="color",IFERROR(VLOOKUP(B34,input_472011!L:R,7,FALSE),VLOOKUP(tables_472011!C34,input_472011!A:H,8,FALSE)),0)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input_472011!A$2</f>
        <v>472011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IF(G35="color",IFERROR(VLOOKUP(B35,input_472011!L:R,7,FALSE),VLOOKUP(tables_472011!C35,input_472011!A:H,8,FALSE)),0)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input_472011!A$2</f>
        <v>472011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IF(G36="color",IFERROR(VLOOKUP(B36,input_472011!L:R,7,FALSE),VLOOKUP(tables_472011!C36,input_472011!A:H,8,FALSE)),0)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input_472011!A$2</f>
        <v>472011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IF(G37="color",IFERROR(VLOOKUP(B37,input_472011!L:R,7,FALSE),VLOOKUP(tables_472011!C37,input_472011!A:H,8,FALSE)),0)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input_472011!A$2</f>
        <v>472011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IF(G38="color",IFERROR(VLOOKUP(B38,input_472011!L:R,7,FALSE),VLOOKUP(tables_472011!C38,input_472011!A:H,8,FALSE)),0)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input_472011!A$2</f>
        <v>472011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IF(G39="color",IFERROR(VLOOKUP(B39,input_472011!L:R,7,FALSE),VLOOKUP(tables_472011!C39,input_472011!A:H,8,FALSE)),0)</f>
        <v>115430</v>
      </c>
      <c r="P39" s="46">
        <f t="shared" ca="1" si="1"/>
        <v>4.8095833332932533E-2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input_472011!A$2</f>
        <v>472011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IF(G40="color",IFERROR(VLOOKUP(B40,input_472011!L:R,7,FALSE),VLOOKUP(tables_472011!C40,input_472011!A:H,8,FALSE)),0)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input_472011!A$2</f>
        <v>472011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IF(G41="color",IFERROR(VLOOKUP(B41,input_472011!L:R,7,FALSE),VLOOKUP(tables_472011!C41,input_472011!A:H,8,FALSE)),0)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input_472011!A$2</f>
        <v>472011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IF(G42="color",IFERROR(VLOOKUP(B42,input_472011!L:R,7,FALSE),VLOOKUP(tables_472011!C42,input_472011!A:H,8,FALSE)),0)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input_472011!A$2</f>
        <v>472011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IF(G43="color",IFERROR(VLOOKUP(B43,input_472011!L:R,7,FALSE),VLOOKUP(tables_472011!C43,input_472011!A:H,8,FALSE)),0)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input_472011!A$2</f>
        <v>472011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IF(G44="color",IFERROR(VLOOKUP(B44,input_472011!L:R,7,FALSE),VLOOKUP(tables_472011!C44,input_472011!A:H,8,FALSE)),0)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input_472011!A$2</f>
        <v>472011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IF(G45="color",IFERROR(VLOOKUP(B45,input_472011!L:R,7,FALSE),VLOOKUP(tables_472011!C45,input_472011!A:H,8,FALSE)),0)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input_472011!A$2</f>
        <v>472011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IF(G46="color",IFERROR(VLOOKUP(B46,input_472011!L:R,7,FALSE),VLOOKUP(tables_472011!C46,input_472011!A:H,8,FALSE)),0)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input_472011!A$2</f>
        <v>472011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IF(G47="color",IFERROR(VLOOKUP(B47,input_472011!L:R,7,FALSE),VLOOKUP(tables_472011!C47,input_472011!A:H,8,FALSE)),0)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input_472011!A$2</f>
        <v>472011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IF(G48="color",IFERROR(VLOOKUP(B48,input_472011!L:R,7,FALSE),VLOOKUP(tables_472011!C48,input_472011!A:H,8,FALSE)),0)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input_472011!A$2</f>
        <v>472011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IF(G49="color",IFERROR(VLOOKUP(B49,input_472011!L:R,7,FALSE),VLOOKUP(tables_472011!C49,input_472011!A:H,8,FALSE)),0)</f>
        <v>90250</v>
      </c>
      <c r="P49" s="46">
        <f t="shared" ca="1" si="1"/>
        <v>3.7604166666353293E-2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input_472011!A$2</f>
        <v>472011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IF(G50="color",IFERROR(VLOOKUP(B50,input_472011!L:R,7,FALSE),VLOOKUP(tables_472011!C50,input_472011!A:H,8,FALSE)),0)</f>
        <v>4750</v>
      </c>
      <c r="P50" s="46">
        <f t="shared" ca="1" si="1"/>
        <v>1.9791666666501735E-3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input_472011!A$2</f>
        <v>472011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IF(G51="color",IFERROR(VLOOKUP(B51,input_472011!L:R,7,FALSE),VLOOKUP(tables_472011!C51,input_472011!A:H,8,FALSE)),0)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input_472011!A$2</f>
        <v>472011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IF(G52="color",IFERROR(VLOOKUP(B52,input_472011!L:R,7,FALSE),VLOOKUP(tables_472011!C52,input_472011!A:H,8,FALSE)),0)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input_472011!A$2</f>
        <v>472011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IF(G53="color",IFERROR(VLOOKUP(B53,input_472011!L:R,7,FALSE),VLOOKUP(tables_472011!C53,input_472011!A:H,8,FALSE)),0)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input_472011!A$2</f>
        <v>472011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IF(G54="color",IFERROR(VLOOKUP(B54,input_472011!L:R,7,FALSE),VLOOKUP(tables_472011!C54,input_472011!A:H,8,FALSE)),0)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input_472011!A$2</f>
        <v>472011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IF(G55="color",IFERROR(VLOOKUP(B55,input_472011!L:R,7,FALSE),VLOOKUP(tables_472011!C55,input_472011!A:H,8,FALSE)),0)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input_472011!A$2</f>
        <v>472011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IF(G56="color",IFERROR(VLOOKUP(B56,input_472011!L:R,7,FALSE),VLOOKUP(tables_472011!C56,input_472011!A:H,8,FALSE)),0)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input_472011!A$2</f>
        <v>472011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IF(G57="color",IFERROR(VLOOKUP(B57,input_472011!L:R,7,FALSE),VLOOKUP(tables_472011!C57,input_472011!A:H,8,FALSE)),0)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input_472011!A$2</f>
        <v>472011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IF(G58="color",IFERROR(VLOOKUP(B58,input_472011!L:R,7,FALSE),VLOOKUP(tables_472011!C58,input_472011!A:H,8,FALSE)),0)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input_472011!A$2</f>
        <v>472011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IF(G59="color",IFERROR(VLOOKUP(B59,input_472011!L:R,7,FALSE),VLOOKUP(tables_472011!C59,input_472011!A:H,8,FALSE)),0)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input_472011!A$2</f>
        <v>472011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IF(G60="color",IFERROR(VLOOKUP(B60,input_472011!L:R,7,FALSE),VLOOKUP(tables_472011!C60,input_472011!A:H,8,FALSE)),0)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input_472011!A$2</f>
        <v>472011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IF(G61="color",IFERROR(VLOOKUP(B61,input_472011!L:R,7,FALSE),VLOOKUP(tables_472011!C61,input_472011!A:H,8,FALSE)),0)</f>
        <v>86821.428570000004</v>
      </c>
      <c r="P61" s="46">
        <f t="shared" ca="1" si="1"/>
        <v>3.6175595237198536E-2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input_472011!A$2</f>
        <v>472011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IF(G62="color",IFERROR(VLOOKUP(B62,input_472011!L:R,7,FALSE),VLOOKUP(tables_472011!C62,input_472011!A:H,8,FALSE)),0)</f>
        <v>882.14286000000004</v>
      </c>
      <c r="P62" s="46">
        <f t="shared" ca="1" si="1"/>
        <v>3.6755952499693698E-4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input_472011!A$2</f>
        <v>472011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IF(G63="color",IFERROR(VLOOKUP(B63,input_472011!L:R,7,FALSE),VLOOKUP(tables_472011!C63,input_472011!A:H,8,FALSE)),0)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input_472011!A$2</f>
        <v>472011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IF(G64="color",IFERROR(VLOOKUP(B64,input_472011!L:R,7,FALSE),VLOOKUP(tables_472011!C64,input_472011!A:H,8,FALSE)),0)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input_472011!A$2</f>
        <v>472011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IF(G65="color",IFERROR(VLOOKUP(B65,input_472011!L:R,7,FALSE),VLOOKUP(tables_472011!C65,input_472011!A:H,8,FALSE)),0)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input_472011!A$2</f>
        <v>472011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IF(G66="color",IFERROR(VLOOKUP(B66,input_472011!L:R,7,FALSE),VLOOKUP(tables_472011!C66,input_472011!A:H,8,FALSE)),0)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input_472011!A$2</f>
        <v>472011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IF(G67="color",IFERROR(VLOOKUP(B67,input_472011!L:R,7,FALSE),VLOOKUP(tables_472011!C67,input_472011!A:H,8,FALSE)),0)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input_472011!A$2</f>
        <v>472011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IF(G68="color",IFERROR(VLOOKUP(B68,input_472011!L:R,7,FALSE),VLOOKUP(tables_472011!C68,input_472011!A:H,8,FALSE)),0)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input_472011!A$2</f>
        <v>472011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IF(G69="color",IFERROR(VLOOKUP(B69,input_472011!L:R,7,FALSE),VLOOKUP(tables_472011!C69,input_472011!A:H,8,FALSE)),0)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input_472011!A$2</f>
        <v>472011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IF(G70="color",IFERROR(VLOOKUP(B70,input_472011!L:R,7,FALSE),VLOOKUP(tables_472011!C70,input_472011!A:H,8,FALSE)),0)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input_472011!A$2</f>
        <v>472011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IF(G71="color",IFERROR(VLOOKUP(B71,input_472011!L:R,7,FALSE),VLOOKUP(tables_472011!C71,input_472011!A:H,8,FALSE)),0)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input_472011!A$2</f>
        <v>472011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IF(G72="color",IFERROR(VLOOKUP(B72,input_472011!L:R,7,FALSE),VLOOKUP(tables_472011!C72,input_472011!A:H,8,FALSE)),0)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input_472011!A$2</f>
        <v>472011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IF(G73="color",IFERROR(VLOOKUP(B73,input_472011!L:R,7,FALSE),VLOOKUP(tables_472011!C73,input_472011!A:H,8,FALSE)),0)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input_472011!A$2</f>
        <v>472011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IF(G74="color",IFERROR(VLOOKUP(B74,input_472011!L:R,7,FALSE),VLOOKUP(tables_472011!C74,input_472011!A:H,8,FALSE)),0)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input_472011!A$2</f>
        <v>472011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IF(G75="color",IFERROR(VLOOKUP(B75,input_472011!L:R,7,FALSE),VLOOKUP(tables_472011!C75,input_472011!A:H,8,FALSE)),0)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input_472011!A$2</f>
        <v>472011</v>
      </c>
      <c r="B76" s="6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IF(G76="color",IFERROR(VLOOKUP(B76,input_472011!L:R,7,FALSE),VLOOKUP(tables_472011!C76,input_472011!A:H,8,FALSE)),0)</f>
        <v>86821.428570000004</v>
      </c>
      <c r="P76" s="46">
        <f t="shared" ca="1" si="5"/>
        <v>3.6175595237198536E-2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input_472011!A$2</f>
        <v>472011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IF(G77="color",IFERROR(VLOOKUP(B77,input_472011!L:R,7,FALSE),VLOOKUP(tables_472011!C77,input_472011!A:H,8,FALSE)),0)</f>
        <v>882.14286000000004</v>
      </c>
      <c r="P77" s="46">
        <f t="shared" ca="1" si="5"/>
        <v>3.6755952499693698E-4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input_472011!A$2</f>
        <v>472011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IF(G78="color",IFERROR(VLOOKUP(B78,input_472011!L:R,7,FALSE),VLOOKUP(tables_472011!C78,input_472011!A:H,8,FALSE)),0)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input_472011!A$2</f>
        <v>472011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IF(G79="color",IFERROR(VLOOKUP(B79,input_472011!L:R,7,FALSE),VLOOKUP(tables_472011!C79,input_472011!A:H,8,FALSE)),0)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input_472011!A$2</f>
        <v>472011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IF(G80="color",IFERROR(VLOOKUP(B80,input_472011!L:R,7,FALSE),VLOOKUP(tables_472011!C80,input_472011!A:H,8,FALSE)),0)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input_472011!A$2</f>
        <v>472011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IF(G81="color",IFERROR(VLOOKUP(B81,input_472011!L:R,7,FALSE),VLOOKUP(tables_472011!C81,input_472011!A:H,8,FALSE)),0)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input_472011!A$2</f>
        <v>472011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IF(G82="color",IFERROR(VLOOKUP(B82,input_472011!L:R,7,FALSE),VLOOKUP(tables_472011!C82,input_472011!A:H,8,FALSE)),0)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input_472011!A$2</f>
        <v>472011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IF(G83="color",IFERROR(VLOOKUP(B83,input_472011!L:R,7,FALSE),VLOOKUP(tables_472011!C83,input_472011!A:H,8,FALSE)),0)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input_472011!A$2</f>
        <v>472011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IF(G84="color",IFERROR(VLOOKUP(B84,input_472011!L:R,7,FALSE),VLOOKUP(tables_472011!C84,input_472011!A:H,8,FALSE)),0)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input_472011!A$2</f>
        <v>472011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IF(G85="color",IFERROR(VLOOKUP(B85,input_472011!L:R,7,FALSE),VLOOKUP(tables_472011!C85,input_472011!A:H,8,FALSE)),0)</f>
        <v>86821.428570000004</v>
      </c>
      <c r="P85" s="46">
        <f t="shared" ca="1" si="5"/>
        <v>3.6175595237198536E-2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input_472011!A$2</f>
        <v>472011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IF(G86="color",IFERROR(VLOOKUP(B86,input_472011!L:R,7,FALSE),VLOOKUP(tables_472011!C86,input_472011!A:H,8,FALSE)),0)</f>
        <v>882.14286000000004</v>
      </c>
      <c r="P86" s="46">
        <f t="shared" ca="1" si="5"/>
        <v>3.6755952499693698E-4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input_472011!A$2</f>
        <v>472011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IF(G87="color",IFERROR(VLOOKUP(B87,input_472011!L:R,7,FALSE),VLOOKUP(tables_472011!C87,input_472011!A:H,8,FALSE)),0)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input_472011!A$2</f>
        <v>472011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IF(G88="color",IFERROR(VLOOKUP(B88,input_472011!L:R,7,FALSE),VLOOKUP(tables_472011!C88,input_472011!A:H,8,FALSE)),0)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input_472011!A$2</f>
        <v>472011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IF(G89="color",IFERROR(VLOOKUP(B89,input_472011!L:R,7,FALSE),VLOOKUP(tables_472011!C89,input_472011!A:H,8,FALSE)),0)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input_472011!A$2</f>
        <v>472011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IF(G90="color",IFERROR(VLOOKUP(B90,input_472011!L:R,7,FALSE),VLOOKUP(tables_472011!C90,input_472011!A:H,8,FALSE)),0)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input_472011!A$2</f>
        <v>472011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IF(G91="color",IFERROR(VLOOKUP(B91,input_472011!L:R,7,FALSE),VLOOKUP(tables_472011!C91,input_472011!A:H,8,FALSE)),0)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input_472011!A$2</f>
        <v>472011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IF(G92="color",IFERROR(VLOOKUP(B92,input_472011!L:R,7,FALSE),VLOOKUP(tables_472011!C92,input_472011!A:H,8,FALSE)),0)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input_472011!A$2</f>
        <v>472011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IF(G93="color",IFERROR(VLOOKUP(B93,input_472011!L:R,7,FALSE),VLOOKUP(tables_472011!C93,input_472011!A:H,8,FALSE)),0)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input_472011!A$2</f>
        <v>472011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IF(G94="color",IFERROR(VLOOKUP(B94,input_472011!L:R,7,FALSE),VLOOKUP(tables_472011!C94,input_472011!A:H,8,FALSE)),0)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input_472011!A$2</f>
        <v>472011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IF(G95="color",IFERROR(VLOOKUP(B95,input_472011!L:R,7,FALSE),VLOOKUP(tables_472011!C95,input_472011!A:H,8,FALSE)),0)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input_472011!A$2</f>
        <v>472011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IF(G96="color",IFERROR(VLOOKUP(B96,input_472011!L:R,7,FALSE),VLOOKUP(tables_472011!C96,input_472011!A:H,8,FALSE)),0)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input_472011!A$2</f>
        <v>472011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IF(G97="color",IFERROR(VLOOKUP(B97,input_472011!L:R,7,FALSE),VLOOKUP(tables_472011!C97,input_472011!A:H,8,FALSE)),0)</f>
        <v>86821.428570000004</v>
      </c>
      <c r="P97" s="46">
        <f t="shared" ca="1" si="5"/>
        <v>3.6175595237198536E-2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input_472011!A$2</f>
        <v>472011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IF(G98="color",IFERROR(VLOOKUP(B98,input_472011!L:R,7,FALSE),VLOOKUP(tables_472011!C98,input_472011!A:H,8,FALSE)),0)</f>
        <v>882.14286000000004</v>
      </c>
      <c r="P98" s="46">
        <f t="shared" ca="1" si="5"/>
        <v>3.6755952499693698E-4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input_472011!A$2</f>
        <v>472011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IF(G99="color",IFERROR(VLOOKUP(B99,input_472011!L:R,7,FALSE),VLOOKUP(tables_472011!C99,input_472011!A:H,8,FALSE)),0)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input_472011!A$2</f>
        <v>472011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IF(G100="color",IFERROR(VLOOKUP(B100,input_472011!L:R,7,FALSE),VLOOKUP(tables_472011!C100,input_472011!A:H,8,FALSE)),0)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input_472011!A$2</f>
        <v>472011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IF(G101="color",IFERROR(VLOOKUP(B101,input_472011!L:R,7,FALSE),VLOOKUP(tables_472011!C101,input_472011!A:H,8,FALSE)),0)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input_472011!A$2</f>
        <v>472011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IF(G102="color",IFERROR(VLOOKUP(B102,input_472011!L:R,7,FALSE),VLOOKUP(tables_472011!C102,input_472011!A:H,8,FALSE)),0)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input_472011!A$2</f>
        <v>472011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IF(G103="color",IFERROR(VLOOKUP(B103,input_472011!L:R,7,FALSE),VLOOKUP(tables_472011!C103,input_472011!A:H,8,FALSE)),0)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input_472011!A$2</f>
        <v>472011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IF(G104="color",IFERROR(VLOOKUP(B104,input_472011!L:R,7,FALSE),VLOOKUP(tables_472011!C104,input_472011!A:H,8,FALSE)),0)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input_472011!A$2</f>
        <v>472011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IF(G105="color",IFERROR(VLOOKUP(B105,input_472011!L:R,7,FALSE),VLOOKUP(tables_472011!C105,input_472011!A:H,8,FALSE)),0)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input_472011!A$2</f>
        <v>472011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IF(G106="color",IFERROR(VLOOKUP(B106,input_472011!L:R,7,FALSE),VLOOKUP(tables_472011!C106,input_472011!A:H,8,FALSE)),0)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input_472011!A$2</f>
        <v>472011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IF(G107="color",IFERROR(VLOOKUP(B107,input_472011!L:R,7,FALSE),VLOOKUP(tables_472011!C107,input_472011!A:H,8,FALSE)),0)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input_472011!A$2</f>
        <v>472011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IF(G108="color",IFERROR(VLOOKUP(B108,input_472011!L:R,7,FALSE),VLOOKUP(tables_472011!C108,input_472011!A:H,8,FALSE)),0)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input_472011!A$2</f>
        <v>472011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IF(G109="color",IFERROR(VLOOKUP(B109,input_472011!L:R,7,FALSE),VLOOKUP(tables_472011!C109,input_472011!A:H,8,FALSE)),0)</f>
        <v>86821.428570000004</v>
      </c>
      <c r="P109" s="46">
        <f t="shared" ca="1" si="5"/>
        <v>3.6175595237198536E-2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input_472011!A$2</f>
        <v>472011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IF(G110="color",IFERROR(VLOOKUP(B110,input_472011!L:R,7,FALSE),VLOOKUP(tables_472011!C110,input_472011!A:H,8,FALSE)),0)</f>
        <v>882.14286000000004</v>
      </c>
      <c r="P110" s="46">
        <f t="shared" ca="1" si="5"/>
        <v>3.6755952499693698E-4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input_472011!A$2</f>
        <v>472011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IF(G111="color",IFERROR(VLOOKUP(B111,input_472011!L:R,7,FALSE),VLOOKUP(tables_472011!C111,input_472011!A:H,8,FALSE)),0)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input_472011!A$2</f>
        <v>472011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IF(G112="color",IFERROR(VLOOKUP(B112,input_472011!L:R,7,FALSE),VLOOKUP(tables_472011!C112,input_472011!A:H,8,FALSE)),0)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input_472011!A$2</f>
        <v>472011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IF(G113="color",IFERROR(VLOOKUP(B113,input_472011!L:R,7,FALSE),VLOOKUP(tables_472011!C113,input_472011!A:H,8,FALSE)),0)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input_472011!A$2</f>
        <v>472011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IF(G114="color",IFERROR(VLOOKUP(B114,input_472011!L:R,7,FALSE),VLOOKUP(tables_472011!C114,input_472011!A:H,8,FALSE)),0)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input_472011!A$2</f>
        <v>472011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IF(G115="color",IFERROR(VLOOKUP(B115,input_472011!L:R,7,FALSE),VLOOKUP(tables_472011!C115,input_472011!A:H,8,FALSE)),0)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input_472011!A$2</f>
        <v>472011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IF(G116="color",IFERROR(VLOOKUP(B116,input_472011!L:R,7,FALSE),VLOOKUP(tables_472011!C116,input_472011!A:H,8,FALSE)),0)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input_472011!A$2</f>
        <v>472011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IF(G117="color",IFERROR(VLOOKUP(B117,input_472011!L:R,7,FALSE),VLOOKUP(tables_472011!C117,input_472011!A:H,8,FALSE)),0)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input_472011!A$2</f>
        <v>472011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IF(G118="color",IFERROR(VLOOKUP(B118,input_472011!L:R,7,FALSE),VLOOKUP(tables_472011!C118,input_472011!A:H,8,FALSE)),0)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input_472011!A$2</f>
        <v>472011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IF(G119="color",IFERROR(VLOOKUP(B119,input_472011!L:R,7,FALSE),VLOOKUP(tables_472011!C119,input_472011!A:H,8,FALSE)),0)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input_472011!A$2</f>
        <v>472011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IF(G120="color",IFERROR(VLOOKUP(B120,input_472011!L:R,7,FALSE),VLOOKUP(tables_472011!C120,input_472011!A:H,8,FALSE)),0)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input_472011!A$2</f>
        <v>472011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IF(G121="color",IFERROR(VLOOKUP(B121,input_472011!L:R,7,FALSE),VLOOKUP(tables_472011!C121,input_472011!A:H,8,FALSE)),0)</f>
        <v>86821.428570000004</v>
      </c>
      <c r="P121" s="46">
        <f t="shared" ca="1" si="5"/>
        <v>3.6175595237198536E-2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input_472011!A$2</f>
        <v>472011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IF(G122="color",IFERROR(VLOOKUP(B122,input_472011!L:R,7,FALSE),VLOOKUP(tables_472011!C122,input_472011!A:H,8,FALSE)),0)</f>
        <v>882.14286000000004</v>
      </c>
      <c r="P122" s="46">
        <f t="shared" ca="1" si="5"/>
        <v>3.6755952499693698E-4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input_472011!A$2</f>
        <v>472011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IF(G123="color",IFERROR(VLOOKUP(B123,input_472011!L:R,7,FALSE),VLOOKUP(tables_472011!C123,input_472011!A:H,8,FALSE)),0)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input_472011!A$2</f>
        <v>472011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IF(G124="color",IFERROR(VLOOKUP(B124,input_472011!L:R,7,FALSE),VLOOKUP(tables_472011!C124,input_472011!A:H,8,FALSE)),0)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input_472011!A$2</f>
        <v>472011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IF(G125="color",IFERROR(VLOOKUP(B125,input_472011!L:R,7,FALSE),VLOOKUP(tables_472011!C125,input_472011!A:H,8,FALSE)),0)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input_472011!A$2</f>
        <v>472011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IF(G126="color",IFERROR(VLOOKUP(B126,input_472011!L:R,7,FALSE),VLOOKUP(tables_472011!C126,input_472011!A:H,8,FALSE)),0)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input_472011!A$2</f>
        <v>472011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IF(G127="color",IFERROR(VLOOKUP(B127,input_472011!L:R,7,FALSE),VLOOKUP(tables_472011!C127,input_472011!A:H,8,FALSE)),0)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input_472011!A$2</f>
        <v>472011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IF(G128="color",IFERROR(VLOOKUP(B128,input_472011!L:R,7,FALSE),VLOOKUP(tables_472011!C128,input_472011!A:H,8,FALSE)),0)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input_472011!A$2</f>
        <v>472011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IF(G129="color",IFERROR(VLOOKUP(B129,input_472011!L:R,7,FALSE),VLOOKUP(tables_472011!C129,input_472011!A:H,8,FALSE)),0)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input_472011!A$2</f>
        <v>472011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IF(G130="color",IFERROR(VLOOKUP(B130,input_472011!L:R,7,FALSE),VLOOKUP(tables_472011!C130,input_472011!A:H,8,FALSE)),0)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input_472011!A$2</f>
        <v>472011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IF(G131="color",IFERROR(VLOOKUP(B131,input_472011!L:R,7,FALSE),VLOOKUP(tables_472011!C131,input_472011!A:H,8,FALSE)),0)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input_472011!A$2</f>
        <v>472011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IF(G132="color",IFERROR(VLOOKUP(B132,input_472011!L:R,7,FALSE),VLOOKUP(tables_472011!C132,input_472011!A:H,8,FALSE)),0)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input_472011!A$2</f>
        <v>472011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IF(G133="color",IFERROR(VLOOKUP(B133,input_472011!L:R,7,FALSE),VLOOKUP(tables_472011!C133,input_472011!A:H,8,FALSE)),0)</f>
        <v>86821.428570000004</v>
      </c>
      <c r="P133" s="46">
        <f t="shared" ca="1" si="9"/>
        <v>3.6175595237198536E-2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input_472011!A$2</f>
        <v>472011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IF(G134="color",IFERROR(VLOOKUP(B134,input_472011!L:R,7,FALSE),VLOOKUP(tables_472011!C134,input_472011!A:H,8,FALSE)),0)</f>
        <v>882.14286000000004</v>
      </c>
      <c r="P134" s="46">
        <f t="shared" ca="1" si="9"/>
        <v>3.6755952499693698E-4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input_472011!A$2</f>
        <v>472011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IF(G135="color",IFERROR(VLOOKUP(B135,input_472011!L:R,7,FALSE),VLOOKUP(tables_472011!C135,input_472011!A:H,8,FALSE)),0)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input_472011!A$2</f>
        <v>472011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IF(G136="color",IFERROR(VLOOKUP(B136,input_472011!L:R,7,FALSE),VLOOKUP(tables_472011!C136,input_472011!A:H,8,FALSE)),0)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input_472011!A$2</f>
        <v>472011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IF(G137="color",IFERROR(VLOOKUP(B137,input_472011!L:R,7,FALSE),VLOOKUP(tables_472011!C137,input_472011!A:H,8,FALSE)),0)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input_472011!A$2</f>
        <v>472011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IF(G138="color",IFERROR(VLOOKUP(B138,input_472011!L:R,7,FALSE),VLOOKUP(tables_472011!C138,input_472011!A:H,8,FALSE)),0)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input_472011!A$2</f>
        <v>472011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IF(G139="color",IFERROR(VLOOKUP(B139,input_472011!L:R,7,FALSE),VLOOKUP(tables_472011!C139,input_472011!A:H,8,FALSE)),0)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input_472011!A$2</f>
        <v>472011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IF(G140="color",IFERROR(VLOOKUP(B140,input_472011!L:R,7,FALSE),VLOOKUP(tables_472011!C140,input_472011!A:H,8,FALSE)),0)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input_472011!A$2</f>
        <v>472011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IF(G141="color",IFERROR(VLOOKUP(B141,input_472011!L:R,7,FALSE),VLOOKUP(tables_472011!C141,input_472011!A:H,8,FALSE)),0)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input_472011!A$2</f>
        <v>472011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IF(G142="color",IFERROR(VLOOKUP(B142,input_472011!L:R,7,FALSE),VLOOKUP(tables_472011!C142,input_472011!A:H,8,FALSE)),0)</f>
        <v>7600</v>
      </c>
      <c r="P142" s="46">
        <f t="shared" ca="1" si="9"/>
        <v>3.1666666666402775E-3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input_472011!A$2</f>
        <v>472011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IF(G143="color",IFERROR(VLOOKUP(B143,input_472011!L:R,7,FALSE),VLOOKUP(tables_472011!C143,input_472011!A:H,8,FALSE)),0)</f>
        <v>400</v>
      </c>
      <c r="P143" s="46">
        <f t="shared" ca="1" si="9"/>
        <v>1.6666666666527777E-4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input_472011!A$2</f>
        <v>472011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IF(G144="color",IFERROR(VLOOKUP(B144,input_472011!L:R,7,FALSE),VLOOKUP(tables_472011!C144,input_472011!A:H,8,FALSE)),0)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input_472011!A$2</f>
        <v>472011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IF(G145="color",IFERROR(VLOOKUP(B145,input_472011!L:R,7,FALSE),VLOOKUP(tables_472011!C145,input_472011!A:H,8,FALSE)),0)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input_472011!A$2</f>
        <v>472011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IF(G146="color",IFERROR(VLOOKUP(B146,input_472011!L:R,7,FALSE),VLOOKUP(tables_472011!C146,input_472011!A:H,8,FALSE)),0)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input_472011!A$2</f>
        <v>472011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IF(G147="color",IFERROR(VLOOKUP(B147,input_472011!L:R,7,FALSE),VLOOKUP(tables_472011!C147,input_472011!A:H,8,FALSE)),0)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input_472011!A$2</f>
        <v>472011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IF(G148="color",IFERROR(VLOOKUP(B148,input_472011!L:R,7,FALSE),VLOOKUP(tables_472011!C148,input_472011!A:H,8,FALSE)),0)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input_472011!A$2</f>
        <v>472011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IF(G149="color",IFERROR(VLOOKUP(B149,input_472011!L:R,7,FALSE),VLOOKUP(tables_472011!C149,input_472011!A:H,8,FALSE)),0)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input_472011!A$2</f>
        <v>472011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IF(G150="color",IFERROR(VLOOKUP(B150,input_472011!L:R,7,FALSE),VLOOKUP(tables_472011!C150,input_472011!A:H,8,FALSE)),0)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input_472011!A$2</f>
        <v>472011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IF(G151="color",IFERROR(VLOOKUP(B151,input_472011!L:R,7,FALSE),VLOOKUP(tables_472011!C151,input_472011!A:H,8,FALSE)),0)</f>
        <v>7600</v>
      </c>
      <c r="P151" s="46">
        <f t="shared" ca="1" si="9"/>
        <v>3.1666666666402775E-3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input_472011!A$2</f>
        <v>472011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IF(G152="color",IFERROR(VLOOKUP(B152,input_472011!L:R,7,FALSE),VLOOKUP(tables_472011!C152,input_472011!A:H,8,FALSE)),0)</f>
        <v>400</v>
      </c>
      <c r="P152" s="46">
        <f t="shared" ca="1" si="9"/>
        <v>1.6666666666527777E-4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input_472011!A$2</f>
        <v>472011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IF(G153="color",IFERROR(VLOOKUP(B153,input_472011!L:R,7,FALSE),VLOOKUP(tables_472011!C153,input_472011!A:H,8,FALSE)),0)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input_472011!A$2</f>
        <v>472011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IF(G154="color",IFERROR(VLOOKUP(B154,input_472011!L:R,7,FALSE),VLOOKUP(tables_472011!C154,input_472011!A:H,8,FALSE)),0)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input_472011!A$2</f>
        <v>472011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IF(G155="color",IFERROR(VLOOKUP(B155,input_472011!L:R,7,FALSE),VLOOKUP(tables_472011!C155,input_472011!A:H,8,FALSE)),0)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input_472011!A$2</f>
        <v>472011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IF(G156="color",IFERROR(VLOOKUP(B156,input_472011!L:R,7,FALSE),VLOOKUP(tables_472011!C156,input_472011!A:H,8,FALSE)),0)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input_472011!A$2</f>
        <v>472011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IF(G157="color",IFERROR(VLOOKUP(B157,input_472011!L:R,7,FALSE),VLOOKUP(tables_472011!C157,input_472011!A:H,8,FALSE)),0)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input_472011!A$2</f>
        <v>472011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IF(G158="color",IFERROR(VLOOKUP(B158,input_472011!L:R,7,FALSE),VLOOKUP(tables_472011!C158,input_472011!A:H,8,FALSE)),0)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input_472011!A$2</f>
        <v>472011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IF(G159="color",IFERROR(VLOOKUP(B159,input_472011!L:R,7,FALSE),VLOOKUP(tables_472011!C159,input_472011!A:H,8,FALSE)),0)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input_472011!A$2</f>
        <v>472011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IF(G160="color",IFERROR(VLOOKUP(B160,input_472011!L:R,7,FALSE),VLOOKUP(tables_472011!C160,input_472011!A:H,8,FALSE)),0)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input_472011!A$2</f>
        <v>472011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IF(G161="color",IFERROR(VLOOKUP(B161,input_472011!L:R,7,FALSE),VLOOKUP(tables_472011!C161,input_472011!A:H,8,FALSE)),0)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input_472011!A$2</f>
        <v>472011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IF(G162="color",IFERROR(VLOOKUP(B162,input_472011!L:R,7,FALSE),VLOOKUP(tables_472011!C162,input_472011!A:H,8,FALSE)),0)</f>
        <v>86821.428570000004</v>
      </c>
      <c r="P162" s="46">
        <f t="shared" ca="1" si="9"/>
        <v>3.6175595237198536E-2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input_472011!A$2</f>
        <v>472011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IF(G163="color",IFERROR(VLOOKUP(B163,input_472011!L:R,7,FALSE),VLOOKUP(tables_472011!C163,input_472011!A:H,8,FALSE)),0)</f>
        <v>882.14286000000004</v>
      </c>
      <c r="P163" s="46">
        <f t="shared" ca="1" si="9"/>
        <v>3.6755952499693698E-4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input_472011!A$2</f>
        <v>472011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IF(G164="color",IFERROR(VLOOKUP(B164,input_472011!L:R,7,FALSE),VLOOKUP(tables_472011!C164,input_472011!A:H,8,FALSE)),0)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input_472011!A$2</f>
        <v>472011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IF(G165="color",IFERROR(VLOOKUP(B165,input_472011!L:R,7,FALSE),VLOOKUP(tables_472011!C165,input_472011!A:H,8,FALSE)),0)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input_472011!A$2</f>
        <v>472011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IF(G166="color",IFERROR(VLOOKUP(B166,input_472011!L:R,7,FALSE),VLOOKUP(tables_472011!C166,input_472011!A:H,8,FALSE)),0)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input_472011!A$2</f>
        <v>472011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IF(G167="color",IFERROR(VLOOKUP(B167,input_472011!L:R,7,FALSE),VLOOKUP(tables_472011!C167,input_472011!A:H,8,FALSE)),0)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input_472011!A$2</f>
        <v>472011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IF(G168="color",IFERROR(VLOOKUP(B168,input_472011!L:R,7,FALSE),VLOOKUP(tables_472011!C168,input_472011!A:H,8,FALSE)),0)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input_472011!A$2</f>
        <v>472011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IF(G169="color",IFERROR(VLOOKUP(B169,input_472011!L:R,7,FALSE),VLOOKUP(tables_472011!C169,input_472011!A:H,8,FALSE)),0)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input_472011!A$2</f>
        <v>472011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IF(G170="color",IFERROR(VLOOKUP(B170,input_472011!L:R,7,FALSE),VLOOKUP(tables_472011!C170,input_472011!A:H,8,FALSE)),0)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input_472011!A$2</f>
        <v>472011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IF(G171="color",IFERROR(VLOOKUP(B171,input_472011!L:R,7,FALSE),VLOOKUP(tables_472011!C171,input_472011!A:H,8,FALSE)),0)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input_472011!A$2</f>
        <v>472011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IF(G172="color",IFERROR(VLOOKUP(B172,input_472011!L:R,7,FALSE),VLOOKUP(tables_472011!C172,input_472011!A:H,8,FALSE)),0)</f>
        <v>86821.428570000004</v>
      </c>
      <c r="P172" s="46">
        <f t="shared" ca="1" si="9"/>
        <v>3.6175595237198536E-2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input_472011!A$2</f>
        <v>472011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IF(G173="color",IFERROR(VLOOKUP(B173,input_472011!L:R,7,FALSE),VLOOKUP(tables_472011!C173,input_472011!A:H,8,FALSE)),0)</f>
        <v>882.14286000000004</v>
      </c>
      <c r="P173" s="46">
        <f t="shared" ca="1" si="9"/>
        <v>3.6755952499693698E-4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input_472011!A$2</f>
        <v>472011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IF(G174="color",IFERROR(VLOOKUP(B174,input_472011!L:R,7,FALSE),VLOOKUP(tables_472011!C174,input_472011!A:H,8,FALSE)),0)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input_472011!A$2</f>
        <v>472011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IF(G175="color",IFERROR(VLOOKUP(B175,input_472011!L:R,7,FALSE),VLOOKUP(tables_472011!C175,input_472011!A:H,8,FALSE)),0)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input_472011!A$2</f>
        <v>472011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IF(G176="color",IFERROR(VLOOKUP(B176,input_472011!L:R,7,FALSE),VLOOKUP(tables_472011!C176,input_472011!A:H,8,FALSE)),0)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input_472011!A$2</f>
        <v>472011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IF(G177="color",IFERROR(VLOOKUP(B177,input_472011!L:R,7,FALSE),VLOOKUP(tables_472011!C177,input_472011!A:H,8,FALSE)),0)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input_472011!A$2</f>
        <v>472011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IF(G178="color",IFERROR(VLOOKUP(B178,input_472011!L:R,7,FALSE),VLOOKUP(tables_472011!C178,input_472011!A:H,8,FALSE)),0)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input_472011!A$2</f>
        <v>472011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IF(G179="color",IFERROR(VLOOKUP(B179,input_472011!L:R,7,FALSE),VLOOKUP(tables_472011!C179,input_472011!A:H,8,FALSE)),0)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input_472011!A$2</f>
        <v>472011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IF(G180="color",IFERROR(VLOOKUP(B180,input_472011!L:R,7,FALSE),VLOOKUP(tables_472011!C180,input_472011!A:H,8,FALSE)),0)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input_472011!A$2</f>
        <v>472011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IF(G181="color",IFERROR(VLOOKUP(B181,input_472011!L:R,7,FALSE),VLOOKUP(tables_472011!C181,input_472011!A:H,8,FALSE)),0)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input_472011!A$2</f>
        <v>472011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IF(G182="color",IFERROR(VLOOKUP(B182,input_472011!L:R,7,FALSE),VLOOKUP(tables_472011!C182,input_472011!A:H,8,FALSE)),0)</f>
        <v>86821.428570000004</v>
      </c>
      <c r="P182" s="46">
        <f t="shared" ca="1" si="9"/>
        <v>3.6175595237198536E-2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input_472011!A$2</f>
        <v>472011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IF(G183="color",IFERROR(VLOOKUP(B183,input_472011!L:R,7,FALSE),VLOOKUP(tables_472011!C183,input_472011!A:H,8,FALSE)),0)</f>
        <v>882.14286000000004</v>
      </c>
      <c r="P183" s="46">
        <f t="shared" ca="1" si="9"/>
        <v>3.6755952499693698E-4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input_472011!A$2</f>
        <v>472011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IF(G184="color",IFERROR(VLOOKUP(B184,input_472011!L:R,7,FALSE),VLOOKUP(tables_472011!C184,input_472011!A:H,8,FALSE)),0)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input_472011!A$2</f>
        <v>472011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IF(G185="color",IFERROR(VLOOKUP(B185,input_472011!L:R,7,FALSE),VLOOKUP(tables_472011!C185,input_472011!A:H,8,FALSE)),0)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input_472011!A$2</f>
        <v>472011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IF(G186="color",IFERROR(VLOOKUP(B186,input_472011!L:R,7,FALSE),VLOOKUP(tables_472011!C186,input_472011!A:H,8,FALSE)),0)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input_472011!A$2</f>
        <v>472011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IF(G187="color",IFERROR(VLOOKUP(B187,input_472011!L:R,7,FALSE),VLOOKUP(tables_472011!C187,input_472011!A:H,8,FALSE)),0)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input_472011!A$2</f>
        <v>472011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IF(G188="color",IFERROR(VLOOKUP(B188,input_472011!L:R,7,FALSE),VLOOKUP(tables_472011!C188,input_472011!A:H,8,FALSE)),0)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input_472011!A$2</f>
        <v>472011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IF(G189="color",IFERROR(VLOOKUP(B189,input_472011!L:R,7,FALSE),VLOOKUP(tables_472011!C189,input_472011!A:H,8,FALSE)),0)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input_472011!A$2</f>
        <v>472011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IF(G190="color",IFERROR(VLOOKUP(B190,input_472011!L:R,7,FALSE),VLOOKUP(tables_472011!C190,input_472011!A:H,8,FALSE)),0)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input_472011!A$2</f>
        <v>472011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IF(G191="color",IFERROR(VLOOKUP(B191,input_472011!L:R,7,FALSE),VLOOKUP(tables_472011!C191,input_472011!A:H,8,FALSE)),0)</f>
        <v>7600</v>
      </c>
      <c r="P191" s="46">
        <f t="shared" ca="1" si="9"/>
        <v>3.1666666666402775E-3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input_472011!A$2</f>
        <v>472011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IF(G192="color",IFERROR(VLOOKUP(B192,input_472011!L:R,7,FALSE),VLOOKUP(tables_472011!C192,input_472011!A:H,8,FALSE)),0)</f>
        <v>400</v>
      </c>
      <c r="P192" s="46">
        <f t="shared" ca="1" si="9"/>
        <v>1.6666666666527777E-4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input_472011!A$2</f>
        <v>472011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IF(G193="color",IFERROR(VLOOKUP(B193,input_472011!L:R,7,FALSE),VLOOKUP(tables_472011!C193,input_472011!A:H,8,FALSE)),0)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input_472011!A$2</f>
        <v>472011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IF(G194="color",IFERROR(VLOOKUP(B194,input_472011!L:R,7,FALSE),VLOOKUP(tables_472011!C194,input_472011!A:H,8,FALSE)),0)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input_472011!A$2</f>
        <v>472011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IF(G195="color",IFERROR(VLOOKUP(B195,input_472011!L:R,7,FALSE),VLOOKUP(tables_472011!C195,input_472011!A:H,8,FALSE)),0)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input_472011!A$2</f>
        <v>472011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IF(G196="color",IFERROR(VLOOKUP(B196,input_472011!L:R,7,FALSE),VLOOKUP(tables_472011!C196,input_472011!A:H,8,FALSE)),0)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input_472011!A$2</f>
        <v>472011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IF(G197="color",IFERROR(VLOOKUP(B197,input_472011!L:R,7,FALSE),VLOOKUP(tables_472011!C197,input_472011!A:H,8,FALSE)),0)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input_472011!A$2</f>
        <v>472011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IF(G198="color",IFERROR(VLOOKUP(B198,input_472011!L:R,7,FALSE),VLOOKUP(tables_472011!C198,input_472011!A:H,8,FALSE)),0)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input_472011!A$2</f>
        <v>472011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IF(G199="color",IFERROR(VLOOKUP(B199,input_472011!L:R,7,FALSE),VLOOKUP(tables_472011!C199,input_472011!A:H,8,FALSE)),0)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input_472011!A$2</f>
        <v>472011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IF(G200="color",IFERROR(VLOOKUP(B200,input_472011!L:R,7,FALSE),VLOOKUP(tables_472011!C200,input_472011!A:H,8,FALSE)),0)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input_472011!A$2</f>
        <v>472011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IF(G201="color",IFERROR(VLOOKUP(B201,input_472011!L:R,7,FALSE),VLOOKUP(tables_472011!C201,input_472011!A:H,8,FALSE)),0)</f>
        <v>7600</v>
      </c>
      <c r="P201" s="46">
        <f t="shared" ca="1" si="13"/>
        <v>3.1666666666402775E-3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input_472011!A$2</f>
        <v>472011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IF(G202="color",IFERROR(VLOOKUP(B202,input_472011!L:R,7,FALSE),VLOOKUP(tables_472011!C202,input_472011!A:H,8,FALSE)),0)</f>
        <v>400</v>
      </c>
      <c r="P202" s="46">
        <f t="shared" ca="1" si="13"/>
        <v>1.6666666666527777E-4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input_472011!A$2</f>
        <v>472011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IF(G203="color",IFERROR(VLOOKUP(B203,input_472011!L:R,7,FALSE),VLOOKUP(tables_472011!C203,input_472011!A:H,8,FALSE)),0)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input_472011!A$2</f>
        <v>472011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IF(G204="color",IFERROR(VLOOKUP(B204,input_472011!L:R,7,FALSE),VLOOKUP(tables_472011!C204,input_472011!A:H,8,FALSE)),0)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input_472011!A$2</f>
        <v>472011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IF(G205="color",IFERROR(VLOOKUP(B205,input_472011!L:R,7,FALSE),VLOOKUP(tables_472011!C205,input_472011!A:H,8,FALSE)),0)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input_472011!A$2</f>
        <v>472011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IF(G206="color",IFERROR(VLOOKUP(B206,input_472011!L:R,7,FALSE),VLOOKUP(tables_472011!C206,input_472011!A:H,8,FALSE)),0)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input_472011!A$2</f>
        <v>472011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IF(G207="color",IFERROR(VLOOKUP(B207,input_472011!L:R,7,FALSE),VLOOKUP(tables_472011!C207,input_472011!A:H,8,FALSE)),0)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input_472011!A$2</f>
        <v>472011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IF(G208="color",IFERROR(VLOOKUP(B208,input_472011!L:R,7,FALSE),VLOOKUP(tables_472011!C208,input_472011!A:H,8,FALSE)),0)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input_472011!A$2</f>
        <v>472011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IF(G209="color",IFERROR(VLOOKUP(B209,input_472011!L:R,7,FALSE),VLOOKUP(tables_472011!C209,input_472011!A:H,8,FALSE)),0)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input_472011!A$2</f>
        <v>472011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IF(G210="color",IFERROR(VLOOKUP(B210,input_472011!L:R,7,FALSE),VLOOKUP(tables_472011!C210,input_472011!A:H,8,FALSE)),0)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input_472011!A$2</f>
        <v>472011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IF(G211="color",IFERROR(VLOOKUP(B211,input_472011!L:R,7,FALSE),VLOOKUP(tables_472011!C211,input_472011!A:H,8,FALSE)),0)</f>
        <v>86821.428570000004</v>
      </c>
      <c r="P211" s="46">
        <f t="shared" ca="1" si="13"/>
        <v>3.6175595237198536E-2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input_472011!A$2</f>
        <v>472011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IF(G212="color",IFERROR(VLOOKUP(B212,input_472011!L:R,7,FALSE),VLOOKUP(tables_472011!C212,input_472011!A:H,8,FALSE)),0)</f>
        <v>882.14286000000004</v>
      </c>
      <c r="P212" s="46">
        <f t="shared" ca="1" si="13"/>
        <v>3.6755952499693698E-4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input_472011!A$2</f>
        <v>472011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IF(G213="color",IFERROR(VLOOKUP(B213,input_472011!L:R,7,FALSE),VLOOKUP(tables_472011!C213,input_472011!A:H,8,FALSE)),0)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input_472011!A$2</f>
        <v>472011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IF(G214="color",IFERROR(VLOOKUP(B214,input_472011!L:R,7,FALSE),VLOOKUP(tables_472011!C214,input_472011!A:H,8,FALSE)),0)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input_472011!A$2</f>
        <v>472011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IF(G215="color",IFERROR(VLOOKUP(B215,input_472011!L:R,7,FALSE),VLOOKUP(tables_472011!C215,input_472011!A:H,8,FALSE)),0)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input_472011!A$2</f>
        <v>472011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IF(G216="color",IFERROR(VLOOKUP(B216,input_472011!L:R,7,FALSE),VLOOKUP(tables_472011!C216,input_472011!A:H,8,FALSE)),0)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input_472011!A$2</f>
        <v>472011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IF(G217="color",IFERROR(VLOOKUP(B217,input_472011!L:R,7,FALSE),VLOOKUP(tables_472011!C217,input_472011!A:H,8,FALSE)),0)</f>
        <v>4750</v>
      </c>
      <c r="P217" s="46">
        <f t="shared" ca="1" si="13"/>
        <v>1.9791666666501735E-3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input_472011!A$2</f>
        <v>472011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IF(G218="color",IFERROR(VLOOKUP(B218,input_472011!L:R,7,FALSE),VLOOKUP(tables_472011!C218,input_472011!A:H,8,FALSE)),0)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input_472011!A$2</f>
        <v>472011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IF(G219="color",IFERROR(VLOOKUP(B219,input_472011!L:R,7,FALSE),VLOOKUP(tables_472011!C219,input_472011!A:H,8,FALSE)),0)</f>
        <v>4750</v>
      </c>
      <c r="P219" s="46">
        <f t="shared" ca="1" si="13"/>
        <v>1.9791666666501735E-3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input_472011!A$2</f>
        <v>472011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IF(G220="color",IFERROR(VLOOKUP(B220,input_472011!L:R,7,FALSE),VLOOKUP(tables_472011!C220,input_472011!A:H,8,FALSE)),0)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input_472011!A$2</f>
        <v>472011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IF(G221="color",IFERROR(VLOOKUP(B221,input_472011!L:R,7,FALSE),VLOOKUP(tables_472011!C221,input_472011!A:H,8,FALSE)),0)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input_472011!A$2</f>
        <v>472011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IF(G222="color",IFERROR(VLOOKUP(B222,input_472011!L:R,7,FALSE),VLOOKUP(tables_472011!C222,input_472011!A:H,8,FALSE)),0)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input_472011!A$2</f>
        <v>472011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IF(G223="color",IFERROR(VLOOKUP(B223,input_472011!L:R,7,FALSE),VLOOKUP(tables_472011!C223,input_472011!A:H,8,FALSE)),0)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input_472011!A$2</f>
        <v>472011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IF(G224="color",IFERROR(VLOOKUP(B224,input_472011!L:R,7,FALSE),VLOOKUP(tables_472011!C224,input_472011!A:H,8,FALSE)),0)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input_472011!A$2</f>
        <v>472011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IF(G225="color",IFERROR(VLOOKUP(B225,input_472011!L:R,7,FALSE),VLOOKUP(tables_472011!C225,input_472011!A:H,8,FALSE)),0)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input_472011!A$2</f>
        <v>472011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IF(G226="color",IFERROR(VLOOKUP(B226,input_472011!L:R,7,FALSE),VLOOKUP(tables_472011!C226,input_472011!A:H,8,FALSE)),0)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input_472011!A$2</f>
        <v>472011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IF(G227="color",IFERROR(VLOOKUP(B227,input_472011!L:R,7,FALSE),VLOOKUP(tables_472011!C227,input_472011!A:H,8,FALSE)),0)</f>
        <v>86821.428570000004</v>
      </c>
      <c r="P227" s="46">
        <f t="shared" ca="1" si="13"/>
        <v>3.6175595237198536E-2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input_472011!A$2</f>
        <v>472011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IF(G228="color",IFERROR(VLOOKUP(B228,input_472011!L:R,7,FALSE),VLOOKUP(tables_472011!C228,input_472011!A:H,8,FALSE)),0)</f>
        <v>882.14286000000004</v>
      </c>
      <c r="P228" s="46">
        <f t="shared" ca="1" si="13"/>
        <v>3.6755952499693698E-4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input_472011!A$2</f>
        <v>472011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IF(G229="color",IFERROR(VLOOKUP(B229,input_472011!L:R,7,FALSE),VLOOKUP(tables_472011!C229,input_472011!A:H,8,FALSE)),0)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input_472011!A$2</f>
        <v>472011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IF(G230="color",IFERROR(VLOOKUP(B230,input_472011!L:R,7,FALSE),VLOOKUP(tables_472011!C230,input_472011!A:H,8,FALSE)),0)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input_472011!A$2</f>
        <v>472011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IF(G231="color",IFERROR(VLOOKUP(B231,input_472011!L:R,7,FALSE),VLOOKUP(tables_472011!C231,input_472011!A:H,8,FALSE)),0)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input_472011!A$2</f>
        <v>472011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IF(G232="color",IFERROR(VLOOKUP(B232,input_472011!L:R,7,FALSE),VLOOKUP(tables_472011!C232,input_472011!A:H,8,FALSE)),0)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input_472011!A$2</f>
        <v>472011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IF(G233="color",IFERROR(VLOOKUP(B233,input_472011!L:R,7,FALSE),VLOOKUP(tables_472011!C233,input_472011!A:H,8,FALSE)),0)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input_472011!A$2</f>
        <v>472011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IF(G234="color",IFERROR(VLOOKUP(B234,input_472011!L:R,7,FALSE),VLOOKUP(tables_472011!C234,input_472011!A:H,8,FALSE)),0)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input_472011!A$2</f>
        <v>472011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IF(G235="color",IFERROR(VLOOKUP(B235,input_472011!L:R,7,FALSE),VLOOKUP(tables_472011!C235,input_472011!A:H,8,FALSE)),0)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input_472011!A$2</f>
        <v>472011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IF(G236="color",IFERROR(VLOOKUP(B236,input_472011!L:R,7,FALSE),VLOOKUP(tables_472011!C236,input_472011!A:H,8,FALSE)),0)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input_472011!A$2</f>
        <v>472011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IF(G237="color",IFERROR(VLOOKUP(B237,input_472011!L:R,7,FALSE),VLOOKUP(tables_472011!C237,input_472011!A:H,8,FALSE)),0)</f>
        <v>7600</v>
      </c>
      <c r="P237" s="46">
        <f t="shared" ca="1" si="13"/>
        <v>3.1666666666402775E-3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input_472011!A$2</f>
        <v>472011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IF(G238="color",IFERROR(VLOOKUP(B238,input_472011!L:R,7,FALSE),VLOOKUP(tables_472011!C238,input_472011!A:H,8,FALSE)),0)</f>
        <v>400</v>
      </c>
      <c r="P238" s="46">
        <f t="shared" ca="1" si="13"/>
        <v>1.6666666666527777E-4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input_472011!A$2</f>
        <v>472011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IF(G239="color",IFERROR(VLOOKUP(B239,input_472011!L:R,7,FALSE),VLOOKUP(tables_472011!C239,input_472011!A:H,8,FALSE)),0)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input_472011!A$2</f>
        <v>472011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IF(G240="color",IFERROR(VLOOKUP(B240,input_472011!L:R,7,FALSE),VLOOKUP(tables_472011!C240,input_472011!A:H,8,FALSE)),0)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input_472011!A$2</f>
        <v>472011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IF(G241="color",IFERROR(VLOOKUP(B241,input_472011!L:R,7,FALSE),VLOOKUP(tables_472011!C241,input_472011!A:H,8,FALSE)),0)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input_472011!A$2</f>
        <v>472011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IF(G242="color",IFERROR(VLOOKUP(B242,input_472011!L:R,7,FALSE),VLOOKUP(tables_472011!C242,input_472011!A:H,8,FALSE)),0)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input_472011!A$2</f>
        <v>472011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IF(G243="color",IFERROR(VLOOKUP(B243,input_472011!L:R,7,FALSE),VLOOKUP(tables_472011!C243,input_472011!A:H,8,FALSE)),0)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input_472011!A$2</f>
        <v>472011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IF(G244="color",IFERROR(VLOOKUP(B244,input_472011!L:R,7,FALSE),VLOOKUP(tables_472011!C244,input_472011!A:H,8,FALSE)),0)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input_472011!A$2</f>
        <v>472011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IF(G245="color",IFERROR(VLOOKUP(B245,input_472011!L:R,7,FALSE),VLOOKUP(tables_472011!C245,input_472011!A:H,8,FALSE)),0)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input_472011!A$2</f>
        <v>472011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IF(G246="color",IFERROR(VLOOKUP(B246,input_472011!L:R,7,FALSE),VLOOKUP(tables_472011!C246,input_472011!A:H,8,FALSE)),0)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input_472011!A$2</f>
        <v>472011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IF(G247="color",IFERROR(VLOOKUP(B247,input_472011!L:R,7,FALSE),VLOOKUP(tables_472011!C247,input_472011!A:H,8,FALSE)),0)</f>
        <v>86821.428570000004</v>
      </c>
      <c r="P247" s="46">
        <f t="shared" ca="1" si="13"/>
        <v>3.6175595237198536E-2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input_472011!A$2</f>
        <v>472011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IF(G248="color",IFERROR(VLOOKUP(B248,input_472011!L:R,7,FALSE),VLOOKUP(tables_472011!C248,input_472011!A:H,8,FALSE)),0)</f>
        <v>882.14286000000004</v>
      </c>
      <c r="P248" s="46">
        <f t="shared" ca="1" si="13"/>
        <v>3.6755952499693698E-4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input_472011!A$2</f>
        <v>472011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IF(G249="color",IFERROR(VLOOKUP(B249,input_472011!L:R,7,FALSE),VLOOKUP(tables_472011!C249,input_472011!A:H,8,FALSE)),0)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input_472011!A$2</f>
        <v>472011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IF(G250="color",IFERROR(VLOOKUP(B250,input_472011!L:R,7,FALSE),VLOOKUP(tables_472011!C250,input_472011!A:H,8,FALSE)),0)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input_472011!A$2</f>
        <v>472011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IF(G251="color",IFERROR(VLOOKUP(B251,input_472011!L:R,7,FALSE),VLOOKUP(tables_472011!C251,input_472011!A:H,8,FALSE)),0)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input_472011!A$2</f>
        <v>472011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IF(G252="color",IFERROR(VLOOKUP(B252,input_472011!L:R,7,FALSE),VLOOKUP(tables_472011!C252,input_472011!A:H,8,FALSE)),0)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input_472011!A$2</f>
        <v>472011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IF(G253="color",IFERROR(VLOOKUP(B253,input_472011!L:R,7,FALSE),VLOOKUP(tables_472011!C253,input_472011!A:H,8,FALSE)),0)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input_472011!A$2</f>
        <v>472011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IF(G254="color",IFERROR(VLOOKUP(B254,input_472011!L:R,7,FALSE),VLOOKUP(tables_472011!C254,input_472011!A:H,8,FALSE)),0)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input_472011!A$2</f>
        <v>472011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IF(G255="color",IFERROR(VLOOKUP(B255,input_472011!L:R,7,FALSE),VLOOKUP(tables_472011!C255,input_472011!A:H,8,FALSE)),0)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input_472011!A$2</f>
        <v>472011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IF(G256="color",IFERROR(VLOOKUP(B256,input_472011!L:R,7,FALSE),VLOOKUP(tables_472011!C256,input_472011!A:H,8,FALSE)),0)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input_472011!A$2</f>
        <v>472011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IF(G257="color",IFERROR(VLOOKUP(B257,input_472011!L:R,7,FALSE),VLOOKUP(tables_472011!C257,input_472011!A:H,8,FALSE)),0)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input_472011!A$2</f>
        <v>472011</v>
      </c>
      <c r="B258" s="60">
        <v>674</v>
      </c>
      <c r="C258" s="7" t="str">
        <f t="shared" ref="C258:C321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IF(G258="color",IFERROR(VLOOKUP(B258,input_472011!L:R,7,FALSE),VLOOKUP(tables_472011!C258,input_472011!A:H,8,FALSE)),0)</f>
        <v>7600</v>
      </c>
      <c r="P258" s="46">
        <f t="shared" ref="P258:P321" ca="1" si="17">O258/SUM(O:O)</f>
        <v>3.1666666666402775E-3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input_472011!A$2</f>
        <v>472011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IF(G259="color",IFERROR(VLOOKUP(B259,input_472011!L:R,7,FALSE),VLOOKUP(tables_472011!C259,input_472011!A:H,8,FALSE)),0)</f>
        <v>400</v>
      </c>
      <c r="P259" s="46">
        <f t="shared" ca="1" si="17"/>
        <v>1.6666666666527777E-4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input_472011!A$2</f>
        <v>472011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IF(G260="color",IFERROR(VLOOKUP(B260,input_472011!L:R,7,FALSE),VLOOKUP(tables_472011!C260,input_472011!A:H,8,FALSE)),0)</f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input_472011!A$2</f>
        <v>472011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IF(G261="color",IFERROR(VLOOKUP(B261,input_472011!L:R,7,FALSE),VLOOKUP(tables_472011!C261,input_472011!A:H,8,FALSE)),0)</f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input_472011!A$2</f>
        <v>472011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IF(G262="color",IFERROR(VLOOKUP(B262,input_472011!L:R,7,FALSE),VLOOKUP(tables_472011!C262,input_472011!A:H,8,FALSE)),0)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input_472011!A$2</f>
        <v>472011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IF(G263="color",IFERROR(VLOOKUP(B263,input_472011!L:R,7,FALSE),VLOOKUP(tables_472011!C263,input_472011!A:H,8,FALSE)),0)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input_472011!A$2</f>
        <v>472011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IF(G264="color",IFERROR(VLOOKUP(B264,input_472011!L:R,7,FALSE),VLOOKUP(tables_472011!C264,input_472011!A:H,8,FALSE)),0)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input_472011!A$2</f>
        <v>472011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IF(G265="color",IFERROR(VLOOKUP(B265,input_472011!L:R,7,FALSE),VLOOKUP(tables_472011!C265,input_472011!A:H,8,FALSE)),0)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input_472011!A$2</f>
        <v>472011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IF(G266="color",IFERROR(VLOOKUP(B266,input_472011!L:R,7,FALSE),VLOOKUP(tables_472011!C266,input_472011!A:H,8,FALSE)),0)</f>
        <v>8000</v>
      </c>
      <c r="P266" s="46">
        <f t="shared" ca="1" si="17"/>
        <v>3.3333333333055554E-3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input_472011!A$2</f>
        <v>472011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IF(G267="color",IFERROR(VLOOKUP(B267,input_472011!L:R,7,FALSE),VLOOKUP(tables_472011!C267,input_472011!A:H,8,FALSE)),0)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input_472011!A$2</f>
        <v>472011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IF(G268="color",IFERROR(VLOOKUP(B268,input_472011!L:R,7,FALSE),VLOOKUP(tables_472011!C268,input_472011!A:H,8,FALSE)),0)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input_472011!A$2</f>
        <v>472011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IF(G269="color",IFERROR(VLOOKUP(B269,input_472011!L:R,7,FALSE),VLOOKUP(tables_472011!C269,input_472011!A:H,8,FALSE)),0)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input_472011!A$2</f>
        <v>472011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IF(G270="color",IFERROR(VLOOKUP(B270,input_472011!L:R,7,FALSE),VLOOKUP(tables_472011!C270,input_472011!A:H,8,FALSE)),0)</f>
        <v>87875</v>
      </c>
      <c r="P270" s="46">
        <f t="shared" ca="1" si="17"/>
        <v>3.6614583333028208E-2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input_472011!A$2</f>
        <v>472011</v>
      </c>
      <c r="B271" s="81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IF(G271="color",IFERROR(VLOOKUP(B271,input_472011!L:R,7,FALSE),VLOOKUP(tables_472011!C271,input_472011!A:H,8,FALSE)),0)</f>
        <v>4750</v>
      </c>
      <c r="P271" s="46">
        <f t="shared" ca="1" si="17"/>
        <v>1.9791666666501735E-3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input_472011!A$2</f>
        <v>472011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IF(G272="color",IFERROR(VLOOKUP(B272,input_472011!L:R,7,FALSE),VLOOKUP(tables_472011!C272,input_472011!A:H,8,FALSE)),0)</f>
        <v>0</v>
      </c>
      <c r="P272" s="46">
        <f t="shared" ca="1" si="17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input_472011!A$2</f>
        <v>472011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IF(G273="color",IFERROR(VLOOKUP(B273,input_472011!L:R,7,FALSE),VLOOKUP(tables_472011!C273,input_472011!A:H,8,FALSE)),0)</f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input_472011!A$2</f>
        <v>472011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IF(G274="color",IFERROR(VLOOKUP(B274,input_472011!L:R,7,FALSE),VLOOKUP(tables_472011!C274,input_472011!A:H,8,FALSE)),0)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input_472011!A$2</f>
        <v>472011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IF(G275="color",IFERROR(VLOOKUP(B275,input_472011!L:R,7,FALSE),VLOOKUP(tables_472011!C275,input_472011!A:H,8,FALSE)),0)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input_472011!A$2</f>
        <v>472011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IF(G276="color",IFERROR(VLOOKUP(B276,input_472011!L:R,7,FALSE),VLOOKUP(tables_472011!C276,input_472011!A:H,8,FALSE)),0)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input_472011!A$2</f>
        <v>472011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IF(G277="color",IFERROR(VLOOKUP(B277,input_472011!L:R,7,FALSE),VLOOKUP(tables_472011!C277,input_472011!A:H,8,FALSE)),0)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input_472011!A$2</f>
        <v>472011</v>
      </c>
      <c r="B278" s="81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IF(G278="color",IFERROR(VLOOKUP(B278,input_472011!L:R,7,FALSE),VLOOKUP(tables_472011!C278,input_472011!A:H,8,FALSE)),0)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input_472011!A$2</f>
        <v>472011</v>
      </c>
      <c r="B279" s="81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IF(G279="color",IFERROR(VLOOKUP(B279,input_472011!L:R,7,FALSE),VLOOKUP(tables_472011!C279,input_472011!A:H,8,FALSE)),0)</f>
        <v>86821.428570000004</v>
      </c>
      <c r="P279" s="46">
        <f t="shared" ca="1" si="17"/>
        <v>3.6175595237198536E-2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input_472011!A$2</f>
        <v>472011</v>
      </c>
      <c r="B280" s="81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IF(G280="color",IFERROR(VLOOKUP(B280,input_472011!L:R,7,FALSE),VLOOKUP(tables_472011!C280,input_472011!A:H,8,FALSE)),0)</f>
        <v>882.14286000000004</v>
      </c>
      <c r="P280" s="46">
        <f t="shared" ca="1" si="17"/>
        <v>3.6755952499693698E-4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input_472011!A$2</f>
        <v>472011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IF(G281="color",IFERROR(VLOOKUP(B281,input_472011!L:R,7,FALSE),VLOOKUP(tables_472011!C281,input_472011!A:H,8,FALSE)),0)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input_472011!A$2</f>
        <v>472011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IF(G282="color",IFERROR(VLOOKUP(B282,input_472011!L:R,7,FALSE),VLOOKUP(tables_472011!C282,input_472011!A:H,8,FALSE)),0)</f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input_472011!A$2</f>
        <v>472011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IF(G283="color",IFERROR(VLOOKUP(B283,input_472011!L:R,7,FALSE),VLOOKUP(tables_472011!C283,input_472011!A:H,8,FALSE)),0)</f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input_472011!A$2</f>
        <v>472011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IF(G284="color",IFERROR(VLOOKUP(B284,input_472011!L:R,7,FALSE),VLOOKUP(tables_472011!C284,input_472011!A:H,8,FALSE)),0)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input_472011!A$2</f>
        <v>472011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IF(G285="color",IFERROR(VLOOKUP(B285,input_472011!L:R,7,FALSE),VLOOKUP(tables_472011!C285,input_472011!A:H,8,FALSE)),0)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input_472011!A$2</f>
        <v>472011</v>
      </c>
      <c r="B286" s="5">
        <v>852</v>
      </c>
      <c r="C286" s="7" t="str">
        <f t="shared" si="16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IF(G286="color",IFERROR(VLOOKUP(B286,input_472011!L:R,7,FALSE),VLOOKUP(tables_472011!C286,input_472011!A:H,8,FALSE)),0)</f>
        <v>87875</v>
      </c>
      <c r="P286" s="46">
        <f t="shared" ca="1" si="17"/>
        <v>3.6614583333028208E-2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input_472011!A$2</f>
        <v>472011</v>
      </c>
      <c r="B287" s="5">
        <v>853</v>
      </c>
      <c r="C287" s="7" t="str">
        <f t="shared" si="16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IF(G287="color",IFERROR(VLOOKUP(B287,input_472011!L:R,7,FALSE),VLOOKUP(tables_472011!C287,input_472011!A:H,8,FALSE)),0)</f>
        <v>4750</v>
      </c>
      <c r="P287" s="46">
        <f t="shared" ca="1" si="17"/>
        <v>1.9791666666501735E-3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input_472011!A$2</f>
        <v>472011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IF(G288="color",IFERROR(VLOOKUP(B288,input_472011!L:R,7,FALSE),VLOOKUP(tables_472011!C288,input_472011!A:H,8,FALSE)),0)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input_472011!A$2</f>
        <v>472011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IF(G289="color",IFERROR(VLOOKUP(B289,input_472011!L:R,7,FALSE),VLOOKUP(tables_472011!C289,input_472011!A:H,8,FALSE)),0)</f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input_472011!A$2</f>
        <v>472011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IF(G290="color",IFERROR(VLOOKUP(B290,input_472011!L:R,7,FALSE),VLOOKUP(tables_472011!C290,input_472011!A:H,8,FALSE)),0)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input_472011!A$2</f>
        <v>472011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IF(G291="color",IFERROR(VLOOKUP(B291,input_472011!L:R,7,FALSE),VLOOKUP(tables_472011!C291,input_472011!A:H,8,FALSE)),0)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input_472011!A$2</f>
        <v>472011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IF(G292="color",IFERROR(VLOOKUP(B292,input_472011!L:R,7,FALSE),VLOOKUP(tables_472011!C292,input_472011!A:H,8,FALSE)),0)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input_472011!A$2</f>
        <v>472011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IF(G293="color",IFERROR(VLOOKUP(B293,input_472011!L:R,7,FALSE),VLOOKUP(tables_472011!C293,input_472011!A:H,8,FALSE)),0)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input_472011!A$2</f>
        <v>472011</v>
      </c>
      <c r="B294" s="5">
        <v>866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IF(G294="color",IFERROR(VLOOKUP(B294,input_472011!L:R,7,FALSE),VLOOKUP(tables_472011!C294,input_472011!A:H,8,FALSE)),0)</f>
        <v>8000</v>
      </c>
      <c r="P294" s="46">
        <f t="shared" ca="1" si="17"/>
        <v>3.3333333333055554E-3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input_472011!A$2</f>
        <v>472011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IF(G295="color",IFERROR(VLOOKUP(B295,input_472011!L:R,7,FALSE),VLOOKUP(tables_472011!C295,input_472011!A:H,8,FALSE)),0)</f>
        <v>0</v>
      </c>
      <c r="P295" s="46">
        <f t="shared" ca="1" si="17"/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input_472011!A$2</f>
        <v>472011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IF(G296="color",IFERROR(VLOOKUP(B296,input_472011!L:R,7,FALSE),VLOOKUP(tables_472011!C296,input_472011!A:H,8,FALSE)),0)</f>
        <v>0</v>
      </c>
      <c r="P296" s="46">
        <f t="shared" ca="1" si="17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input_472011!A$2</f>
        <v>472011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IF(G297="color",IFERROR(VLOOKUP(B297,input_472011!L:R,7,FALSE),VLOOKUP(tables_472011!C297,input_472011!A:H,8,FALSE)),0)</f>
        <v>0</v>
      </c>
      <c r="P297" s="46">
        <f t="shared" ca="1" si="17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input_472011!A$2</f>
        <v>472011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IF(G298="color",IFERROR(VLOOKUP(B298,input_472011!L:R,7,FALSE),VLOOKUP(tables_472011!C298,input_472011!A:H,8,FALSE)),0)</f>
        <v>0</v>
      </c>
      <c r="P298" s="46">
        <f t="shared" ca="1" si="17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input_472011!A$2</f>
        <v>472011</v>
      </c>
      <c r="B299" s="5">
        <v>941</v>
      </c>
      <c r="C299" s="7" t="str">
        <f t="shared" si="16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IF(G299="color",IFERROR(VLOOKUP(B299,input_472011!L:R,7,FALSE),VLOOKUP(tables_472011!C299,input_472011!A:H,8,FALSE)),0)</f>
        <v>8000</v>
      </c>
      <c r="P299" s="46">
        <f t="shared" ca="1" si="17"/>
        <v>3.3333333333055554E-3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input_472011!A$2</f>
        <v>472011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IF(G300="color",IFERROR(VLOOKUP(B300,input_472011!L:R,7,FALSE),VLOOKUP(tables_472011!C300,input_472011!A:H,8,FALSE)),0)</f>
        <v>0</v>
      </c>
      <c r="P300" s="46">
        <f t="shared" ca="1" si="17"/>
        <v>0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input_472011!A$2</f>
        <v>472011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IF(G301="color",IFERROR(VLOOKUP(B301,input_472011!L:R,7,FALSE),VLOOKUP(tables_472011!C301,input_472011!A:H,8,FALSE)),0)</f>
        <v>0</v>
      </c>
      <c r="P301" s="46">
        <f t="shared" ca="1" si="17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input_472011!A$2</f>
        <v>472011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IF(G302="color",IFERROR(VLOOKUP(B302,input_472011!L:R,7,FALSE),VLOOKUP(tables_472011!C302,input_472011!A:H,8,FALSE)),0)</f>
        <v>0</v>
      </c>
      <c r="P302" s="46">
        <f t="shared" ca="1" si="1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input_472011!A$2</f>
        <v>472011</v>
      </c>
      <c r="B303" s="5">
        <v>1016</v>
      </c>
      <c r="C303" s="7" t="str">
        <f t="shared" si="1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IF(G303="color",IFERROR(VLOOKUP(B303,input_472011!L:R,7,FALSE),VLOOKUP(tables_472011!C303,input_472011!A:H,8,FALSE)),0)</f>
        <v>87875</v>
      </c>
      <c r="P303" s="46">
        <f t="shared" ca="1" si="17"/>
        <v>3.6614583333028208E-2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input_472011!A$2</f>
        <v>472011</v>
      </c>
      <c r="B304" s="5">
        <v>1017</v>
      </c>
      <c r="C304" s="7" t="str">
        <f t="shared" si="1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IF(G304="color",IFERROR(VLOOKUP(B304,input_472011!L:R,7,FALSE),VLOOKUP(tables_472011!C304,input_472011!A:H,8,FALSE)),0)</f>
        <v>4750</v>
      </c>
      <c r="P304" s="46">
        <f t="shared" ca="1" si="17"/>
        <v>1.9791666666501735E-3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input_472011!A$2</f>
        <v>472011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IF(G305="color",IFERROR(VLOOKUP(B305,input_472011!L:R,7,FALSE),VLOOKUP(tables_472011!C305,input_472011!A:H,8,FALSE)),0)</f>
        <v>0</v>
      </c>
      <c r="P305" s="46">
        <f t="shared" ca="1" si="17"/>
        <v>0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input_472011!A$2</f>
        <v>472011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IF(G306="color",IFERROR(VLOOKUP(B306,input_472011!L:R,7,FALSE),VLOOKUP(tables_472011!C306,input_472011!A:H,8,FALSE)),0)</f>
        <v>0</v>
      </c>
      <c r="P306" s="46">
        <f t="shared" ca="1" si="17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input_472011!A$2</f>
        <v>472011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IF(G307="color",IFERROR(VLOOKUP(B307,input_472011!L:R,7,FALSE),VLOOKUP(tables_472011!C307,input_472011!A:H,8,FALSE)),0)</f>
        <v>0</v>
      </c>
      <c r="P307" s="46">
        <f t="shared" ca="1" si="1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input_472011!A$2</f>
        <v>472011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IF(G308="color",IFERROR(VLOOKUP(B308,input_472011!L:R,7,FALSE),VLOOKUP(tables_472011!C308,input_472011!A:H,8,FALSE)),0)</f>
        <v>0</v>
      </c>
      <c r="P308" s="46">
        <f t="shared" ca="1" si="1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input_472011!A$2</f>
        <v>472011</v>
      </c>
      <c r="B309" s="5">
        <v>1031</v>
      </c>
      <c r="C309" s="7" t="str">
        <f t="shared" si="1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IF(G309="color",IFERROR(VLOOKUP(B309,input_472011!L:R,7,FALSE),VLOOKUP(tables_472011!C309,input_472011!A:H,8,FALSE)),0)</f>
        <v>8000</v>
      </c>
      <c r="P309" s="46">
        <f t="shared" ca="1" si="17"/>
        <v>3.3333333333055554E-3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input_472011!A$2</f>
        <v>472011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IF(G310="color",IFERROR(VLOOKUP(B310,input_472011!L:R,7,FALSE),VLOOKUP(tables_472011!C310,input_472011!A:H,8,FALSE)),0)</f>
        <v>0</v>
      </c>
      <c r="P310" s="46">
        <f t="shared" ca="1" si="17"/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input_472011!A$2</f>
        <v>472011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IF(G311="color",IFERROR(VLOOKUP(B311,input_472011!L:R,7,FALSE),VLOOKUP(tables_472011!C311,input_472011!A:H,8,FALSE)),0)</f>
        <v>0</v>
      </c>
      <c r="P311" s="46">
        <f t="shared" ca="1" si="17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input_472011!A$2</f>
        <v>472011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IF(G312="color",IFERROR(VLOOKUP(B312,input_472011!L:R,7,FALSE),VLOOKUP(tables_472011!C312,input_472011!A:H,8,FALSE)),0)</f>
        <v>0</v>
      </c>
      <c r="P312" s="46">
        <f t="shared" ca="1" si="17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input_472011!A$2</f>
        <v>472011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IF(G313="color",IFERROR(VLOOKUP(B313,input_472011!L:R,7,FALSE),VLOOKUP(tables_472011!C313,input_472011!A:H,8,FALSE)),0)</f>
        <v>0</v>
      </c>
      <c r="P313" s="46">
        <f t="shared" ca="1" si="17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input_472011!A$2</f>
        <v>472011</v>
      </c>
      <c r="B314" s="5">
        <v>1072</v>
      </c>
      <c r="C314" s="7" t="str">
        <f t="shared" si="16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IF(G314="color",IFERROR(VLOOKUP(B314,input_472011!L:R,7,FALSE),VLOOKUP(tables_472011!C314,input_472011!A:H,8,FALSE)),0)</f>
        <v>8000</v>
      </c>
      <c r="P314" s="46">
        <f t="shared" ca="1" si="17"/>
        <v>3.3333333333055554E-3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input_472011!A$2</f>
        <v>472011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IF(G315="color",IFERROR(VLOOKUP(B315,input_472011!L:R,7,FALSE),VLOOKUP(tables_472011!C315,input_472011!A:H,8,FALSE)),0)</f>
        <v>0</v>
      </c>
      <c r="P315" s="46">
        <f t="shared" ca="1" si="17"/>
        <v>0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input_472011!A$2</f>
        <v>472011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IF(G316="color",IFERROR(VLOOKUP(B316,input_472011!L:R,7,FALSE),VLOOKUP(tables_472011!C316,input_472011!A:H,8,FALSE)),0)</f>
        <v>0</v>
      </c>
      <c r="P316" s="46">
        <f t="shared" ca="1" si="1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input_472011!A$2</f>
        <v>472011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IF(G317="color",IFERROR(VLOOKUP(B317,input_472011!L:R,7,FALSE),VLOOKUP(tables_472011!C317,input_472011!A:H,8,FALSE)),0)</f>
        <v>0</v>
      </c>
      <c r="P317" s="46">
        <f t="shared" ca="1" si="1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input_472011!A$2</f>
        <v>472011</v>
      </c>
      <c r="B318" s="5">
        <v>1104</v>
      </c>
      <c r="C318" s="7" t="str">
        <f t="shared" si="16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IF(G318="color",IFERROR(VLOOKUP(B318,input_472011!L:R,7,FALSE),VLOOKUP(tables_472011!C318,input_472011!A:H,8,FALSE)),0)</f>
        <v>87875</v>
      </c>
      <c r="P318" s="46">
        <f t="shared" ca="1" si="17"/>
        <v>3.6614583333028208E-2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input_472011!A$2</f>
        <v>472011</v>
      </c>
      <c r="B319" s="5">
        <v>1105</v>
      </c>
      <c r="C319" s="7" t="str">
        <f t="shared" si="16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IF(G319="color",IFERROR(VLOOKUP(B319,input_472011!L:R,7,FALSE),VLOOKUP(tables_472011!C319,input_472011!A:H,8,FALSE)),0)</f>
        <v>4750</v>
      </c>
      <c r="P319" s="46">
        <f t="shared" ca="1" si="17"/>
        <v>1.9791666666501735E-3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input_472011!A$2</f>
        <v>472011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IF(G320="color",IFERROR(VLOOKUP(B320,input_472011!L:R,7,FALSE),VLOOKUP(tables_472011!C320,input_472011!A:H,8,FALSE)),0)</f>
        <v>0</v>
      </c>
      <c r="P320" s="46">
        <f t="shared" ca="1" si="17"/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input_472011!A$2</f>
        <v>472011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IF(G321="color",IFERROR(VLOOKUP(B321,input_472011!L:R,7,FALSE),VLOOKUP(tables_472011!C321,input_472011!A:H,8,FALSE)),0)</f>
        <v>0</v>
      </c>
      <c r="P321" s="46">
        <f t="shared" ca="1" si="17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input_472011!A$2</f>
        <v>472011</v>
      </c>
      <c r="B322" s="5">
        <v>1139</v>
      </c>
      <c r="C322" s="7" t="str">
        <f t="shared" ref="C322:C340" si="20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IF(G322="color",IFERROR(VLOOKUP(B322,input_472011!L:R,7,FALSE),VLOOKUP(tables_472011!C322,input_472011!A:H,8,FALSE)),0)</f>
        <v>0</v>
      </c>
      <c r="P322" s="46">
        <f t="shared" ref="P322:P340" ca="1" si="21">O322/SUM(O:O)</f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input_472011!A$2</f>
        <v>472011</v>
      </c>
      <c r="B323" s="5">
        <v>1141</v>
      </c>
      <c r="C323" s="7" t="str">
        <f t="shared" si="20"/>
        <v>PremiumSS5R5onlycolor</v>
      </c>
      <c r="D323" s="7" t="str">
        <f t="shared" ref="D323:D340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23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IF(G323="color",IFERROR(VLOOKUP(B323,input_472011!L:R,7,FALSE),VLOOKUP(tables_472011!C323,input_472011!A:H,8,FALSE)),0)</f>
        <v>8000</v>
      </c>
      <c r="P323" s="46">
        <f t="shared" ca="1" si="21"/>
        <v>3.3333333333055554E-3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input_472011!A$2</f>
        <v>472011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IF(G324="color",IFERROR(VLOOKUP(B324,input_472011!L:R,7,FALSE),VLOOKUP(tables_472011!C324,input_472011!A:H,8,FALSE)),0)</f>
        <v>0</v>
      </c>
      <c r="P324" s="46">
        <f t="shared" ca="1" si="21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input_472011!A$2</f>
        <v>472011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IF(G325="color",IFERROR(VLOOKUP(B325,input_472011!L:R,7,FALSE),VLOOKUP(tables_472011!C325,input_472011!A:H,8,FALSE)),0)</f>
        <v>0</v>
      </c>
      <c r="P325" s="46">
        <f t="shared" ca="1" si="21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input_472011!A$2</f>
        <v>472011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IF(G326="color",IFERROR(VLOOKUP(B326,input_472011!L:R,7,FALSE),VLOOKUP(tables_472011!C326,input_472011!A:H,8,FALSE)),0)</f>
        <v>0</v>
      </c>
      <c r="P326" s="46">
        <f t="shared" ca="1" si="21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input_472011!A$2</f>
        <v>472011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IF(G327="color",IFERROR(VLOOKUP(B327,input_472011!L:R,7,FALSE),VLOOKUP(tables_472011!C327,input_472011!A:H,8,FALSE)),0)</f>
        <v>0</v>
      </c>
      <c r="P327" s="46">
        <f t="shared" ca="1" si="21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input_472011!A$2</f>
        <v>472011</v>
      </c>
      <c r="B328" s="2">
        <v>1153</v>
      </c>
      <c r="C328" s="7" t="str">
        <f t="shared" si="20"/>
        <v>PremiumSS5R5only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IF(G328="color",IFERROR(VLOOKUP(B328,input_472011!L:R,7,FALSE),VLOOKUP(tables_472011!C328,input_472011!A:H,8,FALSE)),0)</f>
        <v>0</v>
      </c>
      <c r="P328" s="46">
        <f t="shared" ca="1" si="21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input_472011!A$2</f>
        <v>472011</v>
      </c>
      <c r="B329" s="2">
        <v>1155</v>
      </c>
      <c r="C329" s="7" t="str">
        <f t="shared" si="20"/>
        <v>PremiumSS5R5onlycolor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IF(G329="color",IFERROR(VLOOKUP(B329,input_472011!L:R,7,FALSE),VLOOKUP(tables_472011!C329,input_472011!A:H,8,FALSE)),0)</f>
        <v>8000</v>
      </c>
      <c r="P329" s="46">
        <f t="shared" ca="1" si="21"/>
        <v>3.3333333333055554E-3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input_472011!A$2</f>
        <v>472011</v>
      </c>
      <c r="B330" s="2">
        <v>1157</v>
      </c>
      <c r="C330" s="7" t="str">
        <f t="shared" si="20"/>
        <v>PremiumSS5R5only</v>
      </c>
      <c r="D330" s="96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IF(G330="color",IFERROR(VLOOKUP(B330,input_472011!L:R,7,FALSE),VLOOKUP(tables_472011!C330,input_472011!A:H,8,FALSE)),0)</f>
        <v>0</v>
      </c>
      <c r="P330" s="46">
        <f t="shared" ca="1" si="21"/>
        <v>0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input_472011!A$2</f>
        <v>472011</v>
      </c>
      <c r="B331" s="60">
        <v>1214</v>
      </c>
      <c r="C331" s="7" t="str">
        <f t="shared" si="20"/>
        <v>PremiumSS5R5only</v>
      </c>
      <c r="D331" s="96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IF(G331="color",IFERROR(VLOOKUP(B331,input_472011!L:R,7,FALSE),VLOOKUP(tables_472011!C331,input_472011!A:H,8,FALSE)),0)</f>
        <v>0</v>
      </c>
      <c r="P331" s="46">
        <f t="shared" ca="1" si="21"/>
        <v>0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input_472011!A$2</f>
        <v>472011</v>
      </c>
      <c r="B332" s="60">
        <v>1212</v>
      </c>
      <c r="C332" s="7" t="str">
        <f t="shared" si="20"/>
        <v>PremiumSS5R5onlycolor</v>
      </c>
      <c r="D332" s="96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>color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IF(G332="color",IFERROR(VLOOKUP(B332,input_472011!L:R,7,FALSE),VLOOKUP(tables_472011!C332,input_472011!A:H,8,FALSE)),0)</f>
        <v>8000</v>
      </c>
      <c r="P332" s="46">
        <f t="shared" ca="1" si="21"/>
        <v>3.3333333333055554E-3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input_472011!A$2</f>
        <v>472011</v>
      </c>
      <c r="B333" s="60">
        <v>1208</v>
      </c>
      <c r="C333" s="7" t="str">
        <f t="shared" si="20"/>
        <v>PremiumSS5R5only</v>
      </c>
      <c r="D333" s="96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IF(G333="color",IFERROR(VLOOKUP(B333,input_472011!L:R,7,FALSE),VLOOKUP(tables_472011!C333,input_472011!A:H,8,FALSE)),0)</f>
        <v>0</v>
      </c>
      <c r="P333" s="46">
        <f t="shared" ca="1" si="21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input_472011!A$2</f>
        <v>472011</v>
      </c>
      <c r="B334" s="93">
        <v>1210</v>
      </c>
      <c r="C334" s="7" t="str">
        <f t="shared" si="20"/>
        <v>Premium4R3less</v>
      </c>
      <c r="D334" s="96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IF(G334="color",IFERROR(VLOOKUP(B334,input_472011!L:R,7,FALSE),VLOOKUP(tables_472011!C334,input_472011!A:H,8,FALSE)),0)</f>
        <v>0</v>
      </c>
      <c r="P334" s="46">
        <f t="shared" ca="1" si="21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input_472011!A$2</f>
        <v>472011</v>
      </c>
      <c r="B335" s="60">
        <v>1211</v>
      </c>
      <c r="C335" s="7" t="str">
        <f t="shared" si="20"/>
        <v>Premium5R3less</v>
      </c>
      <c r="D335" s="96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IF(G335="color",IFERROR(VLOOKUP(B335,input_472011!L:R,7,FALSE),VLOOKUP(tables_472011!C335,input_472011!A:H,8,FALSE)),0)</f>
        <v>0</v>
      </c>
      <c r="P335" s="46">
        <f t="shared" ca="1" si="21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input_472011!A$2</f>
        <v>472011</v>
      </c>
      <c r="B336" s="2">
        <v>1224</v>
      </c>
      <c r="C336" s="7" t="str">
        <f t="shared" si="20"/>
        <v>Premium4R3less</v>
      </c>
      <c r="D336" s="96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IF(G336="color",IFERROR(VLOOKUP(B336,input_472011!L:R,7,FALSE),VLOOKUP(tables_472011!C336,input_472011!A:H,8,FALSE)),0)</f>
        <v>0</v>
      </c>
      <c r="P336" s="46">
        <f t="shared" ca="1" si="21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input_472011!A$2</f>
        <v>472011</v>
      </c>
      <c r="B337" s="2">
        <v>1225</v>
      </c>
      <c r="C337" s="7" t="str">
        <f t="shared" si="20"/>
        <v>Premium5R3less</v>
      </c>
      <c r="D337" s="96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IF(G337="color",IFERROR(VLOOKUP(B337,input_472011!L:R,7,FALSE),VLOOKUP(tables_472011!C337,input_472011!A:H,8,FALSE)),0)</f>
        <v>0</v>
      </c>
      <c r="P337" s="46">
        <f t="shared" ca="1" si="21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input_472011!A$2</f>
        <v>472011</v>
      </c>
      <c r="B338" s="2">
        <v>1226</v>
      </c>
      <c r="C338" s="7" t="str">
        <f t="shared" si="20"/>
        <v>PremiumSS5R5only</v>
      </c>
      <c r="D338" s="96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IF(G338="color",IFERROR(VLOOKUP(B338,input_472011!L:R,7,FALSE),VLOOKUP(tables_472011!C338,input_472011!A:H,8,FALSE)),0)</f>
        <v>0</v>
      </c>
      <c r="P338" s="46">
        <f t="shared" ca="1" si="21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input_472011!A$2</f>
        <v>472011</v>
      </c>
      <c r="B339" s="2">
        <v>1228</v>
      </c>
      <c r="C339" s="7" t="str">
        <f t="shared" si="20"/>
        <v>PremiumSS5R5onlycolor</v>
      </c>
      <c r="D339" s="96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>color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IF(G339="color",IFERROR(VLOOKUP(B339,input_472011!L:R,7,FALSE),VLOOKUP(tables_472011!C339,input_472011!A:H,8,FALSE)),0)</f>
        <v>8000</v>
      </c>
      <c r="P339" s="46">
        <f t="shared" ca="1" si="21"/>
        <v>3.3333333333055554E-3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input_472011!A$2</f>
        <v>472011</v>
      </c>
      <c r="B340" s="2">
        <v>1230</v>
      </c>
      <c r="C340" s="7" t="str">
        <f t="shared" si="20"/>
        <v>PremiumSS5R5only</v>
      </c>
      <c r="D340" s="96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IF(G340="color",IFERROR(VLOOKUP(B340,input_472011!L:R,7,FALSE),VLOOKUP(tables_472011!C340,input_472011!A:H,8,FALSE)),0)</f>
        <v>0</v>
      </c>
      <c r="P340" s="46">
        <f t="shared" ca="1" si="21"/>
        <v>0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B5" sqref="B5:B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472012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VLOOKUP(L3,tables_472012!B:C,2,FALSE)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VLOOKUP(L4,tables_472012!B:C,2,FALSE)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3.1250000000000002E-3</v>
      </c>
      <c r="F5">
        <f>(COUNTIF(tables_472012!C:C,input_472012!A28)+COUNTIF(tables_472012!C:C,input_472012!A29))</f>
        <v>16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VLOOKUP(L5,tables_472012!B:C,2,FALSE)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4.1304347826086954E-2</v>
      </c>
      <c r="F6">
        <f>(COUNTIF(tables_472012!C:C,input_472012!A25)+COUNTIF(tables_472012!C:C,input_472012!A18)+COUNTIF(tables_472012!C:C,input_472012!A20)+COUNTIF(tables_472012!C:C,input_472012!A22))</f>
        <v>23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VLOOKUP(L6,tables_472012!B:C,2,FALSE)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VLOOKUP(L7,tables_472012!B:C,2,FALSE)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VLOOKUP(L8,tables_472012!B:C,2,FALSE)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VLOOKUP(L9,tables_472012!B:C,2,FALSE)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VLOOKUP(L10,tables_472012!B:C,2,FALSE)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VLOOKUP(L11,tables_472012!B:C,2,FALSE)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VLOOKUP(L12,tables_472012!B:C,2,FALSE)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VLOOKUP(L13,tables_472012!B:C,2,FALSE)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VLOOKUP(L14,tables_472012!B:C,2,FALSE)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VLOOKUP(L15,tables_472012!B:C,2,FALSE)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VLOOKUP(L16,tables_472012!B:C,2,FALSE)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251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COUNTIF(tables_472012!C:C,input_472012!A17)-COUNTIF(Q:Q,A17)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VLOOKUP(L17,tables_472012!B:C,2,FALSE)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252</v>
      </c>
      <c r="B18" s="56">
        <f>E$6*E18-B17+E34+0.02</f>
        <v>0.24497961955978256</v>
      </c>
      <c r="C18" s="85">
        <f t="shared" si="2"/>
        <v>0</v>
      </c>
      <c r="D18" s="74">
        <f t="shared" si="3"/>
        <v>0.24497961955978256</v>
      </c>
      <c r="E18">
        <f>COUNTIF(tables_472012!C:C,input_472012!A18)-COUNTIF(Q:Q,A18)</f>
        <v>5</v>
      </c>
      <c r="F18" s="43">
        <f>IFERROR(B18/E18,0)</f>
        <v>4.8995923911956514E-2</v>
      </c>
      <c r="G18">
        <f t="shared" si="4"/>
        <v>1803049.9999599997</v>
      </c>
      <c r="H18">
        <f t="shared" si="5"/>
        <v>360609.99998999998</v>
      </c>
      <c r="I18">
        <f t="shared" si="6"/>
        <v>0.99998999998206273</v>
      </c>
      <c r="J18">
        <f t="shared" si="7"/>
        <v>1.0000100001179386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VLOOKUP(L18,tables_472012!B:C,2,FALSE)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253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COUNTIF(tables_472012!C:C,input_472012!A19)-COUNTIF(Q:Q,A19)</f>
        <v>13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VLOOKUP(L19,tables_472012!B:C,2,FALSE)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254</v>
      </c>
      <c r="B20" s="94">
        <f>E$6*E20*B$6-0.02</f>
        <v>0.49010869565217385</v>
      </c>
      <c r="C20" s="85">
        <f t="shared" si="2"/>
        <v>0</v>
      </c>
      <c r="D20" s="74">
        <f t="shared" si="3"/>
        <v>0.49010869565217385</v>
      </c>
      <c r="E20">
        <f>COUNTIF(tables_472012!C:C,input_472012!A20)-COUNTIF(Q:Q,A20)</f>
        <v>13</v>
      </c>
      <c r="F20" s="43">
        <f t="shared" si="8"/>
        <v>3.7700668896321066E-2</v>
      </c>
      <c r="G20">
        <f t="shared" si="4"/>
        <v>3607199.9999999995</v>
      </c>
      <c r="H20">
        <f t="shared" si="5"/>
        <v>277476.92307999998</v>
      </c>
      <c r="I20">
        <f t="shared" si="6"/>
        <v>0.92307999997865409</v>
      </c>
      <c r="J20">
        <f t="shared" si="7"/>
        <v>1.0833297222593108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VLOOKUP(L20,tables_472012!B:C,2,FALSE)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255</v>
      </c>
      <c r="B21" s="56">
        <f>B7-B23-B26-B28-B29-E35</f>
        <v>8.3899456521739253E-3</v>
      </c>
      <c r="C21" s="85">
        <f t="shared" si="2"/>
        <v>0</v>
      </c>
      <c r="D21" s="74">
        <f t="shared" si="3"/>
        <v>8.3899456521739253E-3</v>
      </c>
      <c r="E21">
        <f>COUNTIF(tables_472012!C:C,input_472012!A21)-COUNTIF(Q:Q,A21)</f>
        <v>13</v>
      </c>
      <c r="F21" s="43">
        <f t="shared" si="8"/>
        <v>6.4538043478260963E-4</v>
      </c>
      <c r="G21">
        <f t="shared" si="4"/>
        <v>61750.000000000087</v>
      </c>
      <c r="H21">
        <f t="shared" si="5"/>
        <v>4750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256</v>
      </c>
      <c r="B22" s="75">
        <f>E$6*E22-B23-E36</f>
        <v>0.15489130434782608</v>
      </c>
      <c r="C22" s="85">
        <f t="shared" si="2"/>
        <v>0</v>
      </c>
      <c r="D22" s="74">
        <f t="shared" si="3"/>
        <v>0.15489130434782608</v>
      </c>
      <c r="E22">
        <f>COUNTIF(tables_472012!C:C,input_472012!A22)-COUNTIF(Q:Q,A22)</f>
        <v>4</v>
      </c>
      <c r="F22" s="43">
        <f t="shared" si="8"/>
        <v>3.872282608695652E-2</v>
      </c>
      <c r="G22">
        <f t="shared" si="4"/>
        <v>1140000</v>
      </c>
      <c r="H22">
        <f t="shared" si="5"/>
        <v>285000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257</v>
      </c>
      <c r="B23" s="70">
        <f>E23*E6*B7-E36</f>
        <v>1.0326086956521738E-2</v>
      </c>
      <c r="C23" s="85">
        <f t="shared" si="2"/>
        <v>0</v>
      </c>
      <c r="D23" s="74">
        <f t="shared" si="3"/>
        <v>1.0326086956521738E-2</v>
      </c>
      <c r="E23">
        <f>COUNTIF(tables_472012!C:C,input_472012!A23)-COUNTIF(Q:Q,A23)</f>
        <v>5</v>
      </c>
      <c r="F23" s="43">
        <f t="shared" si="8"/>
        <v>2.0652173913043477E-3</v>
      </c>
      <c r="G23">
        <f t="shared" si="4"/>
        <v>76000</v>
      </c>
      <c r="H23">
        <f t="shared" si="5"/>
        <v>15200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258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COUNTIF(tables_472012!C:C,input_472012!A24)-COUNTIF(Q:Q,A24)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259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COUNTIF(tables_472012!C:C,input_472012!A25)-COUNTIF(Q:Q,A25)</f>
        <v>1</v>
      </c>
      <c r="F25" s="43">
        <f t="shared" si="8"/>
        <v>3.9239130434782603E-2</v>
      </c>
      <c r="G25">
        <f t="shared" si="4"/>
        <v>288799.99999999994</v>
      </c>
      <c r="H25">
        <f t="shared" si="5"/>
        <v>288800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260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COUNTIF(tables_472012!C:C,input_472012!A26)-COUNTIF(Q:Q,A26)</f>
        <v>1</v>
      </c>
      <c r="F26" s="43">
        <f t="shared" si="8"/>
        <v>2.0652173913043477E-3</v>
      </c>
      <c r="G26">
        <f t="shared" si="4"/>
        <v>15199.999999999998</v>
      </c>
      <c r="H26">
        <f t="shared" si="5"/>
        <v>15200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261</v>
      </c>
      <c r="B27" s="56">
        <f>E$5*E27*(B$5+B$6)</f>
        <v>2.0781250000000001E-2</v>
      </c>
      <c r="C27" s="85">
        <f t="shared" si="2"/>
        <v>0</v>
      </c>
      <c r="D27" s="74">
        <f t="shared" si="3"/>
        <v>2.0781250000000001E-2</v>
      </c>
      <c r="E27">
        <f>COUNTIF(tables_472012!C:C,input_472012!A27)-COUNTIF(Q:Q,A27)</f>
        <v>7</v>
      </c>
      <c r="F27" s="43">
        <f>IFERROR(B27/E27,0)</f>
        <v>2.96875E-3</v>
      </c>
      <c r="G27">
        <f t="shared" si="4"/>
        <v>152950</v>
      </c>
      <c r="H27">
        <f t="shared" si="5"/>
        <v>21850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262</v>
      </c>
      <c r="B28" s="56">
        <f>E$5*E28*B$7</f>
        <v>1.0937500000000001E-3</v>
      </c>
      <c r="C28" s="85">
        <f t="shared" si="2"/>
        <v>0</v>
      </c>
      <c r="D28" s="74">
        <f t="shared" si="3"/>
        <v>1.0937500000000001E-3</v>
      </c>
      <c r="E28">
        <f>COUNTIF(tables_472012!C:C,input_472012!A28)-COUNTIF(Q:Q,A28)</f>
        <v>7</v>
      </c>
      <c r="F28" s="43">
        <f t="shared" si="8"/>
        <v>1.5625E-4</v>
      </c>
      <c r="G28">
        <f t="shared" si="4"/>
        <v>8050.0000000000009</v>
      </c>
      <c r="H28">
        <f t="shared" si="5"/>
        <v>1150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263</v>
      </c>
      <c r="B29" s="56">
        <f>E$5*E29</f>
        <v>2.8125000000000001E-2</v>
      </c>
      <c r="C29" s="85">
        <f t="shared" si="2"/>
        <v>0</v>
      </c>
      <c r="D29" s="74">
        <f t="shared" si="3"/>
        <v>2.8125000000000001E-2</v>
      </c>
      <c r="E29">
        <f>COUNTIF(tables_472012!C:C,input_472012!A29)-COUNTIF(Q:Q,A29)</f>
        <v>9</v>
      </c>
      <c r="F29" s="43">
        <f t="shared" si="8"/>
        <v>3.1250000000000002E-3</v>
      </c>
      <c r="G29">
        <f t="shared" si="4"/>
        <v>207000</v>
      </c>
      <c r="H29">
        <f t="shared" si="5"/>
        <v>23000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264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COUNTIF(tables_472012!C:C,input_472012!A30)-COUNTIF(Q:Q,A30)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265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COUNTIF(tables_472012!C:C,input_472012!A31)-COUNTIF(Q:Q,A31)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0.9999999999945649</v>
      </c>
      <c r="C32" s="41">
        <f>SUM(C19:C31)</f>
        <v>0</v>
      </c>
      <c r="D32" s="42">
        <f t="shared" si="3"/>
        <v>0.9999999999945649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1.8457880429347817E-2</v>
      </c>
      <c r="F34" s="55">
        <f ca="1">0.45-G41</f>
        <v>-0.49999999999864136</v>
      </c>
    </row>
    <row r="35" spans="1:7" x14ac:dyDescent="0.15">
      <c r="A35" t="s">
        <v>73</v>
      </c>
    </row>
    <row r="36" spans="1:7" x14ac:dyDescent="0.15">
      <c r="A36" s="31">
        <f>LCM(F5-I5,F6-I6)*1000*2*2*5</f>
        <v>7360000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SUMIF(tables_472012!C:C,input_472012!A40,tables_472012!O:O)</f>
        <v>0</v>
      </c>
      <c r="C40" s="54" t="e">
        <f t="shared" ref="C40:C46" si="9">B40/B$47</f>
        <v>#DIV/0!</v>
      </c>
      <c r="E40">
        <v>3</v>
      </c>
      <c r="F40">
        <f ca="1">SUMIF(tables_472012!J:J,input_472012!E40,tables_472012!O:O)</f>
        <v>0</v>
      </c>
      <c r="G40">
        <f ca="1">F40/A36</f>
        <v>0</v>
      </c>
    </row>
    <row r="41" spans="1:7" x14ac:dyDescent="0.15">
      <c r="A41" s="33" t="s">
        <v>104</v>
      </c>
      <c r="B41">
        <f>SUMIF(tables_472012!C:C,input_472012!A41,tables_472012!O:O)</f>
        <v>0</v>
      </c>
      <c r="C41" s="54" t="e">
        <f t="shared" si="9"/>
        <v>#DIV/0!</v>
      </c>
      <c r="E41">
        <v>4</v>
      </c>
      <c r="F41">
        <f ca="1">SUMIF(tables_472012!J:J,input_472012!E41,tables_472012!O:O)</f>
        <v>6991999.9999900004</v>
      </c>
      <c r="G41">
        <f ca="1">F41/A36</f>
        <v>0.94999999999864138</v>
      </c>
    </row>
    <row r="42" spans="1:7" x14ac:dyDescent="0.15">
      <c r="A42" s="33" t="s">
        <v>106</v>
      </c>
      <c r="B42">
        <f>SUMIF(tables_472012!C:C,input_472012!A42,tables_472012!O:O)</f>
        <v>0</v>
      </c>
      <c r="C42" s="54" t="e">
        <f t="shared" si="9"/>
        <v>#DIV/0!</v>
      </c>
      <c r="E42">
        <v>5</v>
      </c>
      <c r="F42">
        <f ca="1">SUMIF(tables_472012!J:J,input_472012!E42,tables_472012!O:O)</f>
        <v>368000</v>
      </c>
      <c r="G42">
        <f ca="1">F42/A36</f>
        <v>0.05</v>
      </c>
    </row>
    <row r="43" spans="1:7" x14ac:dyDescent="0.15">
      <c r="A43" s="33" t="s">
        <v>109</v>
      </c>
      <c r="B43">
        <f>SUMIF(tables_472012!C:C,input_472012!A43,tables_472012!O:O)</f>
        <v>0</v>
      </c>
      <c r="C43" s="54" t="e">
        <f t="shared" si="9"/>
        <v>#DIV/0!</v>
      </c>
      <c r="F43" s="55"/>
    </row>
    <row r="44" spans="1:7" x14ac:dyDescent="0.15">
      <c r="A44" s="33" t="s">
        <v>105</v>
      </c>
      <c r="B44">
        <f>SUMIF(tables_472012!C:C,input_472012!A44,tables_472012!O:O)</f>
        <v>0</v>
      </c>
      <c r="C44" s="54" t="e">
        <f t="shared" si="9"/>
        <v>#DIV/0!</v>
      </c>
      <c r="E44" t="s">
        <v>54</v>
      </c>
      <c r="F44" s="55"/>
    </row>
    <row r="45" spans="1:7" x14ac:dyDescent="0.15">
      <c r="A45" s="33" t="s">
        <v>107</v>
      </c>
      <c r="B45">
        <f>SUMIF(tables_472012!C:C,input_472012!A45,tables_472012!O:O)</f>
        <v>0</v>
      </c>
      <c r="C45" s="54" t="e">
        <f t="shared" si="9"/>
        <v>#DIV/0!</v>
      </c>
      <c r="E45" t="s">
        <v>204</v>
      </c>
      <c r="F45" s="55">
        <f ca="1">SUMIF(tables_472012!I:I,input_472012!E45,tables_472012!P:P)</f>
        <v>0.24704483695006388</v>
      </c>
    </row>
    <row r="46" spans="1:7" x14ac:dyDescent="0.15">
      <c r="A46" s="33" t="s">
        <v>108</v>
      </c>
      <c r="B46">
        <f>SUMIF(tables_472012!C:C,input_472012!A46,tables_472012!O:O)</f>
        <v>0</v>
      </c>
      <c r="C46" s="54" t="e">
        <f t="shared" si="9"/>
        <v>#DIV/0!</v>
      </c>
      <c r="E46" t="s">
        <v>205</v>
      </c>
      <c r="F46" s="55">
        <f ca="1">SUMIF(tables_472012!I:I,input_472012!E46,tables_472012!P:P)</f>
        <v>0.19468854515243841</v>
      </c>
    </row>
    <row r="47" spans="1:7" x14ac:dyDescent="0.15">
      <c r="A47" s="39" t="s">
        <v>59</v>
      </c>
      <c r="B47">
        <f>SUM(B40:B46)</f>
        <v>0</v>
      </c>
      <c r="C47" s="55" t="e">
        <f>SUM(C40:C46)</f>
        <v>#DIV/0!</v>
      </c>
      <c r="E47" t="s">
        <v>206</v>
      </c>
      <c r="F47" s="55">
        <f ca="1">SUMIF(tables_472012!I:I,input_472012!E47,tables_472012!P:P)</f>
        <v>0.50826661789742955</v>
      </c>
    </row>
    <row r="48" spans="1:7" x14ac:dyDescent="0.15">
      <c r="E48" t="s">
        <v>207</v>
      </c>
      <c r="F48" s="55">
        <f ca="1">SUMIF(tables_472012!I:I,input_472012!E48,tables_472012!P:P)</f>
        <v>4.3750000000059422E-2</v>
      </c>
      <c r="G48" s="55"/>
    </row>
    <row r="49" spans="5:6" x14ac:dyDescent="0.15">
      <c r="E49" t="s">
        <v>246</v>
      </c>
      <c r="F49" s="55">
        <f ca="1">SUMIF(tables_472012!I:I,input_472012!E49,tables_472012!P:P)</f>
        <v>6.250000000008491E-3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G2" sqref="G2: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input_472012!A$2</f>
        <v>472012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IF(G2="color",IFERROR(VLOOKUP(B2,input_472012!L:R,7,FALSE),VLOOKUP(tables_472012!C2,input_472012!A:H,8,FALSE)),0)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input_472012!A$2</f>
        <v>472012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IF(G3="color",IFERROR(VLOOKUP(B3,input_472012!L:R,7,FALSE),VLOOKUP(tables_472012!C3,input_472012!A:H,8,FALSE)),0)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input_472012!A$2</f>
        <v>472012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IF(G4="color",IFERROR(VLOOKUP(B4,input_472012!L:R,7,FALSE),VLOOKUP(tables_472012!C4,input_472012!A:H,8,FALSE)),0)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input_472012!A$2</f>
        <v>472012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IF(G5="color",IFERROR(VLOOKUP(B5,input_472012!L:R,7,FALSE),VLOOKUP(tables_472012!C5,input_472012!A:H,8,FALSE)),0)</f>
        <v>360609.99998999998</v>
      </c>
      <c r="P5" s="46">
        <f t="shared" ca="1" si="1"/>
        <v>4.8995923911751345E-2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input_472012!A$2</f>
        <v>472012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IF(G6="color",IFERROR(VLOOKUP(B6,input_472012!L:R,7,FALSE),VLOOKUP(tables_472012!C6,input_472012!A:H,8,FALSE)),0)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input_472012!A$2</f>
        <v>472012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IF(G7="color",IFERROR(VLOOKUP(B7,input_472012!L:R,7,FALSE),VLOOKUP(tables_472012!C7,input_472012!A:H,8,FALSE)),0)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input_472012!A$2</f>
        <v>472012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IF(G8="color",IFERROR(VLOOKUP(B8,input_472012!L:R,7,FALSE),VLOOKUP(tables_472012!C8,input_472012!A:H,8,FALSE)),0)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input_472012!A$2</f>
        <v>472012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IF(G9="color",IFERROR(VLOOKUP(B9,input_472012!L:R,7,FALSE),VLOOKUP(tables_472012!C9,input_472012!A:H,8,FALSE)),0)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input_472012!A$2</f>
        <v>472012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IF(G10="color",IFERROR(VLOOKUP(B10,input_472012!L:R,7,FALSE),VLOOKUP(tables_472012!C10,input_472012!A:H,8,FALSE)),0)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input_472012!A$2</f>
        <v>472012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IF(G11="color",IFERROR(VLOOKUP(B11,input_472012!L:R,7,FALSE),VLOOKUP(tables_472012!C11,input_472012!A:H,8,FALSE)),0)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input_472012!A$2</f>
        <v>472012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IF(G12="color",IFERROR(VLOOKUP(B12,input_472012!L:R,7,FALSE),VLOOKUP(tables_472012!C12,input_472012!A:H,8,FALSE)),0)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input_472012!A$2</f>
        <v>472012</v>
      </c>
      <c r="B13" s="8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IF(G13="color",IFERROR(VLOOKUP(B13,input_472012!L:R,7,FALSE),VLOOKUP(tables_472012!C13,input_472012!A:H,8,FALSE)),0)</f>
        <v>360609.99998999998</v>
      </c>
      <c r="P13" s="46">
        <f t="shared" ca="1" si="1"/>
        <v>4.8995923911751345E-2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input_472012!A$2</f>
        <v>472012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IF(G14="color",IFERROR(VLOOKUP(B14,input_472012!L:R,7,FALSE),VLOOKUP(tables_472012!C14,input_472012!A:H,8,FALSE)),0)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input_472012!A$2</f>
        <v>472012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IF(G15="color",IFERROR(VLOOKUP(B15,input_472012!L:R,7,FALSE),VLOOKUP(tables_472012!C15,input_472012!A:H,8,FALSE)),0)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input_472012!A$2</f>
        <v>472012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IF(G16="color",IFERROR(VLOOKUP(B16,input_472012!L:R,7,FALSE),VLOOKUP(tables_472012!C16,input_472012!A:H,8,FALSE)),0)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input_472012!A$2</f>
        <v>472012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IF(G17="color",IFERROR(VLOOKUP(B17,input_472012!L:R,7,FALSE),VLOOKUP(tables_472012!C17,input_472012!A:H,8,FALSE)),0)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input_472012!A$2</f>
        <v>472012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IF(G18="color",IFERROR(VLOOKUP(B18,input_472012!L:R,7,FALSE),VLOOKUP(tables_472012!C18,input_472012!A:H,8,FALSE)),0)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input_472012!A$2</f>
        <v>472012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IF(G19="color",IFERROR(VLOOKUP(B19,input_472012!L:R,7,FALSE),VLOOKUP(tables_472012!C19,input_472012!A:H,8,FALSE)),0)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input_472012!A$2</f>
        <v>472012</v>
      </c>
      <c r="B20" s="10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IF(G20="color",IFERROR(VLOOKUP(B20,input_472012!L:R,7,FALSE),VLOOKUP(tables_472012!C20,input_472012!A:H,8,FALSE)),0)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input_472012!A$2</f>
        <v>472012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IF(G21="color",IFERROR(VLOOKUP(B21,input_472012!L:R,7,FALSE),VLOOKUP(tables_472012!C21,input_472012!A:H,8,FALSE)),0)</f>
        <v>360609.99998999998</v>
      </c>
      <c r="P21" s="46">
        <f t="shared" ca="1" si="1"/>
        <v>4.8995923911751345E-2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input_472012!A$2</f>
        <v>472012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IF(G22="color",IFERROR(VLOOKUP(B22,input_472012!L:R,7,FALSE),VLOOKUP(tables_472012!C22,input_472012!A:H,8,FALSE)),0)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input_472012!A$2</f>
        <v>472012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IF(G23="color",IFERROR(VLOOKUP(B23,input_472012!L:R,7,FALSE),VLOOKUP(tables_472012!C23,input_472012!A:H,8,FALSE)),0)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input_472012!A$2</f>
        <v>472012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IF(G24="color",IFERROR(VLOOKUP(B24,input_472012!L:R,7,FALSE),VLOOKUP(tables_472012!C24,input_472012!A:H,8,FALSE)),0)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input_472012!A$2</f>
        <v>472012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IF(G25="color",IFERROR(VLOOKUP(B25,input_472012!L:R,7,FALSE),VLOOKUP(tables_472012!C25,input_472012!A:H,8,FALSE)),0)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input_472012!A$2</f>
        <v>472012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IF(G26="color",IFERROR(VLOOKUP(B26,input_472012!L:R,7,FALSE),VLOOKUP(tables_472012!C26,input_472012!A:H,8,FALSE)),0)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input_472012!A$2</f>
        <v>472012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IF(G27="color",IFERROR(VLOOKUP(B27,input_472012!L:R,7,FALSE),VLOOKUP(tables_472012!C27,input_472012!A:H,8,FALSE)),0)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input_472012!A$2</f>
        <v>472012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IF(G28="color",IFERROR(VLOOKUP(B28,input_472012!L:R,7,FALSE),VLOOKUP(tables_472012!C28,input_472012!A:H,8,FALSE)),0)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input_472012!A$2</f>
        <v>472012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IF(G29="color",IFERROR(VLOOKUP(B29,input_472012!L:R,7,FALSE),VLOOKUP(tables_472012!C29,input_472012!A:H,8,FALSE)),0)</f>
        <v>360609.99998999998</v>
      </c>
      <c r="P29" s="46">
        <f t="shared" ca="1" si="1"/>
        <v>4.8995923911751345E-2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input_472012!A$2</f>
        <v>472012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IF(G30="color",IFERROR(VLOOKUP(B30,input_472012!L:R,7,FALSE),VLOOKUP(tables_472012!C30,input_472012!A:H,8,FALSE)),0)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input_472012!A$2</f>
        <v>472012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IF(G31="color",IFERROR(VLOOKUP(B31,input_472012!L:R,7,FALSE),VLOOKUP(tables_472012!C31,input_472012!A:H,8,FALSE)),0)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input_472012!A$2</f>
        <v>472012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IF(G32="color",IFERROR(VLOOKUP(B32,input_472012!L:R,7,FALSE),VLOOKUP(tables_472012!C32,input_472012!A:H,8,FALSE)),0)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input_472012!A$2</f>
        <v>472012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IF(G33="color",IFERROR(VLOOKUP(B33,input_472012!L:R,7,FALSE),VLOOKUP(tables_472012!C33,input_472012!A:H,8,FALSE)),0)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input_472012!A$2</f>
        <v>472012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IF(G34="color",IFERROR(VLOOKUP(B34,input_472012!L:R,7,FALSE),VLOOKUP(tables_472012!C34,input_472012!A:H,8,FALSE)),0)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input_472012!A$2</f>
        <v>472012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IF(G35="color",IFERROR(VLOOKUP(B35,input_472012!L:R,7,FALSE),VLOOKUP(tables_472012!C35,input_472012!A:H,8,FALSE)),0)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input_472012!A$2</f>
        <v>472012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IF(G36="color",IFERROR(VLOOKUP(B36,input_472012!L:R,7,FALSE),VLOOKUP(tables_472012!C36,input_472012!A:H,8,FALSE)),0)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input_472012!A$2</f>
        <v>472012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IF(G37="color",IFERROR(VLOOKUP(B37,input_472012!L:R,7,FALSE),VLOOKUP(tables_472012!C37,input_472012!A:H,8,FALSE)),0)</f>
        <v>360609.99998999998</v>
      </c>
      <c r="P37" s="46">
        <f t="shared" ca="1" si="1"/>
        <v>4.8995923911751345E-2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input_472012!A$2</f>
        <v>472012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IF(G38="color",IFERROR(VLOOKUP(B38,input_472012!L:R,7,FALSE),VLOOKUP(tables_472012!C38,input_472012!A:H,8,FALSE)),0)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input_472012!A$2</f>
        <v>472012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IF(G39="color",IFERROR(VLOOKUP(B39,input_472012!L:R,7,FALSE),VLOOKUP(tables_472012!C39,input_472012!A:H,8,FALSE)),0)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input_472012!A$2</f>
        <v>472012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IF(G40="color",IFERROR(VLOOKUP(B40,input_472012!L:R,7,FALSE),VLOOKUP(tables_472012!C40,input_472012!A:H,8,FALSE)),0)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input_472012!A$2</f>
        <v>472012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IF(G41="color",IFERROR(VLOOKUP(B41,input_472012!L:R,7,FALSE),VLOOKUP(tables_472012!C41,input_472012!A:H,8,FALSE)),0)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input_472012!A$2</f>
        <v>472012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IF(G42="color",IFERROR(VLOOKUP(B42,input_472012!L:R,7,FALSE),VLOOKUP(tables_472012!C42,input_472012!A:H,8,FALSE)),0)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input_472012!A$2</f>
        <v>472012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IF(G43="color",IFERROR(VLOOKUP(B43,input_472012!L:R,7,FALSE),VLOOKUP(tables_472012!C43,input_472012!A:H,8,FALSE)),0)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input_472012!A$2</f>
        <v>472012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IF(G44="color",IFERROR(VLOOKUP(B44,input_472012!L:R,7,FALSE),VLOOKUP(tables_472012!C44,input_472012!A:H,8,FALSE)),0)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input_472012!A$2</f>
        <v>472012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IF(G45="color",IFERROR(VLOOKUP(B45,input_472012!L:R,7,FALSE),VLOOKUP(tables_472012!C45,input_472012!A:H,8,FALSE)),0)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input_472012!A$2</f>
        <v>472012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IF(G46="color",IFERROR(VLOOKUP(B46,input_472012!L:R,7,FALSE),VLOOKUP(tables_472012!C46,input_472012!A:H,8,FALSE)),0)</f>
        <v>288800</v>
      </c>
      <c r="P46" s="46">
        <f t="shared" ca="1" si="1"/>
        <v>3.9239130434835914E-2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input_472012!A$2</f>
        <v>472012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IF(G47="color",IFERROR(VLOOKUP(B47,input_472012!L:R,7,FALSE),VLOOKUP(tables_472012!C47,input_472012!A:H,8,FALSE)),0)</f>
        <v>15200</v>
      </c>
      <c r="P47" s="46">
        <f t="shared" ca="1" si="1"/>
        <v>2.0652173913071536E-3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input_472012!A$2</f>
        <v>472012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IF(G48="color",IFERROR(VLOOKUP(B48,input_472012!L:R,7,FALSE),VLOOKUP(tables_472012!C48,input_472012!A:H,8,FALSE)),0)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input_472012!A$2</f>
        <v>472012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IF(G49="color",IFERROR(VLOOKUP(B49,input_472012!L:R,7,FALSE),VLOOKUP(tables_472012!C49,input_472012!A:H,8,FALSE)),0)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input_472012!A$2</f>
        <v>472012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IF(G50="color",IFERROR(VLOOKUP(B50,input_472012!L:R,7,FALSE),VLOOKUP(tables_472012!C50,input_472012!A:H,8,FALSE)),0)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input_472012!A$2</f>
        <v>472012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IF(G51="color",IFERROR(VLOOKUP(B51,input_472012!L:R,7,FALSE),VLOOKUP(tables_472012!C51,input_472012!A:H,8,FALSE)),0)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input_472012!A$2</f>
        <v>472012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IF(G52="color",IFERROR(VLOOKUP(B52,input_472012!L:R,7,FALSE),VLOOKUP(tables_472012!C52,input_472012!A:H,8,FALSE)),0)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input_472012!A$2</f>
        <v>472012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IF(G53="color",IFERROR(VLOOKUP(B53,input_472012!L:R,7,FALSE),VLOOKUP(tables_472012!C53,input_472012!A:H,8,FALSE)),0)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input_472012!A$2</f>
        <v>472012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IF(G54="color",IFERROR(VLOOKUP(B54,input_472012!L:R,7,FALSE),VLOOKUP(tables_472012!C54,input_472012!A:H,8,FALSE)),0)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input_472012!A$2</f>
        <v>472012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IF(G55="color",IFERROR(VLOOKUP(B55,input_472012!L:R,7,FALSE),VLOOKUP(tables_472012!C55,input_472012!A:H,8,FALSE)),0)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input_472012!A$2</f>
        <v>472012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IF(G56="color",IFERROR(VLOOKUP(B56,input_472012!L:R,7,FALSE),VLOOKUP(tables_472012!C56,input_472012!A:H,8,FALSE)),0)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input_472012!A$2</f>
        <v>472012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IF(G57="color",IFERROR(VLOOKUP(B57,input_472012!L:R,7,FALSE),VLOOKUP(tables_472012!C57,input_472012!A:H,8,FALSE)),0)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input_472012!A$2</f>
        <v>472012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IF(G58="color",IFERROR(VLOOKUP(B58,input_472012!L:R,7,FALSE),VLOOKUP(tables_472012!C58,input_472012!A:H,8,FALSE)),0)</f>
        <v>277476.92307999998</v>
      </c>
      <c r="P58" s="46">
        <f t="shared" ca="1" si="1"/>
        <v>3.7700668896790343E-2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input_472012!A$2</f>
        <v>472012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IF(G59="color",IFERROR(VLOOKUP(B59,input_472012!L:R,7,FALSE),VLOOKUP(tables_472012!C59,input_472012!A:H,8,FALSE)),0)</f>
        <v>4750</v>
      </c>
      <c r="P59" s="46">
        <f t="shared" ca="1" si="1"/>
        <v>6.4538043478348545E-4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input_472012!A$2</f>
        <v>472012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IF(G60="color",IFERROR(VLOOKUP(B60,input_472012!L:R,7,FALSE),VLOOKUP(tables_472012!C60,input_472012!A:H,8,FALSE)),0)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input_472012!A$2</f>
        <v>472012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IF(G61="color",IFERROR(VLOOKUP(B61,input_472012!L:R,7,FALSE),VLOOKUP(tables_472012!C61,input_472012!A:H,8,FALSE)),0)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input_472012!A$2</f>
        <v>472012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IF(G62="color",IFERROR(VLOOKUP(B62,input_472012!L:R,7,FALSE),VLOOKUP(tables_472012!C62,input_472012!A:H,8,FALSE)),0)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input_472012!A$2</f>
        <v>472012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IF(G63="color",IFERROR(VLOOKUP(B63,input_472012!L:R,7,FALSE),VLOOKUP(tables_472012!C63,input_472012!A:H,8,FALSE)),0)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input_472012!A$2</f>
        <v>472012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IF(G64="color",IFERROR(VLOOKUP(B64,input_472012!L:R,7,FALSE),VLOOKUP(tables_472012!C64,input_472012!A:H,8,FALSE)),0)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input_472012!A$2</f>
        <v>472012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IF(G65="color",IFERROR(VLOOKUP(B65,input_472012!L:R,7,FALSE),VLOOKUP(tables_472012!C65,input_472012!A:H,8,FALSE)),0)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input_472012!A$2</f>
        <v>472012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IF(G66="color",IFERROR(VLOOKUP(B66,input_472012!L:R,7,FALSE),VLOOKUP(tables_472012!C66,input_472012!A:H,8,FALSE)),0)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input_472012!A$2</f>
        <v>472012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IF(G67="color",IFERROR(VLOOKUP(B67,input_472012!L:R,7,FALSE),VLOOKUP(tables_472012!C67,input_472012!A:H,8,FALSE)),0)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input_472012!A$2</f>
        <v>472012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IF(G68="color",IFERROR(VLOOKUP(B68,input_472012!L:R,7,FALSE),VLOOKUP(tables_472012!C68,input_472012!A:H,8,FALSE)),0)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input_472012!A$2</f>
        <v>472012</v>
      </c>
      <c r="B69" s="6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IF(G69="color",IFERROR(VLOOKUP(B69,input_472012!L:R,7,FALSE),VLOOKUP(tables_472012!C69,input_472012!A:H,8,FALSE)),0)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input_472012!A$2</f>
        <v>472012</v>
      </c>
      <c r="B70" s="10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IF(G70="color",IFERROR(VLOOKUP(B70,input_472012!L:R,7,FALSE),VLOOKUP(tables_472012!C70,input_472012!A:H,8,FALSE)),0)</f>
        <v>277476.92307999998</v>
      </c>
      <c r="P70" s="46">
        <f t="shared" ca="1" si="5"/>
        <v>3.7700668896790343E-2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input_472012!A$2</f>
        <v>472012</v>
      </c>
      <c r="B71" s="6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IF(G71="color",IFERROR(VLOOKUP(B71,input_472012!L:R,7,FALSE),VLOOKUP(tables_472012!C71,input_472012!A:H,8,FALSE)),0)</f>
        <v>4750</v>
      </c>
      <c r="P71" s="46">
        <f t="shared" ca="1" si="5"/>
        <v>6.4538043478348545E-4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input_472012!A$2</f>
        <v>472012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IF(G72="color",IFERROR(VLOOKUP(B72,input_472012!L:R,7,FALSE),VLOOKUP(tables_472012!C72,input_472012!A:H,8,FALSE)),0)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input_472012!A$2</f>
        <v>472012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IF(G73="color",IFERROR(VLOOKUP(B73,input_472012!L:R,7,FALSE),VLOOKUP(tables_472012!C73,input_472012!A:H,8,FALSE)),0)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input_472012!A$2</f>
        <v>472012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IF(G74="color",IFERROR(VLOOKUP(B74,input_472012!L:R,7,FALSE),VLOOKUP(tables_472012!C74,input_472012!A:H,8,FALSE)),0)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input_472012!A$2</f>
        <v>472012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IF(G75="color",IFERROR(VLOOKUP(B75,input_472012!L:R,7,FALSE),VLOOKUP(tables_472012!C75,input_472012!A:H,8,FALSE)),0)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input_472012!A$2</f>
        <v>472012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IF(G76="color",IFERROR(VLOOKUP(B76,input_472012!L:R,7,FALSE),VLOOKUP(tables_472012!C76,input_472012!A:H,8,FALSE)),0)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input_472012!A$2</f>
        <v>472012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IF(G77="color",IFERROR(VLOOKUP(B77,input_472012!L:R,7,FALSE),VLOOKUP(tables_472012!C77,input_472012!A:H,8,FALSE)),0)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input_472012!A$2</f>
        <v>472012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IF(G78="color",IFERROR(VLOOKUP(B78,input_472012!L:R,7,FALSE),VLOOKUP(tables_472012!C78,input_472012!A:H,8,FALSE)),0)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input_472012!A$2</f>
        <v>472012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IF(G79="color",IFERROR(VLOOKUP(B79,input_472012!L:R,7,FALSE),VLOOKUP(tables_472012!C79,input_472012!A:H,8,FALSE)),0)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input_472012!A$2</f>
        <v>472012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IF(G80="color",IFERROR(VLOOKUP(B80,input_472012!L:R,7,FALSE),VLOOKUP(tables_472012!C80,input_472012!A:H,8,FALSE)),0)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input_472012!A$2</f>
        <v>472012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IF(G81="color",IFERROR(VLOOKUP(B81,input_472012!L:R,7,FALSE),VLOOKUP(tables_472012!C81,input_472012!A:H,8,FALSE)),0)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input_472012!A$2</f>
        <v>472012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IF(G82="color",IFERROR(VLOOKUP(B82,input_472012!L:R,7,FALSE),VLOOKUP(tables_472012!C82,input_472012!A:H,8,FALSE)),0)</f>
        <v>277476.92307999998</v>
      </c>
      <c r="P82" s="46">
        <f t="shared" ca="1" si="5"/>
        <v>3.7700668896790343E-2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input_472012!A$2</f>
        <v>472012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IF(G83="color",IFERROR(VLOOKUP(B83,input_472012!L:R,7,FALSE),VLOOKUP(tables_472012!C83,input_472012!A:H,8,FALSE)),0)</f>
        <v>4750</v>
      </c>
      <c r="P83" s="46">
        <f t="shared" ca="1" si="5"/>
        <v>6.4538043478348545E-4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input_472012!A$2</f>
        <v>472012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IF(G84="color",IFERROR(VLOOKUP(B84,input_472012!L:R,7,FALSE),VLOOKUP(tables_472012!C84,input_472012!A:H,8,FALSE)),0)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input_472012!A$2</f>
        <v>472012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IF(G85="color",IFERROR(VLOOKUP(B85,input_472012!L:R,7,FALSE),VLOOKUP(tables_472012!C85,input_472012!A:H,8,FALSE)),0)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input_472012!A$2</f>
        <v>472012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IF(G86="color",IFERROR(VLOOKUP(B86,input_472012!L:R,7,FALSE),VLOOKUP(tables_472012!C86,input_472012!A:H,8,FALSE)),0)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input_472012!A$2</f>
        <v>472012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IF(G87="color",IFERROR(VLOOKUP(B87,input_472012!L:R,7,FALSE),VLOOKUP(tables_472012!C87,input_472012!A:H,8,FALSE)),0)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input_472012!A$2</f>
        <v>472012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IF(G88="color",IFERROR(VLOOKUP(B88,input_472012!L:R,7,FALSE),VLOOKUP(tables_472012!C88,input_472012!A:H,8,FALSE)),0)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input_472012!A$2</f>
        <v>472012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IF(G89="color",IFERROR(VLOOKUP(B89,input_472012!L:R,7,FALSE),VLOOKUP(tables_472012!C89,input_472012!A:H,8,FALSE)),0)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input_472012!A$2</f>
        <v>472012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IF(G90="color",IFERROR(VLOOKUP(B90,input_472012!L:R,7,FALSE),VLOOKUP(tables_472012!C90,input_472012!A:H,8,FALSE)),0)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input_472012!A$2</f>
        <v>472012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IF(G91="color",IFERROR(VLOOKUP(B91,input_472012!L:R,7,FALSE),VLOOKUP(tables_472012!C91,input_472012!A:H,8,FALSE)),0)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input_472012!A$2</f>
        <v>472012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IF(G92="color",IFERROR(VLOOKUP(B92,input_472012!L:R,7,FALSE),VLOOKUP(tables_472012!C92,input_472012!A:H,8,FALSE)),0)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input_472012!A$2</f>
        <v>472012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IF(G93="color",IFERROR(VLOOKUP(B93,input_472012!L:R,7,FALSE),VLOOKUP(tables_472012!C93,input_472012!A:H,8,FALSE)),0)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input_472012!A$2</f>
        <v>472012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IF(G94="color",IFERROR(VLOOKUP(B94,input_472012!L:R,7,FALSE),VLOOKUP(tables_472012!C94,input_472012!A:H,8,FALSE)),0)</f>
        <v>277476.92307999998</v>
      </c>
      <c r="P94" s="46">
        <f t="shared" ca="1" si="5"/>
        <v>3.7700668896790343E-2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input_472012!A$2</f>
        <v>472012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IF(G95="color",IFERROR(VLOOKUP(B95,input_472012!L:R,7,FALSE),VLOOKUP(tables_472012!C95,input_472012!A:H,8,FALSE)),0)</f>
        <v>4750</v>
      </c>
      <c r="P95" s="46">
        <f t="shared" ca="1" si="5"/>
        <v>6.4538043478348545E-4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input_472012!A$2</f>
        <v>472012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IF(G96="color",IFERROR(VLOOKUP(B96,input_472012!L:R,7,FALSE),VLOOKUP(tables_472012!C96,input_472012!A:H,8,FALSE)),0)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input_472012!A$2</f>
        <v>472012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IF(G97="color",IFERROR(VLOOKUP(B97,input_472012!L:R,7,FALSE),VLOOKUP(tables_472012!C97,input_472012!A:H,8,FALSE)),0)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input_472012!A$2</f>
        <v>472012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IF(G98="color",IFERROR(VLOOKUP(B98,input_472012!L:R,7,FALSE),VLOOKUP(tables_472012!C98,input_472012!A:H,8,FALSE)),0)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input_472012!A$2</f>
        <v>472012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IF(G99="color",IFERROR(VLOOKUP(B99,input_472012!L:R,7,FALSE),VLOOKUP(tables_472012!C99,input_472012!A:H,8,FALSE)),0)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input_472012!A$2</f>
        <v>472012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IF(G100="color",IFERROR(VLOOKUP(B100,input_472012!L:R,7,FALSE),VLOOKUP(tables_472012!C100,input_472012!A:H,8,FALSE)),0)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input_472012!A$2</f>
        <v>472012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IF(G101="color",IFERROR(VLOOKUP(B101,input_472012!L:R,7,FALSE),VLOOKUP(tables_472012!C101,input_472012!A:H,8,FALSE)),0)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input_472012!A$2</f>
        <v>472012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IF(G102="color",IFERROR(VLOOKUP(B102,input_472012!L:R,7,FALSE),VLOOKUP(tables_472012!C102,input_472012!A:H,8,FALSE)),0)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input_472012!A$2</f>
        <v>472012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IF(G103="color",IFERROR(VLOOKUP(B103,input_472012!L:R,7,FALSE),VLOOKUP(tables_472012!C103,input_472012!A:H,8,FALSE)),0)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input_472012!A$2</f>
        <v>472012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IF(G104="color",IFERROR(VLOOKUP(B104,input_472012!L:R,7,FALSE),VLOOKUP(tables_472012!C104,input_472012!A:H,8,FALSE)),0)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input_472012!A$2</f>
        <v>472012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IF(G105="color",IFERROR(VLOOKUP(B105,input_472012!L:R,7,FALSE),VLOOKUP(tables_472012!C105,input_472012!A:H,8,FALSE)),0)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input_472012!A$2</f>
        <v>472012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IF(G106="color",IFERROR(VLOOKUP(B106,input_472012!L:R,7,FALSE),VLOOKUP(tables_472012!C106,input_472012!A:H,8,FALSE)),0)</f>
        <v>277476.92307999998</v>
      </c>
      <c r="P106" s="46">
        <f t="shared" ca="1" si="5"/>
        <v>3.7700668896790343E-2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input_472012!A$2</f>
        <v>472012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IF(G107="color",IFERROR(VLOOKUP(B107,input_472012!L:R,7,FALSE),VLOOKUP(tables_472012!C107,input_472012!A:H,8,FALSE)),0)</f>
        <v>4750</v>
      </c>
      <c r="P107" s="46">
        <f t="shared" ca="1" si="5"/>
        <v>6.4538043478348545E-4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input_472012!A$2</f>
        <v>472012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IF(G108="color",IFERROR(VLOOKUP(B108,input_472012!L:R,7,FALSE),VLOOKUP(tables_472012!C108,input_472012!A:H,8,FALSE)),0)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input_472012!A$2</f>
        <v>472012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IF(G109="color",IFERROR(VLOOKUP(B109,input_472012!L:R,7,FALSE),VLOOKUP(tables_472012!C109,input_472012!A:H,8,FALSE)),0)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input_472012!A$2</f>
        <v>472012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IF(G110="color",IFERROR(VLOOKUP(B110,input_472012!L:R,7,FALSE),VLOOKUP(tables_472012!C110,input_472012!A:H,8,FALSE)),0)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input_472012!A$2</f>
        <v>472012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IF(G111="color",IFERROR(VLOOKUP(B111,input_472012!L:R,7,FALSE),VLOOKUP(tables_472012!C111,input_472012!A:H,8,FALSE)),0)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input_472012!A$2</f>
        <v>472012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IF(G112="color",IFERROR(VLOOKUP(B112,input_472012!L:R,7,FALSE),VLOOKUP(tables_472012!C112,input_472012!A:H,8,FALSE)),0)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input_472012!A$2</f>
        <v>472012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IF(G113="color",IFERROR(VLOOKUP(B113,input_472012!L:R,7,FALSE),VLOOKUP(tables_472012!C113,input_472012!A:H,8,FALSE)),0)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input_472012!A$2</f>
        <v>472012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IF(G114="color",IFERROR(VLOOKUP(B114,input_472012!L:R,7,FALSE),VLOOKUP(tables_472012!C114,input_472012!A:H,8,FALSE)),0)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input_472012!A$2</f>
        <v>472012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IF(G115="color",IFERROR(VLOOKUP(B115,input_472012!L:R,7,FALSE),VLOOKUP(tables_472012!C115,input_472012!A:H,8,FALSE)),0)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input_472012!A$2</f>
        <v>472012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IF(G116="color",IFERROR(VLOOKUP(B116,input_472012!L:R,7,FALSE),VLOOKUP(tables_472012!C116,input_472012!A:H,8,FALSE)),0)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input_472012!A$2</f>
        <v>472012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IF(G117="color",IFERROR(VLOOKUP(B117,input_472012!L:R,7,FALSE),VLOOKUP(tables_472012!C117,input_472012!A:H,8,FALSE)),0)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input_472012!A$2</f>
        <v>472012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IF(G118="color",IFERROR(VLOOKUP(B118,input_472012!L:R,7,FALSE),VLOOKUP(tables_472012!C118,input_472012!A:H,8,FALSE)),0)</f>
        <v>277476.92307999998</v>
      </c>
      <c r="P118" s="46">
        <f t="shared" ca="1" si="5"/>
        <v>3.7700668896790343E-2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input_472012!A$2</f>
        <v>472012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IF(G119="color",IFERROR(VLOOKUP(B119,input_472012!L:R,7,FALSE),VLOOKUP(tables_472012!C119,input_472012!A:H,8,FALSE)),0)</f>
        <v>4750</v>
      </c>
      <c r="P119" s="46">
        <f t="shared" ca="1" si="5"/>
        <v>6.4538043478348545E-4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input_472012!A$2</f>
        <v>472012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IF(G120="color",IFERROR(VLOOKUP(B120,input_472012!L:R,7,FALSE),VLOOKUP(tables_472012!C120,input_472012!A:H,8,FALSE)),0)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input_472012!A$2</f>
        <v>472012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IF(G121="color",IFERROR(VLOOKUP(B121,input_472012!L:R,7,FALSE),VLOOKUP(tables_472012!C121,input_472012!A:H,8,FALSE)),0)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input_472012!A$2</f>
        <v>472012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IF(G122="color",IFERROR(VLOOKUP(B122,input_472012!L:R,7,FALSE),VLOOKUP(tables_472012!C122,input_472012!A:H,8,FALSE)),0)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input_472012!A$2</f>
        <v>472012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IF(G123="color",IFERROR(VLOOKUP(B123,input_472012!L:R,7,FALSE),VLOOKUP(tables_472012!C123,input_472012!A:H,8,FALSE)),0)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input_472012!A$2</f>
        <v>472012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IF(G124="color",IFERROR(VLOOKUP(B124,input_472012!L:R,7,FALSE),VLOOKUP(tables_472012!C124,input_472012!A:H,8,FALSE)),0)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input_472012!A$2</f>
        <v>472012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IF(G125="color",IFERROR(VLOOKUP(B125,input_472012!L:R,7,FALSE),VLOOKUP(tables_472012!C125,input_472012!A:H,8,FALSE)),0)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input_472012!A$2</f>
        <v>472012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IF(G126="color",IFERROR(VLOOKUP(B126,input_472012!L:R,7,FALSE),VLOOKUP(tables_472012!C126,input_472012!A:H,8,FALSE)),0)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input_472012!A$2</f>
        <v>472012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IF(G127="color",IFERROR(VLOOKUP(B127,input_472012!L:R,7,FALSE),VLOOKUP(tables_472012!C127,input_472012!A:H,8,FALSE)),0)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input_472012!A$2</f>
        <v>472012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IF(G128="color",IFERROR(VLOOKUP(B128,input_472012!L:R,7,FALSE),VLOOKUP(tables_472012!C128,input_472012!A:H,8,FALSE)),0)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input_472012!A$2</f>
        <v>472012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IF(G129="color",IFERROR(VLOOKUP(B129,input_472012!L:R,7,FALSE),VLOOKUP(tables_472012!C129,input_472012!A:H,8,FALSE)),0)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input_472012!A$2</f>
        <v>472012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IF(G130="color",IFERROR(VLOOKUP(B130,input_472012!L:R,7,FALSE),VLOOKUP(tables_472012!C130,input_472012!A:H,8,FALSE)),0)</f>
        <v>277476.92307999998</v>
      </c>
      <c r="P130" s="46">
        <f t="shared" ref="P130:P193" ca="1" si="9">O130/SUM(O:O)</f>
        <v>3.7700668896790343E-2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input_472012!A$2</f>
        <v>472012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IF(G131="color",IFERROR(VLOOKUP(B131,input_472012!L:R,7,FALSE),VLOOKUP(tables_472012!C131,input_472012!A:H,8,FALSE)),0)</f>
        <v>4750</v>
      </c>
      <c r="P131" s="46">
        <f t="shared" ca="1" si="9"/>
        <v>6.4538043478348545E-4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input_472012!A$2</f>
        <v>472012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IF(G132="color",IFERROR(VLOOKUP(B132,input_472012!L:R,7,FALSE),VLOOKUP(tables_472012!C132,input_472012!A:H,8,FALSE)),0)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input_472012!A$2</f>
        <v>472012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IF(G133="color",IFERROR(VLOOKUP(B133,input_472012!L:R,7,FALSE),VLOOKUP(tables_472012!C133,input_472012!A:H,8,FALSE)),0)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input_472012!A$2</f>
        <v>472012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IF(G134="color",IFERROR(VLOOKUP(B134,input_472012!L:R,7,FALSE),VLOOKUP(tables_472012!C134,input_472012!A:H,8,FALSE)),0)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input_472012!A$2</f>
        <v>472012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IF(G135="color",IFERROR(VLOOKUP(B135,input_472012!L:R,7,FALSE),VLOOKUP(tables_472012!C135,input_472012!A:H,8,FALSE)),0)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input_472012!A$2</f>
        <v>472012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IF(G136="color",IFERROR(VLOOKUP(B136,input_472012!L:R,7,FALSE),VLOOKUP(tables_472012!C136,input_472012!A:H,8,FALSE)),0)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input_472012!A$2</f>
        <v>472012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IF(G137="color",IFERROR(VLOOKUP(B137,input_472012!L:R,7,FALSE),VLOOKUP(tables_472012!C137,input_472012!A:H,8,FALSE)),0)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input_472012!A$2</f>
        <v>472012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IF(G138="color",IFERROR(VLOOKUP(B138,input_472012!L:R,7,FALSE),VLOOKUP(tables_472012!C138,input_472012!A:H,8,FALSE)),0)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input_472012!A$2</f>
        <v>472012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IF(G139="color",IFERROR(VLOOKUP(B139,input_472012!L:R,7,FALSE),VLOOKUP(tables_472012!C139,input_472012!A:H,8,FALSE)),0)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input_472012!A$2</f>
        <v>472012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IF(G140="color",IFERROR(VLOOKUP(B140,input_472012!L:R,7,FALSE),VLOOKUP(tables_472012!C140,input_472012!A:H,8,FALSE)),0)</f>
        <v>21850</v>
      </c>
      <c r="P140" s="46">
        <f t="shared" ca="1" si="9"/>
        <v>2.9687500000040333E-3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input_472012!A$2</f>
        <v>472012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IF(G141="color",IFERROR(VLOOKUP(B141,input_472012!L:R,7,FALSE),VLOOKUP(tables_472012!C141,input_472012!A:H,8,FALSE)),0)</f>
        <v>1150</v>
      </c>
      <c r="P141" s="46">
        <f t="shared" ca="1" si="9"/>
        <v>1.5625000000021226E-4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input_472012!A$2</f>
        <v>472012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IF(G142="color",IFERROR(VLOOKUP(B142,input_472012!L:R,7,FALSE),VLOOKUP(tables_472012!C142,input_472012!A:H,8,FALSE)),0)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input_472012!A$2</f>
        <v>472012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IF(G143="color",IFERROR(VLOOKUP(B143,input_472012!L:R,7,FALSE),VLOOKUP(tables_472012!C143,input_472012!A:H,8,FALSE)),0)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input_472012!A$2</f>
        <v>472012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IF(G144="color",IFERROR(VLOOKUP(B144,input_472012!L:R,7,FALSE),VLOOKUP(tables_472012!C144,input_472012!A:H,8,FALSE)),0)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input_472012!A$2</f>
        <v>472012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IF(G145="color",IFERROR(VLOOKUP(B145,input_472012!L:R,7,FALSE),VLOOKUP(tables_472012!C145,input_472012!A:H,8,FALSE)),0)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input_472012!A$2</f>
        <v>472012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IF(G146="color",IFERROR(VLOOKUP(B146,input_472012!L:R,7,FALSE),VLOOKUP(tables_472012!C146,input_472012!A:H,8,FALSE)),0)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input_472012!A$2</f>
        <v>472012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IF(G147="color",IFERROR(VLOOKUP(B147,input_472012!L:R,7,FALSE),VLOOKUP(tables_472012!C147,input_472012!A:H,8,FALSE)),0)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input_472012!A$2</f>
        <v>472012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IF(G148="color",IFERROR(VLOOKUP(B148,input_472012!L:R,7,FALSE),VLOOKUP(tables_472012!C148,input_472012!A:H,8,FALSE)),0)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input_472012!A$2</f>
        <v>472012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IF(G149="color",IFERROR(VLOOKUP(B149,input_472012!L:R,7,FALSE),VLOOKUP(tables_472012!C149,input_472012!A:H,8,FALSE)),0)</f>
        <v>21850</v>
      </c>
      <c r="P149" s="46">
        <f t="shared" ca="1" si="9"/>
        <v>2.9687500000040333E-3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input_472012!A$2</f>
        <v>472012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IF(G150="color",IFERROR(VLOOKUP(B150,input_472012!L:R,7,FALSE),VLOOKUP(tables_472012!C150,input_472012!A:H,8,FALSE)),0)</f>
        <v>1150</v>
      </c>
      <c r="P150" s="46">
        <f t="shared" ca="1" si="9"/>
        <v>1.5625000000021226E-4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input_472012!A$2</f>
        <v>472012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IF(G151="color",IFERROR(VLOOKUP(B151,input_472012!L:R,7,FALSE),VLOOKUP(tables_472012!C151,input_472012!A:H,8,FALSE)),0)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input_472012!A$2</f>
        <v>472012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IF(G152="color",IFERROR(VLOOKUP(B152,input_472012!L:R,7,FALSE),VLOOKUP(tables_472012!C152,input_472012!A:H,8,FALSE)),0)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input_472012!A$2</f>
        <v>472012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IF(G153="color",IFERROR(VLOOKUP(B153,input_472012!L:R,7,FALSE),VLOOKUP(tables_472012!C153,input_472012!A:H,8,FALSE)),0)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input_472012!A$2</f>
        <v>472012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IF(G154="color",IFERROR(VLOOKUP(B154,input_472012!L:R,7,FALSE),VLOOKUP(tables_472012!C154,input_472012!A:H,8,FALSE)),0)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input_472012!A$2</f>
        <v>472012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IF(G155="color",IFERROR(VLOOKUP(B155,input_472012!L:R,7,FALSE),VLOOKUP(tables_472012!C155,input_472012!A:H,8,FALSE)),0)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input_472012!A$2</f>
        <v>472012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IF(G156="color",IFERROR(VLOOKUP(B156,input_472012!L:R,7,FALSE),VLOOKUP(tables_472012!C156,input_472012!A:H,8,FALSE)),0)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input_472012!A$2</f>
        <v>472012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IF(G157="color",IFERROR(VLOOKUP(B157,input_472012!L:R,7,FALSE),VLOOKUP(tables_472012!C157,input_472012!A:H,8,FALSE)),0)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input_472012!A$2</f>
        <v>472012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IF(G158="color",IFERROR(VLOOKUP(B158,input_472012!L:R,7,FALSE),VLOOKUP(tables_472012!C158,input_472012!A:H,8,FALSE)),0)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input_472012!A$2</f>
        <v>472012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IF(G159="color",IFERROR(VLOOKUP(B159,input_472012!L:R,7,FALSE),VLOOKUP(tables_472012!C159,input_472012!A:H,8,FALSE)),0)</f>
        <v>277476.92307999998</v>
      </c>
      <c r="P159" s="46">
        <f t="shared" ca="1" si="9"/>
        <v>3.7700668896790343E-2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input_472012!A$2</f>
        <v>472012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IF(G160="color",IFERROR(VLOOKUP(B160,input_472012!L:R,7,FALSE),VLOOKUP(tables_472012!C160,input_472012!A:H,8,FALSE)),0)</f>
        <v>4750</v>
      </c>
      <c r="P160" s="46">
        <f t="shared" ca="1" si="9"/>
        <v>6.4538043478348545E-4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input_472012!A$2</f>
        <v>472012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IF(G161="color",IFERROR(VLOOKUP(B161,input_472012!L:R,7,FALSE),VLOOKUP(tables_472012!C161,input_472012!A:H,8,FALSE)),0)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input_472012!A$2</f>
        <v>472012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IF(G162="color",IFERROR(VLOOKUP(B162,input_472012!L:R,7,FALSE),VLOOKUP(tables_472012!C162,input_472012!A:H,8,FALSE)),0)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input_472012!A$2</f>
        <v>472012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IF(G163="color",IFERROR(VLOOKUP(B163,input_472012!L:R,7,FALSE),VLOOKUP(tables_472012!C163,input_472012!A:H,8,FALSE)),0)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input_472012!A$2</f>
        <v>472012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IF(G164="color",IFERROR(VLOOKUP(B164,input_472012!L:R,7,FALSE),VLOOKUP(tables_472012!C164,input_472012!A:H,8,FALSE)),0)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input_472012!A$2</f>
        <v>472012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IF(G165="color",IFERROR(VLOOKUP(B165,input_472012!L:R,7,FALSE),VLOOKUP(tables_472012!C165,input_472012!A:H,8,FALSE)),0)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input_472012!A$2</f>
        <v>472012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IF(G166="color",IFERROR(VLOOKUP(B166,input_472012!L:R,7,FALSE),VLOOKUP(tables_472012!C166,input_472012!A:H,8,FALSE)),0)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input_472012!A$2</f>
        <v>472012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IF(G167="color",IFERROR(VLOOKUP(B167,input_472012!L:R,7,FALSE),VLOOKUP(tables_472012!C167,input_472012!A:H,8,FALSE)),0)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input_472012!A$2</f>
        <v>472012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IF(G168="color",IFERROR(VLOOKUP(B168,input_472012!L:R,7,FALSE),VLOOKUP(tables_472012!C168,input_472012!A:H,8,FALSE)),0)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input_472012!A$2</f>
        <v>472012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IF(G169="color",IFERROR(VLOOKUP(B169,input_472012!L:R,7,FALSE),VLOOKUP(tables_472012!C169,input_472012!A:H,8,FALSE)),0)</f>
        <v>21850</v>
      </c>
      <c r="P169" s="46">
        <f t="shared" ca="1" si="9"/>
        <v>2.9687500000040333E-3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input_472012!A$2</f>
        <v>472012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IF(G170="color",IFERROR(VLOOKUP(B170,input_472012!L:R,7,FALSE),VLOOKUP(tables_472012!C170,input_472012!A:H,8,FALSE)),0)</f>
        <v>1150</v>
      </c>
      <c r="P170" s="46">
        <f t="shared" ca="1" si="9"/>
        <v>1.5625000000021226E-4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input_472012!A$2</f>
        <v>472012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IF(G171="color",IFERROR(VLOOKUP(B171,input_472012!L:R,7,FALSE),VLOOKUP(tables_472012!C171,input_472012!A:H,8,FALSE)),0)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input_472012!A$2</f>
        <v>472012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IF(G172="color",IFERROR(VLOOKUP(B172,input_472012!L:R,7,FALSE),VLOOKUP(tables_472012!C172,input_472012!A:H,8,FALSE)),0)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input_472012!A$2</f>
        <v>472012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IF(G173="color",IFERROR(VLOOKUP(B173,input_472012!L:R,7,FALSE),VLOOKUP(tables_472012!C173,input_472012!A:H,8,FALSE)),0)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input_472012!A$2</f>
        <v>472012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IF(G174="color",IFERROR(VLOOKUP(B174,input_472012!L:R,7,FALSE),VLOOKUP(tables_472012!C174,input_472012!A:H,8,FALSE)),0)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input_472012!A$2</f>
        <v>472012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IF(G175="color",IFERROR(VLOOKUP(B175,input_472012!L:R,7,FALSE),VLOOKUP(tables_472012!C175,input_472012!A:H,8,FALSE)),0)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input_472012!A$2</f>
        <v>472012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IF(G176="color",IFERROR(VLOOKUP(B176,input_472012!L:R,7,FALSE),VLOOKUP(tables_472012!C176,input_472012!A:H,8,FALSE)),0)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input_472012!A$2</f>
        <v>472012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IF(G177="color",IFERROR(VLOOKUP(B177,input_472012!L:R,7,FALSE),VLOOKUP(tables_472012!C177,input_472012!A:H,8,FALSE)),0)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input_472012!A$2</f>
        <v>472012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IF(G178="color",IFERROR(VLOOKUP(B178,input_472012!L:R,7,FALSE),VLOOKUP(tables_472012!C178,input_472012!A:H,8,FALSE)),0)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input_472012!A$2</f>
        <v>472012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IF(G179="color",IFERROR(VLOOKUP(B179,input_472012!L:R,7,FALSE),VLOOKUP(tables_472012!C179,input_472012!A:H,8,FALSE)),0)</f>
        <v>277476.92307999998</v>
      </c>
      <c r="P179" s="46">
        <f t="shared" ca="1" si="9"/>
        <v>3.7700668896790343E-2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input_472012!A$2</f>
        <v>472012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IF(G180="color",IFERROR(VLOOKUP(B180,input_472012!L:R,7,FALSE),VLOOKUP(tables_472012!C180,input_472012!A:H,8,FALSE)),0)</f>
        <v>4750</v>
      </c>
      <c r="P180" s="46">
        <f t="shared" ca="1" si="9"/>
        <v>6.4538043478348545E-4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input_472012!A$2</f>
        <v>472012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IF(G181="color",IFERROR(VLOOKUP(B181,input_472012!L:R,7,FALSE),VLOOKUP(tables_472012!C181,input_472012!A:H,8,FALSE)),0)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input_472012!A$2</f>
        <v>472012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IF(G182="color",IFERROR(VLOOKUP(B182,input_472012!L:R,7,FALSE),VLOOKUP(tables_472012!C182,input_472012!A:H,8,FALSE)),0)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input_472012!A$2</f>
        <v>472012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IF(G183="color",IFERROR(VLOOKUP(B183,input_472012!L:R,7,FALSE),VLOOKUP(tables_472012!C183,input_472012!A:H,8,FALSE)),0)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input_472012!A$2</f>
        <v>472012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IF(G184="color",IFERROR(VLOOKUP(B184,input_472012!L:R,7,FALSE),VLOOKUP(tables_472012!C184,input_472012!A:H,8,FALSE)),0)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input_472012!A$2</f>
        <v>472012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IF(G185="color",IFERROR(VLOOKUP(B185,input_472012!L:R,7,FALSE),VLOOKUP(tables_472012!C185,input_472012!A:H,8,FALSE)),0)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input_472012!A$2</f>
        <v>472012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IF(G186="color",IFERROR(VLOOKUP(B186,input_472012!L:R,7,FALSE),VLOOKUP(tables_472012!C186,input_472012!A:H,8,FALSE)),0)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input_472012!A$2</f>
        <v>472012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IF(G187="color",IFERROR(VLOOKUP(B187,input_472012!L:R,7,FALSE),VLOOKUP(tables_472012!C187,input_472012!A:H,8,FALSE)),0)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input_472012!A$2</f>
        <v>472012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IF(G188="color",IFERROR(VLOOKUP(B188,input_472012!L:R,7,FALSE),VLOOKUP(tables_472012!C188,input_472012!A:H,8,FALSE)),0)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input_472012!A$2</f>
        <v>472012</v>
      </c>
      <c r="B189" s="8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IF(G189="color",IFERROR(VLOOKUP(B189,input_472012!L:R,7,FALSE),VLOOKUP(tables_472012!C189,input_472012!A:H,8,FALSE)),0)</f>
        <v>21850</v>
      </c>
      <c r="P189" s="46">
        <f t="shared" ca="1" si="9"/>
        <v>2.9687500000040333E-3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input_472012!A$2</f>
        <v>472012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IF(G190="color",IFERROR(VLOOKUP(B190,input_472012!L:R,7,FALSE),VLOOKUP(tables_472012!C190,input_472012!A:H,8,FALSE)),0)</f>
        <v>1150</v>
      </c>
      <c r="P190" s="46">
        <f t="shared" ca="1" si="9"/>
        <v>1.5625000000021226E-4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input_472012!A$2</f>
        <v>472012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IF(G191="color",IFERROR(VLOOKUP(B191,input_472012!L:R,7,FALSE),VLOOKUP(tables_472012!C191,input_472012!A:H,8,FALSE)),0)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input_472012!A$2</f>
        <v>472012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IF(G192="color",IFERROR(VLOOKUP(B192,input_472012!L:R,7,FALSE),VLOOKUP(tables_472012!C192,input_472012!A:H,8,FALSE)),0)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input_472012!A$2</f>
        <v>472012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IF(G193="color",IFERROR(VLOOKUP(B193,input_472012!L:R,7,FALSE),VLOOKUP(tables_472012!C193,input_472012!A:H,8,FALSE)),0)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input_472012!A$2</f>
        <v>472012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IF(G194="color",IFERROR(VLOOKUP(B194,input_472012!L:R,7,FALSE),VLOOKUP(tables_472012!C194,input_472012!A:H,8,FALSE)),0)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input_472012!A$2</f>
        <v>472012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IF(G195="color",IFERROR(VLOOKUP(B195,input_472012!L:R,7,FALSE),VLOOKUP(tables_472012!C195,input_472012!A:H,8,FALSE)),0)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input_472012!A$2</f>
        <v>472012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IF(G196="color",IFERROR(VLOOKUP(B196,input_472012!L:R,7,FALSE),VLOOKUP(tables_472012!C196,input_472012!A:H,8,FALSE)),0)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input_472012!A$2</f>
        <v>472012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IF(G197="color",IFERROR(VLOOKUP(B197,input_472012!L:R,7,FALSE),VLOOKUP(tables_472012!C197,input_472012!A:H,8,FALSE)),0)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input_472012!A$2</f>
        <v>472012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IF(G198="color",IFERROR(VLOOKUP(B198,input_472012!L:R,7,FALSE),VLOOKUP(tables_472012!C198,input_472012!A:H,8,FALSE)),0)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input_472012!A$2</f>
        <v>472012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IF(G199="color",IFERROR(VLOOKUP(B199,input_472012!L:R,7,FALSE),VLOOKUP(tables_472012!C199,input_472012!A:H,8,FALSE)),0)</f>
        <v>277476.92307999998</v>
      </c>
      <c r="P199" s="46">
        <f t="shared" ca="1" si="13"/>
        <v>3.7700668896790343E-2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input_472012!A$2</f>
        <v>472012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IF(G200="color",IFERROR(VLOOKUP(B200,input_472012!L:R,7,FALSE),VLOOKUP(tables_472012!C200,input_472012!A:H,8,FALSE)),0)</f>
        <v>4750</v>
      </c>
      <c r="P200" s="46">
        <f t="shared" ca="1" si="13"/>
        <v>6.4538043478348545E-4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input_472012!A$2</f>
        <v>472012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IF(G201="color",IFERROR(VLOOKUP(B201,input_472012!L:R,7,FALSE),VLOOKUP(tables_472012!C201,input_472012!A:H,8,FALSE)),0)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input_472012!A$2</f>
        <v>472012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IF(G202="color",IFERROR(VLOOKUP(B202,input_472012!L:R,7,FALSE),VLOOKUP(tables_472012!C202,input_472012!A:H,8,FALSE)),0)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input_472012!A$2</f>
        <v>472012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IF(G203="color",IFERROR(VLOOKUP(B203,input_472012!L:R,7,FALSE),VLOOKUP(tables_472012!C203,input_472012!A:H,8,FALSE)),0)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input_472012!A$2</f>
        <v>472012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IF(G204="color",IFERROR(VLOOKUP(B204,input_472012!L:R,7,FALSE),VLOOKUP(tables_472012!C204,input_472012!A:H,8,FALSE)),0)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input_472012!A$2</f>
        <v>472012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IF(G205="color",IFERROR(VLOOKUP(B205,input_472012!L:R,7,FALSE),VLOOKUP(tables_472012!C205,input_472012!A:H,8,FALSE)),0)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input_472012!A$2</f>
        <v>472012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IF(G206="color",IFERROR(VLOOKUP(B206,input_472012!L:R,7,FALSE),VLOOKUP(tables_472012!C206,input_472012!A:H,8,FALSE)),0)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input_472012!A$2</f>
        <v>472012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IF(G207="color",IFERROR(VLOOKUP(B207,input_472012!L:R,7,FALSE),VLOOKUP(tables_472012!C207,input_472012!A:H,8,FALSE)),0)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input_472012!A$2</f>
        <v>472012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IF(G208="color",IFERROR(VLOOKUP(B208,input_472012!L:R,7,FALSE),VLOOKUP(tables_472012!C208,input_472012!A:H,8,FALSE)),0)</f>
        <v>21850</v>
      </c>
      <c r="P208" s="46">
        <f t="shared" ca="1" si="13"/>
        <v>2.9687500000040333E-3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input_472012!A$2</f>
        <v>472012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IF(G209="color",IFERROR(VLOOKUP(B209,input_472012!L:R,7,FALSE),VLOOKUP(tables_472012!C209,input_472012!A:H,8,FALSE)),0)</f>
        <v>1150</v>
      </c>
      <c r="P209" s="46">
        <f t="shared" ca="1" si="13"/>
        <v>1.5625000000021226E-4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input_472012!A$2</f>
        <v>472012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IF(G210="color",IFERROR(VLOOKUP(B210,input_472012!L:R,7,FALSE),VLOOKUP(tables_472012!C210,input_472012!A:H,8,FALSE)),0)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input_472012!A$2</f>
        <v>472012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IF(G211="color",IFERROR(VLOOKUP(B211,input_472012!L:R,7,FALSE),VLOOKUP(tables_472012!C211,input_472012!A:H,8,FALSE)),0)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input_472012!A$2</f>
        <v>472012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IF(G212="color",IFERROR(VLOOKUP(B212,input_472012!L:R,7,FALSE),VLOOKUP(tables_472012!C212,input_472012!A:H,8,FALSE)),0)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input_472012!A$2</f>
        <v>472012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IF(G213="color",IFERROR(VLOOKUP(B213,input_472012!L:R,7,FALSE),VLOOKUP(tables_472012!C213,input_472012!A:H,8,FALSE)),0)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input_472012!A$2</f>
        <v>472012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IF(G214="color",IFERROR(VLOOKUP(B214,input_472012!L:R,7,FALSE),VLOOKUP(tables_472012!C214,input_472012!A:H,8,FALSE)),0)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input_472012!A$2</f>
        <v>472012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IF(G215="color",IFERROR(VLOOKUP(B215,input_472012!L:R,7,FALSE),VLOOKUP(tables_472012!C215,input_472012!A:H,8,FALSE)),0)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input_472012!A$2</f>
        <v>472012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IF(G216="color",IFERROR(VLOOKUP(B216,input_472012!L:R,7,FALSE),VLOOKUP(tables_472012!C216,input_472012!A:H,8,FALSE)),0)</f>
        <v>15200</v>
      </c>
      <c r="P216" s="46">
        <f t="shared" ca="1" si="13"/>
        <v>2.0652173913071536E-3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input_472012!A$2</f>
        <v>472012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IF(G217="color",IFERROR(VLOOKUP(B217,input_472012!L:R,7,FALSE),VLOOKUP(tables_472012!C217,input_472012!A:H,8,FALSE)),0)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input_472012!A$2</f>
        <v>472012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IF(G218="color",IFERROR(VLOOKUP(B218,input_472012!L:R,7,FALSE),VLOOKUP(tables_472012!C218,input_472012!A:H,8,FALSE)),0)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input_472012!A$2</f>
        <v>472012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IF(G219="color",IFERROR(VLOOKUP(B219,input_472012!L:R,7,FALSE),VLOOKUP(tables_472012!C219,input_472012!A:H,8,FALSE)),0)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input_472012!A$2</f>
        <v>472012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IF(G220="color",IFERROR(VLOOKUP(B220,input_472012!L:R,7,FALSE),VLOOKUP(tables_472012!C220,input_472012!A:H,8,FALSE)),0)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input_472012!A$2</f>
        <v>472012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IF(G221="color",IFERROR(VLOOKUP(B221,input_472012!L:R,7,FALSE),VLOOKUP(tables_472012!C221,input_472012!A:H,8,FALSE)),0)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input_472012!A$2</f>
        <v>472012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IF(G222="color",IFERROR(VLOOKUP(B222,input_472012!L:R,7,FALSE),VLOOKUP(tables_472012!C222,input_472012!A:H,8,FALSE)),0)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input_472012!A$2</f>
        <v>472012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IF(G223="color",IFERROR(VLOOKUP(B223,input_472012!L:R,7,FALSE),VLOOKUP(tables_472012!C223,input_472012!A:H,8,FALSE)),0)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input_472012!A$2</f>
        <v>472012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IF(G224="color",IFERROR(VLOOKUP(B224,input_472012!L:R,7,FALSE),VLOOKUP(tables_472012!C224,input_472012!A:H,8,FALSE)),0)</f>
        <v>277476.92307999998</v>
      </c>
      <c r="P224" s="46">
        <f t="shared" ca="1" si="13"/>
        <v>3.7700668896790343E-2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input_472012!A$2</f>
        <v>472012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IF(G225="color",IFERROR(VLOOKUP(B225,input_472012!L:R,7,FALSE),VLOOKUP(tables_472012!C225,input_472012!A:H,8,FALSE)),0)</f>
        <v>4750</v>
      </c>
      <c r="P225" s="46">
        <f t="shared" ca="1" si="13"/>
        <v>6.4538043478348545E-4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input_472012!A$2</f>
        <v>472012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IF(G226="color",IFERROR(VLOOKUP(B226,input_472012!L:R,7,FALSE),VLOOKUP(tables_472012!C226,input_472012!A:H,8,FALSE)),0)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input_472012!A$2</f>
        <v>472012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IF(G227="color",IFERROR(VLOOKUP(B227,input_472012!L:R,7,FALSE),VLOOKUP(tables_472012!C227,input_472012!A:H,8,FALSE)),0)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input_472012!A$2</f>
        <v>472012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IF(G228="color",IFERROR(VLOOKUP(B228,input_472012!L:R,7,FALSE),VLOOKUP(tables_472012!C228,input_472012!A:H,8,FALSE)),0)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input_472012!A$2</f>
        <v>472012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IF(G229="color",IFERROR(VLOOKUP(B229,input_472012!L:R,7,FALSE),VLOOKUP(tables_472012!C229,input_472012!A:H,8,FALSE)),0)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input_472012!A$2</f>
        <v>472012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IF(G230="color",IFERROR(VLOOKUP(B230,input_472012!L:R,7,FALSE),VLOOKUP(tables_472012!C230,input_472012!A:H,8,FALSE)),0)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input_472012!A$2</f>
        <v>472012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IF(G231="color",IFERROR(VLOOKUP(B231,input_472012!L:R,7,FALSE),VLOOKUP(tables_472012!C231,input_472012!A:H,8,FALSE)),0)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input_472012!A$2</f>
        <v>472012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IF(G232="color",IFERROR(VLOOKUP(B232,input_472012!L:R,7,FALSE),VLOOKUP(tables_472012!C232,input_472012!A:H,8,FALSE)),0)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input_472012!A$2</f>
        <v>472012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IF(G233="color",IFERROR(VLOOKUP(B233,input_472012!L:R,7,FALSE),VLOOKUP(tables_472012!C233,input_472012!A:H,8,FALSE)),0)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input_472012!A$2</f>
        <v>472012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IF(G234="color",IFERROR(VLOOKUP(B234,input_472012!L:R,7,FALSE),VLOOKUP(tables_472012!C234,input_472012!A:H,8,FALSE)),0)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input_472012!A$2</f>
        <v>472012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IF(G235="color",IFERROR(VLOOKUP(B235,input_472012!L:R,7,FALSE),VLOOKUP(tables_472012!C235,input_472012!A:H,8,FALSE)),0)</f>
        <v>277476.92307999998</v>
      </c>
      <c r="P235" s="46">
        <f t="shared" ca="1" si="13"/>
        <v>3.7700668896790343E-2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input_472012!A$2</f>
        <v>472012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IF(G236="color",IFERROR(VLOOKUP(B236,input_472012!L:R,7,FALSE),VLOOKUP(tables_472012!C236,input_472012!A:H,8,FALSE)),0)</f>
        <v>4750</v>
      </c>
      <c r="P236" s="46">
        <f t="shared" ca="1" si="13"/>
        <v>6.4538043478348545E-4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input_472012!A$2</f>
        <v>472012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IF(G237="color",IFERROR(VLOOKUP(B237,input_472012!L:R,7,FALSE),VLOOKUP(tables_472012!C237,input_472012!A:H,8,FALSE)),0)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input_472012!A$2</f>
        <v>472012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IF(G238="color",IFERROR(VLOOKUP(B238,input_472012!L:R,7,FALSE),VLOOKUP(tables_472012!C238,input_472012!A:H,8,FALSE)),0)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input_472012!A$2</f>
        <v>472012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IF(G239="color",IFERROR(VLOOKUP(B239,input_472012!L:R,7,FALSE),VLOOKUP(tables_472012!C239,input_472012!A:H,8,FALSE)),0)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input_472012!A$2</f>
        <v>472012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IF(G240="color",IFERROR(VLOOKUP(B240,input_472012!L:R,7,FALSE),VLOOKUP(tables_472012!C240,input_472012!A:H,8,FALSE)),0)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input_472012!A$2</f>
        <v>472012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IF(G241="color",IFERROR(VLOOKUP(B241,input_472012!L:R,7,FALSE),VLOOKUP(tables_472012!C241,input_472012!A:H,8,FALSE)),0)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input_472012!A$2</f>
        <v>472012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IF(G242="color",IFERROR(VLOOKUP(B242,input_472012!L:R,7,FALSE),VLOOKUP(tables_472012!C242,input_472012!A:H,8,FALSE)),0)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input_472012!A$2</f>
        <v>472012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IF(G243="color",IFERROR(VLOOKUP(B243,input_472012!L:R,7,FALSE),VLOOKUP(tables_472012!C243,input_472012!A:H,8,FALSE)),0)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input_472012!A$2</f>
        <v>472012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IF(G244="color",IFERROR(VLOOKUP(B244,input_472012!L:R,7,FALSE),VLOOKUP(tables_472012!C244,input_472012!A:H,8,FALSE)),0)</f>
        <v>21850</v>
      </c>
      <c r="P244" s="46">
        <f t="shared" ca="1" si="13"/>
        <v>2.9687500000040333E-3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input_472012!A$2</f>
        <v>472012</v>
      </c>
      <c r="B245" s="60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IF(G245="color",IFERROR(VLOOKUP(B245,input_472012!L:R,7,FALSE),VLOOKUP(tables_472012!C245,input_472012!A:H,8,FALSE)),0)</f>
        <v>1150</v>
      </c>
      <c r="P245" s="46">
        <f t="shared" ca="1" si="13"/>
        <v>1.5625000000021226E-4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input_472012!A$2</f>
        <v>472012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IF(G246="color",IFERROR(VLOOKUP(B246,input_472012!L:R,7,FALSE),VLOOKUP(tables_472012!C246,input_472012!A:H,8,FALSE)),0)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input_472012!A$2</f>
        <v>472012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IF(G247="color",IFERROR(VLOOKUP(B247,input_472012!L:R,7,FALSE),VLOOKUP(tables_472012!C247,input_472012!A:H,8,FALSE)),0)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input_472012!A$2</f>
        <v>472012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IF(G248="color",IFERROR(VLOOKUP(B248,input_472012!L:R,7,FALSE),VLOOKUP(tables_472012!C248,input_472012!A:H,8,FALSE)),0)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input_472012!A$2</f>
        <v>472012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IF(G249="color",IFERROR(VLOOKUP(B249,input_472012!L:R,7,FALSE),VLOOKUP(tables_472012!C249,input_472012!A:H,8,FALSE)),0)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input_472012!A$2</f>
        <v>472012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IF(G250="color",IFERROR(VLOOKUP(B250,input_472012!L:R,7,FALSE),VLOOKUP(tables_472012!C250,input_472012!A:H,8,FALSE)),0)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input_472012!A$2</f>
        <v>472012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IF(G251="color",IFERROR(VLOOKUP(B251,input_472012!L:R,7,FALSE),VLOOKUP(tables_472012!C251,input_472012!A:H,8,FALSE)),0)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input_472012!A$2</f>
        <v>472012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IF(G252="color",IFERROR(VLOOKUP(B252,input_472012!L:R,7,FALSE),VLOOKUP(tables_472012!C252,input_472012!A:H,8,FALSE)),0)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input_472012!A$2</f>
        <v>472012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IF(G253="color",IFERROR(VLOOKUP(B253,input_472012!L:R,7,FALSE),VLOOKUP(tables_472012!C253,input_472012!A:H,8,FALSE)),0)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input_472012!A$2</f>
        <v>472012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IF(G254="color",IFERROR(VLOOKUP(B254,input_472012!L:R,7,FALSE),VLOOKUP(tables_472012!C254,input_472012!A:H,8,FALSE)),0)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input_472012!A$2</f>
        <v>472012</v>
      </c>
      <c r="B255" s="60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IF(G255="color",IFERROR(VLOOKUP(B255,input_472012!L:R,7,FALSE),VLOOKUP(tables_472012!C255,input_472012!A:H,8,FALSE)),0)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input_472012!A$2</f>
        <v>472012</v>
      </c>
      <c r="B256" s="60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IF(G256="color",IFERROR(VLOOKUP(B256,input_472012!L:R,7,FALSE),VLOOKUP(tables_472012!C256,input_472012!A:H,8,FALSE)),0)</f>
        <v>277476.92307999998</v>
      </c>
      <c r="P256" s="46">
        <f t="shared" ca="1" si="13"/>
        <v>3.7700668896790343E-2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input_472012!A$2</f>
        <v>472012</v>
      </c>
      <c r="B257" s="60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IF(G257="color",IFERROR(VLOOKUP(B257,input_472012!L:R,7,FALSE),VLOOKUP(tables_472012!C257,input_472012!A:H,8,FALSE)),0)</f>
        <v>4750</v>
      </c>
      <c r="P257" s="46">
        <f t="shared" ca="1" si="13"/>
        <v>6.4538043478348545E-4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input_472012!A$2</f>
        <v>472012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IF(G258="color",IFERROR(VLOOKUP(B258,input_472012!L:R,7,FALSE),VLOOKUP(tables_472012!C258,input_472012!A:H,8,FALSE)),0)</f>
        <v>0</v>
      </c>
      <c r="P258" s="46">
        <f t="shared" ref="P258:P321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input_472012!A$2</f>
        <v>472012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IF(G259="color",IFERROR(VLOOKUP(B259,input_472012!L:R,7,FALSE),VLOOKUP(tables_472012!C259,input_472012!A:H,8,FALSE)),0)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input_472012!A$2</f>
        <v>472012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IF(G260="color",IFERROR(VLOOKUP(B260,input_472012!L:R,7,FALSE),VLOOKUP(tables_472012!C260,input_472012!A:H,8,FALSE)),0)</f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input_472012!A$2</f>
        <v>472012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IF(G261="color",IFERROR(VLOOKUP(B261,input_472012!L:R,7,FALSE),VLOOKUP(tables_472012!C261,input_472012!A:H,8,FALSE)),0)</f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input_472012!A$2</f>
        <v>472012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IF(G262="color",IFERROR(VLOOKUP(B262,input_472012!L:R,7,FALSE),VLOOKUP(tables_472012!C262,input_472012!A:H,8,FALSE)),0)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input_472012!A$2</f>
        <v>472012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IF(G263="color",IFERROR(VLOOKUP(B263,input_472012!L:R,7,FALSE),VLOOKUP(tables_472012!C263,input_472012!A:H,8,FALSE)),0)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input_472012!A$2</f>
        <v>472012</v>
      </c>
      <c r="B264" s="60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IF(G264="color",IFERROR(VLOOKUP(B264,input_472012!L:R,7,FALSE),VLOOKUP(tables_472012!C264,input_472012!A:H,8,FALSE)),0)</f>
        <v>285000</v>
      </c>
      <c r="P264" s="46">
        <f t="shared" ca="1" si="17"/>
        <v>3.8722826087009124E-2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input_472012!A$2</f>
        <v>472012</v>
      </c>
      <c r="B265" s="60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IF(G265="color",IFERROR(VLOOKUP(B265,input_472012!L:R,7,FALSE),VLOOKUP(tables_472012!C265,input_472012!A:H,8,FALSE)),0)</f>
        <v>15200</v>
      </c>
      <c r="P265" s="46">
        <f t="shared" ca="1" si="17"/>
        <v>2.0652173913071536E-3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input_472012!A$2</f>
        <v>472012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IF(G266="color",IFERROR(VLOOKUP(B266,input_472012!L:R,7,FALSE),VLOOKUP(tables_472012!C266,input_472012!A:H,8,FALSE)),0)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input_472012!A$2</f>
        <v>472012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IF(G267="color",IFERROR(VLOOKUP(B267,input_472012!L:R,7,FALSE),VLOOKUP(tables_472012!C267,input_472012!A:H,8,FALSE)),0)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input_472012!A$2</f>
        <v>472012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IF(G268="color",IFERROR(VLOOKUP(B268,input_472012!L:R,7,FALSE),VLOOKUP(tables_472012!C268,input_472012!A:H,8,FALSE)),0)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input_472012!A$2</f>
        <v>472012</v>
      </c>
      <c r="B269" s="60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IF(G269="color",IFERROR(VLOOKUP(B269,input_472012!L:R,7,FALSE),VLOOKUP(tables_472012!C269,input_472012!A:H,8,FALSE)),0)</f>
        <v>23000</v>
      </c>
      <c r="P269" s="46">
        <f t="shared" ca="1" si="17"/>
        <v>3.1250000000042455E-3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input_472012!A$2</f>
        <v>472012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IF(G270="color",IFERROR(VLOOKUP(B270,input_472012!L:R,7,FALSE),VLOOKUP(tables_472012!C270,input_472012!A:H,8,FALSE)),0)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input_472012!A$2</f>
        <v>472012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IF(G271="color",IFERROR(VLOOKUP(B271,input_472012!L:R,7,FALSE),VLOOKUP(tables_472012!C271,input_472012!A:H,8,FALSE)),0)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input_472012!A$2</f>
        <v>472012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IF(G272="color",IFERROR(VLOOKUP(B272,input_472012!L:R,7,FALSE),VLOOKUP(tables_472012!C272,input_472012!A:H,8,FALSE)),0)</f>
        <v>0</v>
      </c>
      <c r="P272" s="46">
        <f t="shared" ca="1" si="17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input_472012!A$2</f>
        <v>472012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IF(G273="color",IFERROR(VLOOKUP(B273,input_472012!L:R,7,FALSE),VLOOKUP(tables_472012!C273,input_472012!A:H,8,FALSE)),0)</f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input_472012!A$2</f>
        <v>472012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IF(G274="color",IFERROR(VLOOKUP(B274,input_472012!L:R,7,FALSE),VLOOKUP(tables_472012!C274,input_472012!A:H,8,FALSE)),0)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input_472012!A$2</f>
        <v>472012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IF(G275="color",IFERROR(VLOOKUP(B275,input_472012!L:R,7,FALSE),VLOOKUP(tables_472012!C275,input_472012!A:H,8,FALSE)),0)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input_472012!A$2</f>
        <v>472012</v>
      </c>
      <c r="B276" s="81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IF(G276="color",IFERROR(VLOOKUP(B276,input_472012!L:R,7,FALSE),VLOOKUP(tables_472012!C276,input_472012!A:H,8,FALSE)),0)</f>
        <v>21850</v>
      </c>
      <c r="P276" s="46">
        <f t="shared" ca="1" si="17"/>
        <v>2.9687500000040333E-3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input_472012!A$2</f>
        <v>472012</v>
      </c>
      <c r="B277" s="81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IF(G277="color",IFERROR(VLOOKUP(B277,input_472012!L:R,7,FALSE),VLOOKUP(tables_472012!C277,input_472012!A:H,8,FALSE)),0)</f>
        <v>1150</v>
      </c>
      <c r="P277" s="46">
        <f t="shared" ca="1" si="17"/>
        <v>1.5625000000021226E-4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input_472012!A$2</f>
        <v>472012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IF(G278="color",IFERROR(VLOOKUP(B278,input_472012!L:R,7,FALSE),VLOOKUP(tables_472012!C278,input_472012!A:H,8,FALSE)),0)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input_472012!A$2</f>
        <v>472012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IF(G279="color",IFERROR(VLOOKUP(B279,input_472012!L:R,7,FALSE),VLOOKUP(tables_472012!C279,input_472012!A:H,8,FALSE)),0)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input_472012!A$2</f>
        <v>472012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IF(G280="color",IFERROR(VLOOKUP(B280,input_472012!L:R,7,FALSE),VLOOKUP(tables_472012!C280,input_472012!A:H,8,FALSE)),0)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input_472012!A$2</f>
        <v>472012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IF(G281="color",IFERROR(VLOOKUP(B281,input_472012!L:R,7,FALSE),VLOOKUP(tables_472012!C281,input_472012!A:H,8,FALSE)),0)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input_472012!A$2</f>
        <v>472012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IF(G282="color",IFERROR(VLOOKUP(B282,input_472012!L:R,7,FALSE),VLOOKUP(tables_472012!C282,input_472012!A:H,8,FALSE)),0)</f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input_472012!A$2</f>
        <v>472012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IF(G283="color",IFERROR(VLOOKUP(B283,input_472012!L:R,7,FALSE),VLOOKUP(tables_472012!C283,input_472012!A:H,8,FALSE)),0)</f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input_472012!A$2</f>
        <v>472012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IF(G284="color",IFERROR(VLOOKUP(B284,input_472012!L:R,7,FALSE),VLOOKUP(tables_472012!C284,input_472012!A:H,8,FALSE)),0)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input_472012!A$2</f>
        <v>472012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IF(G285="color",IFERROR(VLOOKUP(B285,input_472012!L:R,7,FALSE),VLOOKUP(tables_472012!C285,input_472012!A:H,8,FALSE)),0)</f>
        <v>23000</v>
      </c>
      <c r="P285" s="46">
        <f t="shared" ca="1" si="17"/>
        <v>3.1250000000042455E-3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input_472012!A$2</f>
        <v>472012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IF(G286="color",IFERROR(VLOOKUP(B286,input_472012!L:R,7,FALSE),VLOOKUP(tables_472012!C286,input_472012!A:H,8,FALSE)),0)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input_472012!A$2</f>
        <v>472012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IF(G287="color",IFERROR(VLOOKUP(B287,input_472012!L:R,7,FALSE),VLOOKUP(tables_472012!C287,input_472012!A:H,8,FALSE)),0)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input_472012!A$2</f>
        <v>472012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IF(G288="color",IFERROR(VLOOKUP(B288,input_472012!L:R,7,FALSE),VLOOKUP(tables_472012!C288,input_472012!A:H,8,FALSE)),0)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input_472012!A$2</f>
        <v>472012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IF(G289="color",IFERROR(VLOOKUP(B289,input_472012!L:R,7,FALSE),VLOOKUP(tables_472012!C289,input_472012!A:H,8,FALSE)),0)</f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input_472012!A$2</f>
        <v>472012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IF(G290="color",IFERROR(VLOOKUP(B290,input_472012!L:R,7,FALSE),VLOOKUP(tables_472012!C290,input_472012!A:H,8,FALSE)),0)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input_472012!A$2</f>
        <v>472012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IF(G291="color",IFERROR(VLOOKUP(B291,input_472012!L:R,7,FALSE),VLOOKUP(tables_472012!C291,input_472012!A:H,8,FALSE)),0)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input_472012!A$2</f>
        <v>472012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IF(G292="color",IFERROR(VLOOKUP(B292,input_472012!L:R,7,FALSE),VLOOKUP(tables_472012!C292,input_472012!A:H,8,FALSE)),0)</f>
        <v>285000</v>
      </c>
      <c r="P292" s="46">
        <f t="shared" ca="1" si="17"/>
        <v>3.8722826087009124E-2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input_472012!A$2</f>
        <v>472012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IF(G293="color",IFERROR(VLOOKUP(B293,input_472012!L:R,7,FALSE),VLOOKUP(tables_472012!C293,input_472012!A:H,8,FALSE)),0)</f>
        <v>15200</v>
      </c>
      <c r="P293" s="46">
        <f t="shared" ca="1" si="17"/>
        <v>2.0652173913071536E-3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input_472012!A$2</f>
        <v>472012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IF(G294="color",IFERROR(VLOOKUP(B294,input_472012!L:R,7,FALSE),VLOOKUP(tables_472012!C294,input_472012!A:H,8,FALSE)),0)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input_472012!A$2</f>
        <v>472012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IF(G295="color",IFERROR(VLOOKUP(B295,input_472012!L:R,7,FALSE),VLOOKUP(tables_472012!C295,input_472012!A:H,8,FALSE)),0)</f>
        <v>0</v>
      </c>
      <c r="P295" s="46">
        <f t="shared" ca="1" si="17"/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input_472012!A$2</f>
        <v>472012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IF(G296="color",IFERROR(VLOOKUP(B296,input_472012!L:R,7,FALSE),VLOOKUP(tables_472012!C296,input_472012!A:H,8,FALSE)),0)</f>
        <v>0</v>
      </c>
      <c r="P296" s="46">
        <f t="shared" ca="1" si="17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input_472012!A$2</f>
        <v>472012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IF(G297="color",IFERROR(VLOOKUP(B297,input_472012!L:R,7,FALSE),VLOOKUP(tables_472012!C297,input_472012!A:H,8,FALSE)),0)</f>
        <v>285000</v>
      </c>
      <c r="P297" s="46">
        <f t="shared" ca="1" si="17"/>
        <v>3.8722826087009124E-2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input_472012!A$2</f>
        <v>472012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IF(G298="color",IFERROR(VLOOKUP(B298,input_472012!L:R,7,FALSE),VLOOKUP(tables_472012!C298,input_472012!A:H,8,FALSE)),0)</f>
        <v>15200</v>
      </c>
      <c r="P298" s="46">
        <f t="shared" ca="1" si="17"/>
        <v>2.0652173913071536E-3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input_472012!A$2</f>
        <v>472012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IF(G299="color",IFERROR(VLOOKUP(B299,input_472012!L:R,7,FALSE),VLOOKUP(tables_472012!C299,input_472012!A:H,8,FALSE)),0)</f>
        <v>0</v>
      </c>
      <c r="P299" s="46">
        <f t="shared" ca="1" si="17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input_472012!A$2</f>
        <v>472012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IF(G300="color",IFERROR(VLOOKUP(B300,input_472012!L:R,7,FALSE),VLOOKUP(tables_472012!C300,input_472012!A:H,8,FALSE)),0)</f>
        <v>0</v>
      </c>
      <c r="P300" s="46">
        <f t="shared" ca="1" si="17"/>
        <v>0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input_472012!A$2</f>
        <v>472012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IF(G301="color",IFERROR(VLOOKUP(B301,input_472012!L:R,7,FALSE),VLOOKUP(tables_472012!C301,input_472012!A:H,8,FALSE)),0)</f>
        <v>0</v>
      </c>
      <c r="P301" s="46">
        <f t="shared" ca="1" si="17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input_472012!A$2</f>
        <v>472012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IF(G302="color",IFERROR(VLOOKUP(B302,input_472012!L:R,7,FALSE),VLOOKUP(tables_472012!C302,input_472012!A:H,8,FALSE)),0)</f>
        <v>23000</v>
      </c>
      <c r="P302" s="46">
        <f t="shared" ca="1" si="17"/>
        <v>3.1250000000042455E-3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input_472012!A$2</f>
        <v>472012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IF(G303="color",IFERROR(VLOOKUP(B303,input_472012!L:R,7,FALSE),VLOOKUP(tables_472012!C303,input_472012!A:H,8,FALSE)),0)</f>
        <v>0</v>
      </c>
      <c r="P303" s="46">
        <f t="shared" ca="1" si="17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input_472012!A$2</f>
        <v>472012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IF(G304="color",IFERROR(VLOOKUP(B304,input_472012!L:R,7,FALSE),VLOOKUP(tables_472012!C304,input_472012!A:H,8,FALSE)),0)</f>
        <v>0</v>
      </c>
      <c r="P304" s="46">
        <f t="shared" ca="1" si="17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input_472012!A$2</f>
        <v>472012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IF(G305="color",IFERROR(VLOOKUP(B305,input_472012!L:R,7,FALSE),VLOOKUP(tables_472012!C305,input_472012!A:H,8,FALSE)),0)</f>
        <v>0</v>
      </c>
      <c r="P305" s="46">
        <f t="shared" ca="1" si="17"/>
        <v>0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input_472012!A$2</f>
        <v>472012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IF(G306="color",IFERROR(VLOOKUP(B306,input_472012!L:R,7,FALSE),VLOOKUP(tables_472012!C306,input_472012!A:H,8,FALSE)),0)</f>
        <v>0</v>
      </c>
      <c r="P306" s="46">
        <f t="shared" ca="1" si="17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input_472012!A$2</f>
        <v>472012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IF(G307="color",IFERROR(VLOOKUP(B307,input_472012!L:R,7,FALSE),VLOOKUP(tables_472012!C307,input_472012!A:H,8,FALSE)),0)</f>
        <v>0</v>
      </c>
      <c r="P307" s="46">
        <f t="shared" ca="1" si="1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input_472012!A$2</f>
        <v>472012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IF(G308="color",IFERROR(VLOOKUP(B308,input_472012!L:R,7,FALSE),VLOOKUP(tables_472012!C308,input_472012!A:H,8,FALSE)),0)</f>
        <v>23000</v>
      </c>
      <c r="P308" s="46">
        <f t="shared" ca="1" si="17"/>
        <v>3.1250000000042455E-3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input_472012!A$2</f>
        <v>472012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IF(G309="color",IFERROR(VLOOKUP(B309,input_472012!L:R,7,FALSE),VLOOKUP(tables_472012!C309,input_472012!A:H,8,FALSE)),0)</f>
        <v>0</v>
      </c>
      <c r="P309" s="46">
        <f t="shared" ca="1" si="17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input_472012!A$2</f>
        <v>472012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IF(G310="color",IFERROR(VLOOKUP(B310,input_472012!L:R,7,FALSE),VLOOKUP(tables_472012!C310,input_472012!A:H,8,FALSE)),0)</f>
        <v>0</v>
      </c>
      <c r="P310" s="46">
        <f t="shared" ca="1" si="17"/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input_472012!A$2</f>
        <v>472012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IF(G311="color",IFERROR(VLOOKUP(B311,input_472012!L:R,7,FALSE),VLOOKUP(tables_472012!C311,input_472012!A:H,8,FALSE)),0)</f>
        <v>0</v>
      </c>
      <c r="P311" s="46">
        <f t="shared" ca="1" si="17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input_472012!A$2</f>
        <v>472012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IF(G312="color",IFERROR(VLOOKUP(B312,input_472012!L:R,7,FALSE),VLOOKUP(tables_472012!C312,input_472012!A:H,8,FALSE)),0)</f>
        <v>0</v>
      </c>
      <c r="P312" s="46">
        <f t="shared" ca="1" si="17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input_472012!A$2</f>
        <v>472012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IF(G313="color",IFERROR(VLOOKUP(B313,input_472012!L:R,7,FALSE),VLOOKUP(tables_472012!C313,input_472012!A:H,8,FALSE)),0)</f>
        <v>23000</v>
      </c>
      <c r="P313" s="46">
        <f t="shared" ca="1" si="17"/>
        <v>3.1250000000042455E-3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input_472012!A$2</f>
        <v>472012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IF(G314="color",IFERROR(VLOOKUP(B314,input_472012!L:R,7,FALSE),VLOOKUP(tables_472012!C314,input_472012!A:H,8,FALSE)),0)</f>
        <v>0</v>
      </c>
      <c r="P314" s="46">
        <f t="shared" ca="1" si="17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input_472012!A$2</f>
        <v>472012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IF(G315="color",IFERROR(VLOOKUP(B315,input_472012!L:R,7,FALSE),VLOOKUP(tables_472012!C315,input_472012!A:H,8,FALSE)),0)</f>
        <v>0</v>
      </c>
      <c r="P315" s="46">
        <f t="shared" ca="1" si="17"/>
        <v>0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input_472012!A$2</f>
        <v>472012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IF(G316="color",IFERROR(VLOOKUP(B316,input_472012!L:R,7,FALSE),VLOOKUP(tables_472012!C316,input_472012!A:H,8,FALSE)),0)</f>
        <v>0</v>
      </c>
      <c r="P316" s="46">
        <f t="shared" ca="1" si="1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input_472012!A$2</f>
        <v>472012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IF(G317="color",IFERROR(VLOOKUP(B317,input_472012!L:R,7,FALSE),VLOOKUP(tables_472012!C317,input_472012!A:H,8,FALSE)),0)</f>
        <v>23000</v>
      </c>
      <c r="P317" s="46">
        <f t="shared" ca="1" si="17"/>
        <v>3.1250000000042455E-3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input_472012!A$2</f>
        <v>472012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IF(G318="color",IFERROR(VLOOKUP(B318,input_472012!L:R,7,FALSE),VLOOKUP(tables_472012!C318,input_472012!A:H,8,FALSE)),0)</f>
        <v>0</v>
      </c>
      <c r="P318" s="46">
        <f t="shared" ca="1" si="17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input_472012!A$2</f>
        <v>472012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IF(G319="color",IFERROR(VLOOKUP(B319,input_472012!L:R,7,FALSE),VLOOKUP(tables_472012!C319,input_472012!A:H,8,FALSE)),0)</f>
        <v>0</v>
      </c>
      <c r="P319" s="46">
        <f t="shared" ca="1" si="17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input_472012!A$2</f>
        <v>472012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IF(G320="color",IFERROR(VLOOKUP(B320,input_472012!L:R,7,FALSE),VLOOKUP(tables_472012!C320,input_472012!A:H,8,FALSE)),0)</f>
        <v>0</v>
      </c>
      <c r="P320" s="46">
        <f t="shared" ca="1" si="17"/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input_472012!A$2</f>
        <v>472012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IF(G321="color",IFERROR(VLOOKUP(B321,input_472012!L:R,7,FALSE),VLOOKUP(tables_472012!C321,input_472012!A:H,8,FALSE)),0)</f>
        <v>0</v>
      </c>
      <c r="P321" s="46">
        <f t="shared" ca="1" si="17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input_472012!A$2</f>
        <v>472012</v>
      </c>
      <c r="B322" s="5">
        <v>1139</v>
      </c>
      <c r="C322" s="7" t="str">
        <f t="shared" ref="C322:C340" si="20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IF(G322="color",IFERROR(VLOOKUP(B322,input_472012!L:R,7,FALSE),VLOOKUP(tables_472012!C322,input_472012!A:H,8,FALSE)),0)</f>
        <v>23000</v>
      </c>
      <c r="P322" s="46">
        <f t="shared" ref="P322:P340" ca="1" si="21">O322/SUM(O:O)</f>
        <v>3.1250000000042455E-3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input_472012!A$2</f>
        <v>472012</v>
      </c>
      <c r="B323" s="5">
        <v>1141</v>
      </c>
      <c r="C323" s="7" t="str">
        <f t="shared" si="20"/>
        <v>PremiumSS5R5only</v>
      </c>
      <c r="D323" s="7" t="str">
        <f t="shared" ref="D323:D340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23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IF(G323="color",IFERROR(VLOOKUP(B323,input_472012!L:R,7,FALSE),VLOOKUP(tables_472012!C323,input_472012!A:H,8,FALSE)),0)</f>
        <v>0</v>
      </c>
      <c r="P323" s="46">
        <f t="shared" ca="1" si="21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input_472012!A$2</f>
        <v>472012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IF(G324="color",IFERROR(VLOOKUP(B324,input_472012!L:R,7,FALSE),VLOOKUP(tables_472012!C324,input_472012!A:H,8,FALSE)),0)</f>
        <v>0</v>
      </c>
      <c r="P324" s="46">
        <f t="shared" ca="1" si="21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input_472012!A$2</f>
        <v>472012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IF(G325="color",IFERROR(VLOOKUP(B325,input_472012!L:R,7,FALSE),VLOOKUP(tables_472012!C325,input_472012!A:H,8,FALSE)),0)</f>
        <v>0</v>
      </c>
      <c r="P325" s="46">
        <f t="shared" ca="1" si="21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input_472012!A$2</f>
        <v>472012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IF(G326="color",IFERROR(VLOOKUP(B326,input_472012!L:R,7,FALSE),VLOOKUP(tables_472012!C326,input_472012!A:H,8,FALSE)),0)</f>
        <v>0</v>
      </c>
      <c r="P326" s="46">
        <f t="shared" ca="1" si="21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input_472012!A$2</f>
        <v>472012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IF(G327="color",IFERROR(VLOOKUP(B327,input_472012!L:R,7,FALSE),VLOOKUP(tables_472012!C327,input_472012!A:H,8,FALSE)),0)</f>
        <v>0</v>
      </c>
      <c r="P327" s="46">
        <f t="shared" ca="1" si="21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input_472012!A$2</f>
        <v>472012</v>
      </c>
      <c r="B328" s="2">
        <v>1153</v>
      </c>
      <c r="C328" s="7" t="str">
        <f t="shared" si="20"/>
        <v>PremiumSS5R5onlycolor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IF(G328="color",IFERROR(VLOOKUP(B328,input_472012!L:R,7,FALSE),VLOOKUP(tables_472012!C328,input_472012!A:H,8,FALSE)),0)</f>
        <v>23000</v>
      </c>
      <c r="P328" s="46">
        <f t="shared" ca="1" si="21"/>
        <v>3.1250000000042455E-3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input_472012!A$2</f>
        <v>472012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IF(G329="color",IFERROR(VLOOKUP(B329,input_472012!L:R,7,FALSE),VLOOKUP(tables_472012!C329,input_472012!A:H,8,FALSE)),0)</f>
        <v>0</v>
      </c>
      <c r="P329" s="46">
        <f t="shared" ca="1" si="21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input_472012!A$2</f>
        <v>472012</v>
      </c>
      <c r="B330" s="2">
        <v>1157</v>
      </c>
      <c r="C330" s="7" t="str">
        <f t="shared" si="20"/>
        <v>PremiumSS5R5only</v>
      </c>
      <c r="D330" s="96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IF(G330="color",IFERROR(VLOOKUP(B330,input_472012!L:R,7,FALSE),VLOOKUP(tables_472012!C330,input_472012!A:H,8,FALSE)),0)</f>
        <v>0</v>
      </c>
      <c r="P330" s="46">
        <f t="shared" ca="1" si="21"/>
        <v>0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input_472012!A$2</f>
        <v>472012</v>
      </c>
      <c r="B331" s="60">
        <v>1214</v>
      </c>
      <c r="C331" s="7" t="str">
        <f t="shared" si="20"/>
        <v>PremiumSS5R5only</v>
      </c>
      <c r="D331" s="96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IF(G331="color",IFERROR(VLOOKUP(B331,input_472012!L:R,7,FALSE),VLOOKUP(tables_472012!C331,input_472012!A:H,8,FALSE)),0)</f>
        <v>0</v>
      </c>
      <c r="P331" s="46">
        <f t="shared" ca="1" si="21"/>
        <v>0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input_472012!A$2</f>
        <v>472012</v>
      </c>
      <c r="B332" s="60">
        <v>1212</v>
      </c>
      <c r="C332" s="7" t="str">
        <f t="shared" si="20"/>
        <v>PremiumSS5R5only</v>
      </c>
      <c r="D332" s="96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IF(G332="color",IFERROR(VLOOKUP(B332,input_472012!L:R,7,FALSE),VLOOKUP(tables_472012!C332,input_472012!A:H,8,FALSE)),0)</f>
        <v>0</v>
      </c>
      <c r="P332" s="46">
        <f t="shared" ca="1" si="21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input_472012!A$2</f>
        <v>472012</v>
      </c>
      <c r="B333" s="60">
        <v>1208</v>
      </c>
      <c r="C333" s="7" t="str">
        <f t="shared" si="20"/>
        <v>PremiumSS5R5only</v>
      </c>
      <c r="D333" s="96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IF(G333="color",IFERROR(VLOOKUP(B333,input_472012!L:R,7,FALSE),VLOOKUP(tables_472012!C333,input_472012!A:H,8,FALSE)),0)</f>
        <v>0</v>
      </c>
      <c r="P333" s="46">
        <f t="shared" ca="1" si="21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input_472012!A$2</f>
        <v>472012</v>
      </c>
      <c r="B334" s="93">
        <v>1210</v>
      </c>
      <c r="C334" s="7" t="str">
        <f t="shared" si="20"/>
        <v>Premium4R3lesscolor</v>
      </c>
      <c r="D334" s="96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IF(G334="color",IFERROR(VLOOKUP(B334,input_472012!L:R,7,FALSE),VLOOKUP(tables_472012!C334,input_472012!A:H,8,FALSE)),0)</f>
        <v>285000</v>
      </c>
      <c r="P334" s="46">
        <f t="shared" ca="1" si="21"/>
        <v>3.8722826087009124E-2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input_472012!A$2</f>
        <v>472012</v>
      </c>
      <c r="B335" s="60">
        <v>1211</v>
      </c>
      <c r="C335" s="7" t="str">
        <f t="shared" si="20"/>
        <v>Premium5R3lesscolor</v>
      </c>
      <c r="D335" s="96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IF(G335="color",IFERROR(VLOOKUP(B335,input_472012!L:R,7,FALSE),VLOOKUP(tables_472012!C335,input_472012!A:H,8,FALSE)),0)</f>
        <v>15200</v>
      </c>
      <c r="P335" s="46">
        <f t="shared" ca="1" si="21"/>
        <v>2.0652173913071536E-3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input_472012!A$2</f>
        <v>472012</v>
      </c>
      <c r="B336" s="2">
        <v>1224</v>
      </c>
      <c r="C336" s="7" t="str">
        <f t="shared" si="20"/>
        <v>Premium4R3less</v>
      </c>
      <c r="D336" s="96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IF(G336="color",IFERROR(VLOOKUP(B336,input_472012!L:R,7,FALSE),VLOOKUP(tables_472012!C336,input_472012!A:H,8,FALSE)),0)</f>
        <v>0</v>
      </c>
      <c r="P336" s="46">
        <f t="shared" ca="1" si="21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input_472012!A$2</f>
        <v>472012</v>
      </c>
      <c r="B337" s="2">
        <v>1225</v>
      </c>
      <c r="C337" s="7" t="str">
        <f t="shared" si="20"/>
        <v>Premium5R3less</v>
      </c>
      <c r="D337" s="96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IF(G337="color",IFERROR(VLOOKUP(B337,input_472012!L:R,7,FALSE),VLOOKUP(tables_472012!C337,input_472012!A:H,8,FALSE)),0)</f>
        <v>0</v>
      </c>
      <c r="P337" s="46">
        <f t="shared" ca="1" si="21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input_472012!A$2</f>
        <v>472012</v>
      </c>
      <c r="B338" s="2">
        <v>1226</v>
      </c>
      <c r="C338" s="7" t="str">
        <f t="shared" si="20"/>
        <v>PremiumSS5R5onlycolor</v>
      </c>
      <c r="D338" s="96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IF(G338="color",IFERROR(VLOOKUP(B338,input_472012!L:R,7,FALSE),VLOOKUP(tables_472012!C338,input_472012!A:H,8,FALSE)),0)</f>
        <v>23000</v>
      </c>
      <c r="P338" s="46">
        <f t="shared" ca="1" si="21"/>
        <v>3.1250000000042455E-3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input_472012!A$2</f>
        <v>472012</v>
      </c>
      <c r="B339" s="2">
        <v>1228</v>
      </c>
      <c r="C339" s="7" t="str">
        <f t="shared" si="20"/>
        <v>PremiumSS5R5only</v>
      </c>
      <c r="D339" s="96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IF(G339="color",IFERROR(VLOOKUP(B339,input_472012!L:R,7,FALSE),VLOOKUP(tables_472012!C339,input_472012!A:H,8,FALSE)),0)</f>
        <v>0</v>
      </c>
      <c r="P339" s="46">
        <f t="shared" ca="1" si="21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input_472012!A$2</f>
        <v>472012</v>
      </c>
      <c r="B340" s="2">
        <v>1230</v>
      </c>
      <c r="C340" s="7" t="str">
        <f t="shared" si="20"/>
        <v>PremiumSS5R5only</v>
      </c>
      <c r="D340" s="96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IF(G340="color",IFERROR(VLOOKUP(B340,input_472012!L:R,7,FALSE),VLOOKUP(tables_472012!C340,input_472012!A:H,8,FALSE)),0)</f>
        <v>0</v>
      </c>
      <c r="P340" s="46">
        <f t="shared" ca="1" si="21"/>
        <v>0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9"/>
  <sheetViews>
    <sheetView workbookViewId="0">
      <selection activeCell="H51" sqref="H5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472013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VLOOKUP(L3,tables_472013!B:C,2,FALSE)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VLOOKUP(L4,tables_472013!B:C,2,FALSE)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2.9411764705882353E-3</v>
      </c>
      <c r="F5">
        <f>(COUNTIF(tables_472013!C:C,input_472013!A28)+COUNTIF(tables_472013!C:C,input_472013!A29))</f>
        <v>17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VLOOKUP(L5,tables_472013!B:C,2,FALSE)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4.3181818181818182E-2</v>
      </c>
      <c r="F6">
        <f>(COUNTIF(tables_472013!C:C,input_472013!A25)+COUNTIF(tables_472013!C:C,input_472013!A18)+COUNTIF(tables_472013!C:C,input_472013!A20)+COUNTIF(tables_472013!C:C,input_472013!A22))</f>
        <v>22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VLOOKUP(L6,tables_472013!B:C,2,FALSE)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VLOOKUP(L7,tables_472013!B:C,2,FALSE)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VLOOKUP(L8,tables_472013!B:C,2,FALSE)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VLOOKUP(L9,tables_472013!B:C,2,FALSE)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VLOOKUP(L10,tables_472013!B:C,2,FALSE)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VLOOKUP(L11,tables_472013!B:C,2,FALSE)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VLOOKUP(L12,tables_472013!B:C,2,FALSE)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VLOOKUP(L13,tables_472013!B:C,2,FALSE)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VLOOKUP(L14,tables_472013!B:C,2,FALSE)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VLOOKUP(L15,tables_472013!B:C,2,FALSE)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VLOOKUP(L16,tables_472013!B:C,2,FALSE)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251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COUNTIF(tables_472013!C:C,input_472013!A17)-COUNTIF(Q:Q,A17)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VLOOKUP(L17,tables_472013!B:C,2,FALSE)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252</v>
      </c>
      <c r="B18" s="56">
        <f>E$6*E18-B17+E34+0.02</f>
        <v>0.2573729946577541</v>
      </c>
      <c r="C18" s="85">
        <f t="shared" si="2"/>
        <v>0</v>
      </c>
      <c r="D18" s="74">
        <f t="shared" si="3"/>
        <v>0.2573729946577541</v>
      </c>
      <c r="E18">
        <f>COUNTIF(tables_472013!C:C,input_472013!A18)-COUNTIF(Q:Q,A18)</f>
        <v>5</v>
      </c>
      <c r="F18" s="43">
        <f>IFERROR(B18/E18,0)</f>
        <v>5.1474598931550819E-2</v>
      </c>
      <c r="G18">
        <f t="shared" si="4"/>
        <v>1925150.0000400005</v>
      </c>
      <c r="H18">
        <f t="shared" si="5"/>
        <v>385030.00001000002</v>
      </c>
      <c r="I18">
        <f t="shared" si="6"/>
        <v>1.0000017937272787E-5</v>
      </c>
      <c r="J18">
        <f t="shared" si="7"/>
        <v>99999.820627593872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VLOOKUP(L18,tables_472013!B:C,2,FALSE)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253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COUNTIF(tables_472013!C:C,input_472013!A19)-COUNTIF(Q:Q,A19)</f>
        <v>13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VLOOKUP(L19,tables_472013!B:C,2,FALSE)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254</v>
      </c>
      <c r="B20" s="94">
        <f>E$6*E20*B$6-0.02</f>
        <v>0.51329545454545455</v>
      </c>
      <c r="C20" s="85">
        <f t="shared" si="2"/>
        <v>0</v>
      </c>
      <c r="D20" s="74">
        <f t="shared" si="3"/>
        <v>0.51329545454545455</v>
      </c>
      <c r="E20">
        <f>COUNTIF(tables_472013!C:C,input_472013!A20)-COUNTIF(Q:Q,A20)</f>
        <v>13</v>
      </c>
      <c r="F20" s="43">
        <f t="shared" si="8"/>
        <v>3.9484265734265736E-2</v>
      </c>
      <c r="G20">
        <f t="shared" si="4"/>
        <v>3839450</v>
      </c>
      <c r="H20">
        <f t="shared" si="5"/>
        <v>295342.30768999999</v>
      </c>
      <c r="I20">
        <f t="shared" si="6"/>
        <v>0.3076899999869056</v>
      </c>
      <c r="J20">
        <f t="shared" si="7"/>
        <v>3.2500243753211255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VLOOKUP(L20,tables_472013!B:C,2,FALSE)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255</v>
      </c>
      <c r="B21" s="56">
        <f>B7-B23-B26-B28-B29-E35</f>
        <v>6.6042780748663127E-3</v>
      </c>
      <c r="C21" s="85">
        <f t="shared" si="2"/>
        <v>0</v>
      </c>
      <c r="D21" s="74">
        <f t="shared" si="3"/>
        <v>6.6042780748663127E-3</v>
      </c>
      <c r="E21">
        <f>COUNTIF(tables_472013!C:C,input_472013!A21)-COUNTIF(Q:Q,A21)</f>
        <v>13</v>
      </c>
      <c r="F21" s="43">
        <f t="shared" si="8"/>
        <v>5.080213903743317E-4</v>
      </c>
      <c r="G21">
        <f t="shared" si="4"/>
        <v>49400.000000000022</v>
      </c>
      <c r="H21">
        <f t="shared" si="5"/>
        <v>3800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256</v>
      </c>
      <c r="B22" s="75">
        <f>E$6*E22-B23-E36</f>
        <v>0.11874999999999999</v>
      </c>
      <c r="C22" s="85">
        <f t="shared" si="2"/>
        <v>0</v>
      </c>
      <c r="D22" s="74">
        <f t="shared" si="3"/>
        <v>0.11874999999999999</v>
      </c>
      <c r="E22">
        <f>COUNTIF(tables_472013!C:C,input_472013!A22)-COUNTIF(Q:Q,A22)</f>
        <v>3</v>
      </c>
      <c r="F22" s="43">
        <f t="shared" si="8"/>
        <v>3.9583333333333331E-2</v>
      </c>
      <c r="G22">
        <f t="shared" si="4"/>
        <v>888250</v>
      </c>
      <c r="H22">
        <f t="shared" si="5"/>
        <v>296083.33332999999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257</v>
      </c>
      <c r="B23" s="70">
        <f>E23*E6*B7-E36</f>
        <v>1.0795454545454546E-2</v>
      </c>
      <c r="C23" s="85">
        <f t="shared" si="2"/>
        <v>0</v>
      </c>
      <c r="D23" s="74">
        <f t="shared" si="3"/>
        <v>1.0795454545454546E-2</v>
      </c>
      <c r="E23">
        <f>COUNTIF(tables_472013!C:C,input_472013!A23)-COUNTIF(Q:Q,A23)</f>
        <v>5</v>
      </c>
      <c r="F23" s="43">
        <f t="shared" si="8"/>
        <v>2.1590909090909091E-3</v>
      </c>
      <c r="G23">
        <f t="shared" si="4"/>
        <v>80750</v>
      </c>
      <c r="H23">
        <f t="shared" si="5"/>
        <v>16150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258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COUNTIF(tables_472013!C:C,input_472013!A24)-COUNTIF(Q:Q,A24)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259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COUNTIF(tables_472013!C:C,input_472013!A25)-COUNTIF(Q:Q,A25)</f>
        <v>1</v>
      </c>
      <c r="F25" s="43">
        <f t="shared" si="8"/>
        <v>4.1022727272727273E-2</v>
      </c>
      <c r="G25">
        <f t="shared" si="4"/>
        <v>306850</v>
      </c>
      <c r="H25">
        <f t="shared" si="5"/>
        <v>306850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260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COUNTIF(tables_472013!C:C,input_472013!A26)-COUNTIF(Q:Q,A26)</f>
        <v>1</v>
      </c>
      <c r="F26" s="43">
        <f t="shared" si="8"/>
        <v>2.1590909090909091E-3</v>
      </c>
      <c r="G26">
        <f t="shared" si="4"/>
        <v>16150</v>
      </c>
      <c r="H26">
        <f t="shared" si="5"/>
        <v>16150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261</v>
      </c>
      <c r="B27" s="56">
        <f>E$5*E27*(B$5+B$6)</f>
        <v>1.9558823529411764E-2</v>
      </c>
      <c r="C27" s="85">
        <f t="shared" si="2"/>
        <v>0</v>
      </c>
      <c r="D27" s="74">
        <f t="shared" si="3"/>
        <v>1.9558823529411764E-2</v>
      </c>
      <c r="E27">
        <f>COUNTIF(tables_472013!C:C,input_472013!A27)-COUNTIF(Q:Q,A27)</f>
        <v>7</v>
      </c>
      <c r="F27" s="43">
        <f>IFERROR(B27/E27,0)</f>
        <v>2.7941176470588232E-3</v>
      </c>
      <c r="G27">
        <f t="shared" si="4"/>
        <v>146300</v>
      </c>
      <c r="H27">
        <f t="shared" si="5"/>
        <v>20900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262</v>
      </c>
      <c r="B28" s="56">
        <f>E$5*E28*B$7</f>
        <v>1.0294117647058824E-3</v>
      </c>
      <c r="C28" s="85">
        <f t="shared" si="2"/>
        <v>0</v>
      </c>
      <c r="D28" s="74">
        <f t="shared" si="3"/>
        <v>1.0294117647058824E-3</v>
      </c>
      <c r="E28">
        <f>COUNTIF(tables_472013!C:C,input_472013!A28)-COUNTIF(Q:Q,A28)</f>
        <v>7</v>
      </c>
      <c r="F28" s="43">
        <f t="shared" si="8"/>
        <v>1.4705882352941178E-4</v>
      </c>
      <c r="G28">
        <f t="shared" si="4"/>
        <v>7700.0000000000009</v>
      </c>
      <c r="H28">
        <f t="shared" si="5"/>
        <v>1100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263</v>
      </c>
      <c r="B29" s="56">
        <f>E$5*E29</f>
        <v>2.9411764705882353E-2</v>
      </c>
      <c r="C29" s="85">
        <f t="shared" si="2"/>
        <v>0</v>
      </c>
      <c r="D29" s="74">
        <f t="shared" si="3"/>
        <v>2.9411764705882353E-2</v>
      </c>
      <c r="E29">
        <f>COUNTIF(tables_472013!C:C,input_472013!A29)-COUNTIF(Q:Q,A29)</f>
        <v>10</v>
      </c>
      <c r="F29" s="43">
        <f t="shared" si="8"/>
        <v>2.9411764705882353E-3</v>
      </c>
      <c r="G29">
        <f t="shared" si="4"/>
        <v>220000</v>
      </c>
      <c r="H29">
        <f t="shared" si="5"/>
        <v>22000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264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COUNTIF(tables_472013!C:C,input_472013!A30)-COUNTIF(Q:Q,A30)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265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COUNTIF(tables_472013!C:C,input_472013!A31)-COUNTIF(Q:Q,A31)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1.0000000000053475</v>
      </c>
      <c r="C32" s="41">
        <f>SUM(C19:C31)</f>
        <v>0</v>
      </c>
      <c r="D32" s="42">
        <f t="shared" si="3"/>
        <v>1.0000000000053475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2.1463903748663193E-2</v>
      </c>
      <c r="F34" s="55">
        <f ca="1">0.45-G41</f>
        <v>-0.50000000000133715</v>
      </c>
    </row>
    <row r="35" spans="1:7" x14ac:dyDescent="0.15">
      <c r="A35" t="s">
        <v>73</v>
      </c>
    </row>
    <row r="36" spans="1:7" x14ac:dyDescent="0.15">
      <c r="A36" s="31">
        <f>LCM(F5-I5,F6-I6)*1000*2*2*5</f>
        <v>7480000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SUMIF(tables_472013!C:C,input_472013!A40,tables_472013!O:O)</f>
        <v>0</v>
      </c>
      <c r="C40" s="54" t="e">
        <f t="shared" ref="C40:C46" si="9">B40/B$47</f>
        <v>#DIV/0!</v>
      </c>
      <c r="E40">
        <v>3</v>
      </c>
      <c r="F40">
        <f ca="1">SUMIF(tables_472013!J:J,input_472013!E40,tables_472013!O:O)</f>
        <v>0</v>
      </c>
      <c r="G40">
        <f ca="1">F40/A36</f>
        <v>0</v>
      </c>
    </row>
    <row r="41" spans="1:7" x14ac:dyDescent="0.15">
      <c r="A41" s="33" t="s">
        <v>104</v>
      </c>
      <c r="B41">
        <f>SUMIF(tables_472013!C:C,input_472013!A41,tables_472013!O:O)</f>
        <v>0</v>
      </c>
      <c r="C41" s="54" t="e">
        <f t="shared" si="9"/>
        <v>#DIV/0!</v>
      </c>
      <c r="E41">
        <v>4</v>
      </c>
      <c r="F41">
        <f ca="1">SUMIF(tables_472013!J:J,input_472013!E41,tables_472013!O:O)</f>
        <v>7106000.0000100015</v>
      </c>
      <c r="G41">
        <f ca="1">F41/A36</f>
        <v>0.95000000000133711</v>
      </c>
    </row>
    <row r="42" spans="1:7" x14ac:dyDescent="0.15">
      <c r="A42" s="33" t="s">
        <v>106</v>
      </c>
      <c r="B42">
        <f>SUMIF(tables_472013!C:C,input_472013!A42,tables_472013!O:O)</f>
        <v>0</v>
      </c>
      <c r="C42" s="54" t="e">
        <f t="shared" si="9"/>
        <v>#DIV/0!</v>
      </c>
      <c r="E42">
        <v>5</v>
      </c>
      <c r="F42">
        <f ca="1">SUMIF(tables_472013!J:J,input_472013!E42,tables_472013!O:O)</f>
        <v>374000</v>
      </c>
      <c r="G42">
        <f ca="1">F42/A36</f>
        <v>0.05</v>
      </c>
    </row>
    <row r="43" spans="1:7" x14ac:dyDescent="0.15">
      <c r="A43" s="33" t="s">
        <v>109</v>
      </c>
      <c r="B43">
        <f>SUMIF(tables_472013!C:C,input_472013!A43,tables_472013!O:O)</f>
        <v>0</v>
      </c>
      <c r="C43" s="54" t="e">
        <f t="shared" si="9"/>
        <v>#DIV/0!</v>
      </c>
      <c r="F43" s="55"/>
    </row>
    <row r="44" spans="1:7" x14ac:dyDescent="0.15">
      <c r="A44" s="33" t="s">
        <v>105</v>
      </c>
      <c r="B44">
        <f>SUMIF(tables_472013!C:C,input_472013!A44,tables_472013!O:O)</f>
        <v>0</v>
      </c>
      <c r="C44" s="54" t="e">
        <f t="shared" si="9"/>
        <v>#DIV/0!</v>
      </c>
      <c r="E44" t="s">
        <v>54</v>
      </c>
      <c r="F44" s="55"/>
    </row>
    <row r="45" spans="1:7" x14ac:dyDescent="0.15">
      <c r="A45" s="33" t="s">
        <v>107</v>
      </c>
      <c r="B45">
        <f>SUMIF(tables_472013!C:C,input_472013!A45,tables_472013!O:O)</f>
        <v>0</v>
      </c>
      <c r="C45" s="54" t="e">
        <f t="shared" si="9"/>
        <v>#DIV/0!</v>
      </c>
      <c r="E45" t="s">
        <v>204</v>
      </c>
      <c r="F45" s="55">
        <f ca="1">SUMIF(tables_472013!I:I,input_472013!E45,tables_472013!P:P)</f>
        <v>0.26169117647692275</v>
      </c>
    </row>
    <row r="46" spans="1:7" x14ac:dyDescent="0.15">
      <c r="A46" s="33" t="s">
        <v>108</v>
      </c>
      <c r="B46">
        <f>SUMIF(tables_472013!C:C,input_472013!A46,tables_472013!O:O)</f>
        <v>0</v>
      </c>
      <c r="C46" s="54" t="e">
        <f t="shared" si="9"/>
        <v>#DIV/0!</v>
      </c>
      <c r="E46" t="s">
        <v>205</v>
      </c>
      <c r="F46" s="55">
        <f ca="1">SUMIF(tables_472013!I:I,input_472013!E46,tables_472013!P:P)</f>
        <v>0.19996143562139038</v>
      </c>
    </row>
    <row r="47" spans="1:7" x14ac:dyDescent="0.15">
      <c r="A47" s="39" t="s">
        <v>59</v>
      </c>
      <c r="B47">
        <f>SUM(B40:B46)</f>
        <v>0</v>
      </c>
      <c r="C47" s="55" t="e">
        <f>SUM(C40:C46)</f>
        <v>#DIV/0!</v>
      </c>
      <c r="E47" t="s">
        <v>206</v>
      </c>
      <c r="F47" s="55">
        <f ca="1">SUMIF(tables_472013!I:I,input_472013!E47,tables_472013!P:P)</f>
        <v>0.48834738790175325</v>
      </c>
    </row>
    <row r="48" spans="1:7" x14ac:dyDescent="0.15">
      <c r="E48" t="s">
        <v>207</v>
      </c>
      <c r="F48" s="55">
        <f ca="1">SUMIF(tables_472013!I:I,input_472013!E48,tables_472013!P:P)</f>
        <v>4.7058823529348856E-2</v>
      </c>
      <c r="G48" s="55"/>
    </row>
    <row r="49" spans="5:6" x14ac:dyDescent="0.15">
      <c r="E49" t="s">
        <v>246</v>
      </c>
      <c r="F49" s="55">
        <f ca="1">SUMIF(tables_472013!I:I,input_472013!E49,tables_472013!P:P)</f>
        <v>2.9411764705843026E-3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15" activePane="bottomLeft" state="frozen"/>
      <selection activeCell="H276" sqref="H276"/>
      <selection pane="bottomLeft" activeCell="G2" sqref="G2:G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input_472013!A$2</f>
        <v>472013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IF(G2="color",IFERROR(VLOOKUP(B2,input_472013!L:R,7,FALSE),VLOOKUP(tables_472013!C2,input_472013!A:H,8,FALSE)),0)</f>
        <v>0</v>
      </c>
      <c r="P2" s="46">
        <f t="shared" ref="P2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input_472013!A$2</f>
        <v>472013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IF(G3="color",IFERROR(VLOOKUP(B3,input_472013!L:R,7,FALSE),VLOOKUP(tables_472013!C3,input_472013!A:H,8,FALSE)),0)</f>
        <v>0</v>
      </c>
      <c r="P3" s="46">
        <f t="shared" ref="P3:P65" ca="1" si="4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input_472013!A$2</f>
        <v>472013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IF(G4="color",IFERROR(VLOOKUP(B4,input_472013!L:R,7,FALSE),VLOOKUP(tables_472013!C4,input_472013!A:H,8,FALSE)),0)</f>
        <v>0</v>
      </c>
      <c r="P4" s="46">
        <f t="shared" ca="1" si="4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input_472013!A$2</f>
        <v>472013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IF(G5="color",IFERROR(VLOOKUP(B5,input_472013!L:R,7,FALSE),VLOOKUP(tables_472013!C5,input_472013!A:H,8,FALSE)),0)</f>
        <v>0</v>
      </c>
      <c r="P5" s="46">
        <f t="shared" ca="1" si="4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input_472013!A$2</f>
        <v>472013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IF(G6="color",IFERROR(VLOOKUP(B6,input_472013!L:R,7,FALSE),VLOOKUP(tables_472013!C6,input_472013!A:H,8,FALSE)),0)</f>
        <v>0</v>
      </c>
      <c r="P6" s="46">
        <f t="shared" ca="1" si="4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input_472013!A$2</f>
        <v>472013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IF(G7="color",IFERROR(VLOOKUP(B7,input_472013!L:R,7,FALSE),VLOOKUP(tables_472013!C7,input_472013!A:H,8,FALSE)),0)</f>
        <v>0</v>
      </c>
      <c r="P7" s="46">
        <f t="shared" ca="1" si="4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input_472013!A$2</f>
        <v>472013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IF(G8="color",IFERROR(VLOOKUP(B8,input_472013!L:R,7,FALSE),VLOOKUP(tables_472013!C8,input_472013!A:H,8,FALSE)),0)</f>
        <v>0</v>
      </c>
      <c r="P8" s="46">
        <f t="shared" ca="1" si="4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input_472013!A$2</f>
        <v>472013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IF(G9="color",IFERROR(VLOOKUP(B9,input_472013!L:R,7,FALSE),VLOOKUP(tables_472013!C9,input_472013!A:H,8,FALSE)),0)</f>
        <v>385030.00001000002</v>
      </c>
      <c r="P9" s="46">
        <f t="shared" ca="1" si="4"/>
        <v>5.1474598931749355E-2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input_472013!A$2</f>
        <v>472013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IF(G10="color",IFERROR(VLOOKUP(B10,input_472013!L:R,7,FALSE),VLOOKUP(tables_472013!C10,input_472013!A:H,8,FALSE)),0)</f>
        <v>0</v>
      </c>
      <c r="P10" s="46">
        <f t="shared" ca="1" si="4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input_472013!A$2</f>
        <v>472013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IF(G11="color",IFERROR(VLOOKUP(B11,input_472013!L:R,7,FALSE),VLOOKUP(tables_472013!C11,input_472013!A:H,8,FALSE)),0)</f>
        <v>0</v>
      </c>
      <c r="P11" s="46">
        <f t="shared" ca="1" si="4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input_472013!A$2</f>
        <v>472013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IF(G12="color",IFERROR(VLOOKUP(B12,input_472013!L:R,7,FALSE),VLOOKUP(tables_472013!C12,input_472013!A:H,8,FALSE)),0)</f>
        <v>0</v>
      </c>
      <c r="P12" s="46">
        <f t="shared" ca="1" si="4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input_472013!A$2</f>
        <v>472013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IF(G13="color",IFERROR(VLOOKUP(B13,input_472013!L:R,7,FALSE),VLOOKUP(tables_472013!C13,input_472013!A:H,8,FALSE)),0)</f>
        <v>0</v>
      </c>
      <c r="P13" s="46">
        <f t="shared" ca="1" si="4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input_472013!A$2</f>
        <v>472013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IF(G14="color",IFERROR(VLOOKUP(B14,input_472013!L:R,7,FALSE),VLOOKUP(tables_472013!C14,input_472013!A:H,8,FALSE)),0)</f>
        <v>0</v>
      </c>
      <c r="P14" s="46">
        <f t="shared" ca="1" si="4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input_472013!A$2</f>
        <v>472013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IF(G15="color",IFERROR(VLOOKUP(B15,input_472013!L:R,7,FALSE),VLOOKUP(tables_472013!C15,input_472013!A:H,8,FALSE)),0)</f>
        <v>0</v>
      </c>
      <c r="P15" s="46">
        <f t="shared" ca="1" si="4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input_472013!A$2</f>
        <v>472013</v>
      </c>
      <c r="B16" s="10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IF(G16="color",IFERROR(VLOOKUP(B16,input_472013!L:R,7,FALSE),VLOOKUP(tables_472013!C16,input_472013!A:H,8,FALSE)),0)</f>
        <v>0</v>
      </c>
      <c r="P16" s="46">
        <f t="shared" ca="1" si="4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input_472013!A$2</f>
        <v>472013</v>
      </c>
      <c r="B17" s="11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IF(G17="color",IFERROR(VLOOKUP(B17,input_472013!L:R,7,FALSE),VLOOKUP(tables_472013!C17,input_472013!A:H,8,FALSE)),0)</f>
        <v>385030.00001000002</v>
      </c>
      <c r="P17" s="46">
        <f t="shared" ca="1" si="4"/>
        <v>5.1474598931749355E-2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input_472013!A$2</f>
        <v>472013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IF(G18="color",IFERROR(VLOOKUP(B18,input_472013!L:R,7,FALSE),VLOOKUP(tables_472013!C18,input_472013!A:H,8,FALSE)),0)</f>
        <v>0</v>
      </c>
      <c r="P18" s="46">
        <f t="shared" ca="1" si="4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input_472013!A$2</f>
        <v>472013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IF(G19="color",IFERROR(VLOOKUP(B19,input_472013!L:R,7,FALSE),VLOOKUP(tables_472013!C19,input_472013!A:H,8,FALSE)),0)</f>
        <v>0</v>
      </c>
      <c r="P19" s="46">
        <f t="shared" ca="1" si="4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input_472013!A$2</f>
        <v>472013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IF(G20="color",IFERROR(VLOOKUP(B20,input_472013!L:R,7,FALSE),VLOOKUP(tables_472013!C20,input_472013!A:H,8,FALSE)),0)</f>
        <v>0</v>
      </c>
      <c r="P20" s="46">
        <f t="shared" ca="1" si="4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input_472013!A$2</f>
        <v>472013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IF(G21="color",IFERROR(VLOOKUP(B21,input_472013!L:R,7,FALSE),VLOOKUP(tables_472013!C21,input_472013!A:H,8,FALSE)),0)</f>
        <v>0</v>
      </c>
      <c r="P21" s="46">
        <f t="shared" ca="1" si="4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input_472013!A$2</f>
        <v>472013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IF(G22="color",IFERROR(VLOOKUP(B22,input_472013!L:R,7,FALSE),VLOOKUP(tables_472013!C22,input_472013!A:H,8,FALSE)),0)</f>
        <v>0</v>
      </c>
      <c r="P22" s="46">
        <f t="shared" ca="1" si="4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input_472013!A$2</f>
        <v>472013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IF(G23="color",IFERROR(VLOOKUP(B23,input_472013!L:R,7,FALSE),VLOOKUP(tables_472013!C23,input_472013!A:H,8,FALSE)),0)</f>
        <v>0</v>
      </c>
      <c r="P23" s="46">
        <f t="shared" ca="1" si="4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input_472013!A$2</f>
        <v>472013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IF(G24="color",IFERROR(VLOOKUP(B24,input_472013!L:R,7,FALSE),VLOOKUP(tables_472013!C24,input_472013!A:H,8,FALSE)),0)</f>
        <v>0</v>
      </c>
      <c r="P24" s="46">
        <f t="shared" ca="1" si="4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input_472013!A$2</f>
        <v>472013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IF(G25="color",IFERROR(VLOOKUP(B25,input_472013!L:R,7,FALSE),VLOOKUP(tables_472013!C25,input_472013!A:H,8,FALSE)),0)</f>
        <v>385030.00001000002</v>
      </c>
      <c r="P25" s="46">
        <f t="shared" ca="1" si="4"/>
        <v>5.1474598931749355E-2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input_472013!A$2</f>
        <v>472013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IF(G26="color",IFERROR(VLOOKUP(B26,input_472013!L:R,7,FALSE),VLOOKUP(tables_472013!C26,input_472013!A:H,8,FALSE)),0)</f>
        <v>0</v>
      </c>
      <c r="P26" s="46">
        <f t="shared" ca="1" si="4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input_472013!A$2</f>
        <v>472013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IF(G27="color",IFERROR(VLOOKUP(B27,input_472013!L:R,7,FALSE),VLOOKUP(tables_472013!C27,input_472013!A:H,8,FALSE)),0)</f>
        <v>0</v>
      </c>
      <c r="P27" s="46">
        <f t="shared" ca="1" si="4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input_472013!A$2</f>
        <v>472013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IF(G28="color",IFERROR(VLOOKUP(B28,input_472013!L:R,7,FALSE),VLOOKUP(tables_472013!C28,input_472013!A:H,8,FALSE)),0)</f>
        <v>0</v>
      </c>
      <c r="P28" s="46">
        <f t="shared" ca="1" si="4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input_472013!A$2</f>
        <v>472013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IF(G29="color",IFERROR(VLOOKUP(B29,input_472013!L:R,7,FALSE),VLOOKUP(tables_472013!C29,input_472013!A:H,8,FALSE)),0)</f>
        <v>0</v>
      </c>
      <c r="P29" s="46">
        <f t="shared" ca="1" si="4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input_472013!A$2</f>
        <v>472013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IF(G30="color",IFERROR(VLOOKUP(B30,input_472013!L:R,7,FALSE),VLOOKUP(tables_472013!C30,input_472013!A:H,8,FALSE)),0)</f>
        <v>0</v>
      </c>
      <c r="P30" s="46">
        <f t="shared" ca="1" si="4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input_472013!A$2</f>
        <v>472013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IF(G31="color",IFERROR(VLOOKUP(B31,input_472013!L:R,7,FALSE),VLOOKUP(tables_472013!C31,input_472013!A:H,8,FALSE)),0)</f>
        <v>0</v>
      </c>
      <c r="P31" s="46">
        <f t="shared" ca="1" si="4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input_472013!A$2</f>
        <v>472013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IF(G32="color",IFERROR(VLOOKUP(B32,input_472013!L:R,7,FALSE),VLOOKUP(tables_472013!C32,input_472013!A:H,8,FALSE)),0)</f>
        <v>0</v>
      </c>
      <c r="P32" s="46">
        <f t="shared" ca="1" si="4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input_472013!A$2</f>
        <v>472013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IF(G33="color",IFERROR(VLOOKUP(B33,input_472013!L:R,7,FALSE),VLOOKUP(tables_472013!C33,input_472013!A:H,8,FALSE)),0)</f>
        <v>385030.00001000002</v>
      </c>
      <c r="P33" s="46">
        <f t="shared" ca="1" si="4"/>
        <v>5.1474598931749355E-2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input_472013!A$2</f>
        <v>472013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IF(G34="color",IFERROR(VLOOKUP(B34,input_472013!L:R,7,FALSE),VLOOKUP(tables_472013!C34,input_472013!A:H,8,FALSE)),0)</f>
        <v>0</v>
      </c>
      <c r="P34" s="46">
        <f t="shared" ca="1" si="4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input_472013!A$2</f>
        <v>472013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IF(G35="color",IFERROR(VLOOKUP(B35,input_472013!L:R,7,FALSE),VLOOKUP(tables_472013!C35,input_472013!A:H,8,FALSE)),0)</f>
        <v>0</v>
      </c>
      <c r="P35" s="46">
        <f t="shared" ca="1" si="4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input_472013!A$2</f>
        <v>472013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IF(G36="color",IFERROR(VLOOKUP(B36,input_472013!L:R,7,FALSE),VLOOKUP(tables_472013!C36,input_472013!A:H,8,FALSE)),0)</f>
        <v>0</v>
      </c>
      <c r="P36" s="46">
        <f t="shared" ca="1" si="4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input_472013!A$2</f>
        <v>472013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IF(G37="color",IFERROR(VLOOKUP(B37,input_472013!L:R,7,FALSE),VLOOKUP(tables_472013!C37,input_472013!A:H,8,FALSE)),0)</f>
        <v>0</v>
      </c>
      <c r="P37" s="46">
        <f t="shared" ca="1" si="4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input_472013!A$2</f>
        <v>472013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IF(G38="color",IFERROR(VLOOKUP(B38,input_472013!L:R,7,FALSE),VLOOKUP(tables_472013!C38,input_472013!A:H,8,FALSE)),0)</f>
        <v>0</v>
      </c>
      <c r="P38" s="46">
        <f t="shared" ca="1" si="4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input_472013!A$2</f>
        <v>472013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IF(G39="color",IFERROR(VLOOKUP(B39,input_472013!L:R,7,FALSE),VLOOKUP(tables_472013!C39,input_472013!A:H,8,FALSE)),0)</f>
        <v>0</v>
      </c>
      <c r="P39" s="46">
        <f t="shared" ca="1" si="4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input_472013!A$2</f>
        <v>472013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IF(G40="color",IFERROR(VLOOKUP(B40,input_472013!L:R,7,FALSE),VLOOKUP(tables_472013!C40,input_472013!A:H,8,FALSE)),0)</f>
        <v>0</v>
      </c>
      <c r="P40" s="46">
        <f t="shared" ca="1" si="4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input_472013!A$2</f>
        <v>472013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IF(G41="color",IFERROR(VLOOKUP(B41,input_472013!L:R,7,FALSE),VLOOKUP(tables_472013!C41,input_472013!A:H,8,FALSE)),0)</f>
        <v>385030.00001000002</v>
      </c>
      <c r="P41" s="46">
        <f t="shared" ca="1" si="4"/>
        <v>5.1474598931749355E-2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input_472013!A$2</f>
        <v>472013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IF(G42="color",IFERROR(VLOOKUP(B42,input_472013!L:R,7,FALSE),VLOOKUP(tables_472013!C42,input_472013!A:H,8,FALSE)),0)</f>
        <v>0</v>
      </c>
      <c r="P42" s="46">
        <f t="shared" ca="1" si="4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input_472013!A$2</f>
        <v>472013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IF(G43="color",IFERROR(VLOOKUP(B43,input_472013!L:R,7,FALSE),VLOOKUP(tables_472013!C43,input_472013!A:H,8,FALSE)),0)</f>
        <v>0</v>
      </c>
      <c r="P43" s="46">
        <f t="shared" ca="1" si="4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input_472013!A$2</f>
        <v>472013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IF(G44="color",IFERROR(VLOOKUP(B44,input_472013!L:R,7,FALSE),VLOOKUP(tables_472013!C44,input_472013!A:H,8,FALSE)),0)</f>
        <v>0</v>
      </c>
      <c r="P44" s="46">
        <f t="shared" ca="1" si="4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input_472013!A$2</f>
        <v>472013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IF(G45="color",IFERROR(VLOOKUP(B45,input_472013!L:R,7,FALSE),VLOOKUP(tables_472013!C45,input_472013!A:H,8,FALSE)),0)</f>
        <v>0</v>
      </c>
      <c r="P45" s="46">
        <f t="shared" ca="1" si="4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input_472013!A$2</f>
        <v>472013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IF(G46="color",IFERROR(VLOOKUP(B46,input_472013!L:R,7,FALSE),VLOOKUP(tables_472013!C46,input_472013!A:H,8,FALSE)),0)</f>
        <v>0</v>
      </c>
      <c r="P46" s="46">
        <f t="shared" ca="1" si="4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input_472013!A$2</f>
        <v>472013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IF(G47="color",IFERROR(VLOOKUP(B47,input_472013!L:R,7,FALSE),VLOOKUP(tables_472013!C47,input_472013!A:H,8,FALSE)),0)</f>
        <v>0</v>
      </c>
      <c r="P47" s="46">
        <f t="shared" ca="1" si="4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input_472013!A$2</f>
        <v>472013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IF(G48="color",IFERROR(VLOOKUP(B48,input_472013!L:R,7,FALSE),VLOOKUP(tables_472013!C48,input_472013!A:H,8,FALSE)),0)</f>
        <v>0</v>
      </c>
      <c r="P48" s="46">
        <f t="shared" ca="1" si="4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input_472013!A$2</f>
        <v>472013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IF(G49="color",IFERROR(VLOOKUP(B49,input_472013!L:R,7,FALSE),VLOOKUP(tables_472013!C49,input_472013!A:H,8,FALSE)),0)</f>
        <v>0</v>
      </c>
      <c r="P49" s="46">
        <f t="shared" ca="1" si="4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input_472013!A$2</f>
        <v>472013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IF(G50="color",IFERROR(VLOOKUP(B50,input_472013!L:R,7,FALSE),VLOOKUP(tables_472013!C50,input_472013!A:H,8,FALSE)),0)</f>
        <v>0</v>
      </c>
      <c r="P50" s="46">
        <f t="shared" ca="1" si="4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input_472013!A$2</f>
        <v>472013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IF(G51="color",IFERROR(VLOOKUP(B51,input_472013!L:R,7,FALSE),VLOOKUP(tables_472013!C51,input_472013!A:H,8,FALSE)),0)</f>
        <v>0</v>
      </c>
      <c r="P51" s="46">
        <f t="shared" ca="1" si="4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input_472013!A$2</f>
        <v>472013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IF(G52="color",IFERROR(VLOOKUP(B52,input_472013!L:R,7,FALSE),VLOOKUP(tables_472013!C52,input_472013!A:H,8,FALSE)),0)</f>
        <v>295342.30768999999</v>
      </c>
      <c r="P52" s="46">
        <f t="shared" ca="1" si="4"/>
        <v>3.9484265733904421E-2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input_472013!A$2</f>
        <v>472013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IF(G53="color",IFERROR(VLOOKUP(B53,input_472013!L:R,7,FALSE),VLOOKUP(tables_472013!C53,input_472013!A:H,8,FALSE)),0)</f>
        <v>3800</v>
      </c>
      <c r="P53" s="46">
        <f t="shared" ca="1" si="4"/>
        <v>5.0802139037365223E-4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input_472013!A$2</f>
        <v>472013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IF(G54="color",IFERROR(VLOOKUP(B54,input_472013!L:R,7,FALSE),VLOOKUP(tables_472013!C54,input_472013!A:H,8,FALSE)),0)</f>
        <v>0</v>
      </c>
      <c r="P54" s="46">
        <f t="shared" ca="1" si="4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input_472013!A$2</f>
        <v>472013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IF(G55="color",IFERROR(VLOOKUP(B55,input_472013!L:R,7,FALSE),VLOOKUP(tables_472013!C55,input_472013!A:H,8,FALSE)),0)</f>
        <v>0</v>
      </c>
      <c r="P55" s="46">
        <f t="shared" ca="1" si="4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input_472013!A$2</f>
        <v>472013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IF(G56="color",IFERROR(VLOOKUP(B56,input_472013!L:R,7,FALSE),VLOOKUP(tables_472013!C56,input_472013!A:H,8,FALSE)),0)</f>
        <v>0</v>
      </c>
      <c r="P56" s="46">
        <f t="shared" ca="1" si="4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input_472013!A$2</f>
        <v>472013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IF(G57="color",IFERROR(VLOOKUP(B57,input_472013!L:R,7,FALSE),VLOOKUP(tables_472013!C57,input_472013!A:H,8,FALSE)),0)</f>
        <v>0</v>
      </c>
      <c r="P57" s="46">
        <f t="shared" ca="1" si="4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input_472013!A$2</f>
        <v>472013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IF(G58="color",IFERROR(VLOOKUP(B58,input_472013!L:R,7,FALSE),VLOOKUP(tables_472013!C58,input_472013!A:H,8,FALSE)),0)</f>
        <v>0</v>
      </c>
      <c r="P58" s="46">
        <f t="shared" ca="1" si="4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input_472013!A$2</f>
        <v>472013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IF(G59="color",IFERROR(VLOOKUP(B59,input_472013!L:R,7,FALSE),VLOOKUP(tables_472013!C59,input_472013!A:H,8,FALSE)),0)</f>
        <v>0</v>
      </c>
      <c r="P59" s="46">
        <f t="shared" ca="1" si="4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input_472013!A$2</f>
        <v>472013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IF(G60="color",IFERROR(VLOOKUP(B60,input_472013!L:R,7,FALSE),VLOOKUP(tables_472013!C60,input_472013!A:H,8,FALSE)),0)</f>
        <v>0</v>
      </c>
      <c r="P60" s="46">
        <f t="shared" ca="1" si="4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input_472013!A$2</f>
        <v>472013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IF(G61="color",IFERROR(VLOOKUP(B61,input_472013!L:R,7,FALSE),VLOOKUP(tables_472013!C61,input_472013!A:H,8,FALSE)),0)</f>
        <v>0</v>
      </c>
      <c r="P61" s="46">
        <f t="shared" ca="1" si="4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input_472013!A$2</f>
        <v>472013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IF(G62="color",IFERROR(VLOOKUP(B62,input_472013!L:R,7,FALSE),VLOOKUP(tables_472013!C62,input_472013!A:H,8,FALSE)),0)</f>
        <v>0</v>
      </c>
      <c r="P62" s="46">
        <f t="shared" ca="1" si="4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input_472013!A$2</f>
        <v>472013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IF(G63="color",IFERROR(VLOOKUP(B63,input_472013!L:R,7,FALSE),VLOOKUP(tables_472013!C63,input_472013!A:H,8,FALSE)),0)</f>
        <v>0</v>
      </c>
      <c r="P63" s="46">
        <f t="shared" ca="1" si="4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input_472013!A$2</f>
        <v>472013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IF(G64="color",IFERROR(VLOOKUP(B64,input_472013!L:R,7,FALSE),VLOOKUP(tables_472013!C64,input_472013!A:H,8,FALSE)),0)</f>
        <v>295342.30768999999</v>
      </c>
      <c r="P64" s="46">
        <f t="shared" ca="1" si="4"/>
        <v>3.9484265733904421E-2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input_472013!A$2</f>
        <v>472013</v>
      </c>
      <c r="B65" s="8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IF(G65="color",IFERROR(VLOOKUP(B65,input_472013!L:R,7,FALSE),VLOOKUP(tables_472013!C65,input_472013!A:H,8,FALSE)),0)</f>
        <v>3800</v>
      </c>
      <c r="P65" s="46">
        <f t="shared" ca="1" si="4"/>
        <v>5.0802139037365223E-4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input_472013!A$2</f>
        <v>472013</v>
      </c>
      <c r="B66" s="6">
        <v>190</v>
      </c>
      <c r="C66" s="7" t="str">
        <f t="shared" ref="C66:C129" si="5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IF(G66="color",IFERROR(VLOOKUP(B66,input_472013!L:R,7,FALSE),VLOOKUP(tables_472013!C66,input_472013!A:H,8,FALSE)),0)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input_472013!A$2</f>
        <v>472013</v>
      </c>
      <c r="B67" s="6">
        <v>191</v>
      </c>
      <c r="C67" s="7" t="str">
        <f t="shared" si="5"/>
        <v>Premium4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8">IF(K67="yellow","color","")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IF(G67="color",IFERROR(VLOOKUP(B67,input_472013!L:R,7,FALSE),VLOOKUP(tables_472013!C67,input_472013!A:H,8,FALSE)),0)</f>
        <v>0</v>
      </c>
      <c r="P67" s="46">
        <f t="shared" ca="1" si="6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input_472013!A$2</f>
        <v>472013</v>
      </c>
      <c r="B68" s="6">
        <v>192</v>
      </c>
      <c r="C68" s="7" t="str">
        <f t="shared" si="5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8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IF(G68="color",IFERROR(VLOOKUP(B68,input_472013!L:R,7,FALSE),VLOOKUP(tables_472013!C68,input_472013!A:H,8,FALSE)),0)</f>
        <v>0</v>
      </c>
      <c r="P68" s="46">
        <f t="shared" ca="1" si="6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input_472013!A$2</f>
        <v>472013</v>
      </c>
      <c r="B69" s="6">
        <v>193</v>
      </c>
      <c r="C69" s="7" t="str">
        <f t="shared" si="5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8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IF(G69="color",IFERROR(VLOOKUP(B69,input_472013!L:R,7,FALSE),VLOOKUP(tables_472013!C69,input_472013!A:H,8,FALSE)),0)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input_472013!A$2</f>
        <v>472013</v>
      </c>
      <c r="B70" s="10">
        <v>194</v>
      </c>
      <c r="C70" s="7" t="str">
        <f t="shared" si="5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8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IF(G70="color",IFERROR(VLOOKUP(B70,input_472013!L:R,7,FALSE),VLOOKUP(tables_472013!C70,input_472013!A:H,8,FALSE)),0)</f>
        <v>0</v>
      </c>
      <c r="P70" s="46">
        <f t="shared" ca="1" si="6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input_472013!A$2</f>
        <v>472013</v>
      </c>
      <c r="B71" s="6">
        <v>195</v>
      </c>
      <c r="C71" s="7" t="str">
        <f t="shared" si="5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8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IF(G71="color",IFERROR(VLOOKUP(B71,input_472013!L:R,7,FALSE),VLOOKUP(tables_472013!C71,input_472013!A:H,8,FALSE)),0)</f>
        <v>0</v>
      </c>
      <c r="P71" s="46">
        <f t="shared" ca="1" si="6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input_472013!A$2</f>
        <v>472013</v>
      </c>
      <c r="B72" s="10">
        <v>196</v>
      </c>
      <c r="C72" s="7" t="str">
        <f t="shared" si="5"/>
        <v>Premium3color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8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IF(G72="color",IFERROR(VLOOKUP(B72,input_472013!L:R,7,FALSE),VLOOKUP(tables_472013!C72,input_472013!A:H,8,FALSE)),0)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input_472013!A$2</f>
        <v>472013</v>
      </c>
      <c r="B73" s="11">
        <v>197</v>
      </c>
      <c r="C73" s="7" t="str">
        <f t="shared" si="5"/>
        <v>Premium4color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8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IF(G73="color",IFERROR(VLOOKUP(B73,input_472013!L:R,7,FALSE),VLOOKUP(tables_472013!C73,input_472013!A:H,8,FALSE)),0)</f>
        <v>295342.30768999999</v>
      </c>
      <c r="P73" s="46">
        <f t="shared" ca="1" si="6"/>
        <v>3.9484265733904421E-2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input_472013!A$2</f>
        <v>472013</v>
      </c>
      <c r="B74" s="6">
        <v>198</v>
      </c>
      <c r="C74" s="7" t="str">
        <f t="shared" si="5"/>
        <v>Premium5color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8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IF(G74="color",IFERROR(VLOOKUP(B74,input_472013!L:R,7,FALSE),VLOOKUP(tables_472013!C74,input_472013!A:H,8,FALSE)),0)</f>
        <v>3800</v>
      </c>
      <c r="P74" s="46">
        <f t="shared" ca="1" si="6"/>
        <v>5.0802139037365223E-4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input_472013!A$2</f>
        <v>472013</v>
      </c>
      <c r="B75" s="6">
        <v>199</v>
      </c>
      <c r="C75" s="7" t="str">
        <f t="shared" si="5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8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IF(G75="color",IFERROR(VLOOKUP(B75,input_472013!L:R,7,FALSE),VLOOKUP(tables_472013!C75,input_472013!A:H,8,FALSE)),0)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input_472013!A$2</f>
        <v>472013</v>
      </c>
      <c r="B76" s="6">
        <v>200</v>
      </c>
      <c r="C76" s="7" t="str">
        <f t="shared" si="5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8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IF(G76="color",IFERROR(VLOOKUP(B76,input_472013!L:R,7,FALSE),VLOOKUP(tables_472013!C76,input_472013!A:H,8,FALSE)),0)</f>
        <v>0</v>
      </c>
      <c r="P76" s="46">
        <f t="shared" ca="1" si="6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input_472013!A$2</f>
        <v>472013</v>
      </c>
      <c r="B77" s="5">
        <v>201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8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IF(G77="color",IFERROR(VLOOKUP(B77,input_472013!L:R,7,FALSE),VLOOKUP(tables_472013!C77,input_472013!A:H,8,FALSE)),0)</f>
        <v>0</v>
      </c>
      <c r="P77" s="46">
        <f t="shared" ca="1" si="6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input_472013!A$2</f>
        <v>472013</v>
      </c>
      <c r="B78" s="5">
        <v>202</v>
      </c>
      <c r="C78" s="7" t="str">
        <f t="shared" si="5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8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IF(G78="color",IFERROR(VLOOKUP(B78,input_472013!L:R,7,FALSE),VLOOKUP(tables_472013!C78,input_472013!A:H,8,FALSE)),0)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input_472013!A$2</f>
        <v>472013</v>
      </c>
      <c r="B79" s="5">
        <v>203</v>
      </c>
      <c r="C79" s="7" t="str">
        <f t="shared" si="5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8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IF(G79="color",IFERROR(VLOOKUP(B79,input_472013!L:R,7,FALSE),VLOOKUP(tables_472013!C79,input_472013!A:H,8,FALSE)),0)</f>
        <v>0</v>
      </c>
      <c r="P79" s="46">
        <f t="shared" ca="1" si="6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input_472013!A$2</f>
        <v>472013</v>
      </c>
      <c r="B80" s="5">
        <v>204</v>
      </c>
      <c r="C80" s="7" t="str">
        <f t="shared" si="5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8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IF(G80="color",IFERROR(VLOOKUP(B80,input_472013!L:R,7,FALSE),VLOOKUP(tables_472013!C80,input_472013!A:H,8,FALSE)),0)</f>
        <v>0</v>
      </c>
      <c r="P80" s="46">
        <f t="shared" ca="1" si="6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input_472013!A$2</f>
        <v>472013</v>
      </c>
      <c r="B81" s="5">
        <v>205</v>
      </c>
      <c r="C81" s="7" t="str">
        <f t="shared" si="5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8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IF(G81="color",IFERROR(VLOOKUP(B81,input_472013!L:R,7,FALSE),VLOOKUP(tables_472013!C81,input_472013!A:H,8,FALSE)),0)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input_472013!A$2</f>
        <v>472013</v>
      </c>
      <c r="B82" s="5">
        <v>206</v>
      </c>
      <c r="C82" s="7" t="str">
        <f t="shared" si="5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8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IF(G82="color",IFERROR(VLOOKUP(B82,input_472013!L:R,7,FALSE),VLOOKUP(tables_472013!C82,input_472013!A:H,8,FALSE)),0)</f>
        <v>0</v>
      </c>
      <c r="P82" s="46">
        <f t="shared" ca="1" si="6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input_472013!A$2</f>
        <v>472013</v>
      </c>
      <c r="B83" s="5">
        <v>207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8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IF(G83="color",IFERROR(VLOOKUP(B83,input_472013!L:R,7,FALSE),VLOOKUP(tables_472013!C83,input_472013!A:H,8,FALSE)),0)</f>
        <v>0</v>
      </c>
      <c r="P83" s="46">
        <f t="shared" ca="1" si="6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input_472013!A$2</f>
        <v>472013</v>
      </c>
      <c r="B84" s="5">
        <v>208</v>
      </c>
      <c r="C84" s="7" t="str">
        <f t="shared" si="5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8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IF(G84="color",IFERROR(VLOOKUP(B84,input_472013!L:R,7,FALSE),VLOOKUP(tables_472013!C84,input_472013!A:H,8,FALSE)),0)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input_472013!A$2</f>
        <v>472013</v>
      </c>
      <c r="B85" s="5">
        <v>209</v>
      </c>
      <c r="C85" s="7" t="str">
        <f t="shared" si="5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8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IF(G85="color",IFERROR(VLOOKUP(B85,input_472013!L:R,7,FALSE),VLOOKUP(tables_472013!C85,input_472013!A:H,8,FALSE)),0)</f>
        <v>0</v>
      </c>
      <c r="P85" s="46">
        <f t="shared" ca="1" si="6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input_472013!A$2</f>
        <v>472013</v>
      </c>
      <c r="B86" s="5">
        <v>210</v>
      </c>
      <c r="C86" s="7" t="str">
        <f t="shared" si="5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8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IF(G86="color",IFERROR(VLOOKUP(B86,input_472013!L:R,7,FALSE),VLOOKUP(tables_472013!C86,input_472013!A:H,8,FALSE)),0)</f>
        <v>0</v>
      </c>
      <c r="P86" s="46">
        <f t="shared" ca="1" si="6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input_472013!A$2</f>
        <v>472013</v>
      </c>
      <c r="B87" s="5">
        <v>211</v>
      </c>
      <c r="C87" s="7" t="str">
        <f t="shared" si="5"/>
        <v>Premium3color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8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IF(G87="color",IFERROR(VLOOKUP(B87,input_472013!L:R,7,FALSE),VLOOKUP(tables_472013!C87,input_472013!A:H,8,FALSE)),0)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input_472013!A$2</f>
        <v>472013</v>
      </c>
      <c r="B88" s="5">
        <v>212</v>
      </c>
      <c r="C88" s="7" t="str">
        <f t="shared" si="5"/>
        <v>Premium4color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8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IF(G88="color",IFERROR(VLOOKUP(B88,input_472013!L:R,7,FALSE),VLOOKUP(tables_472013!C88,input_472013!A:H,8,FALSE)),0)</f>
        <v>295342.30768999999</v>
      </c>
      <c r="P88" s="46">
        <f t="shared" ca="1" si="6"/>
        <v>3.9484265733904421E-2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input_472013!A$2</f>
        <v>472013</v>
      </c>
      <c r="B89" s="5">
        <v>213</v>
      </c>
      <c r="C89" s="7" t="str">
        <f t="shared" si="5"/>
        <v>Premium5color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8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IF(G89="color",IFERROR(VLOOKUP(B89,input_472013!L:R,7,FALSE),VLOOKUP(tables_472013!C89,input_472013!A:H,8,FALSE)),0)</f>
        <v>3800</v>
      </c>
      <c r="P89" s="46">
        <f t="shared" ca="1" si="6"/>
        <v>5.0802139037365223E-4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input_472013!A$2</f>
        <v>472013</v>
      </c>
      <c r="B90" s="5">
        <v>214</v>
      </c>
      <c r="C90" s="7" t="str">
        <f t="shared" si="5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8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IF(G90="color",IFERROR(VLOOKUP(B90,input_472013!L:R,7,FALSE),VLOOKUP(tables_472013!C90,input_472013!A:H,8,FALSE)),0)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input_472013!A$2</f>
        <v>472013</v>
      </c>
      <c r="B91" s="5">
        <v>215</v>
      </c>
      <c r="C91" s="7" t="str">
        <f t="shared" si="5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8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IF(G91="color",IFERROR(VLOOKUP(B91,input_472013!L:R,7,FALSE),VLOOKUP(tables_472013!C91,input_472013!A:H,8,FALSE)),0)</f>
        <v>0</v>
      </c>
      <c r="P91" s="46">
        <f t="shared" ca="1" si="6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input_472013!A$2</f>
        <v>472013</v>
      </c>
      <c r="B92" s="5">
        <v>216</v>
      </c>
      <c r="C92" s="7" t="str">
        <f t="shared" si="5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8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IF(G92="color",IFERROR(VLOOKUP(B92,input_472013!L:R,7,FALSE),VLOOKUP(tables_472013!C92,input_472013!A:H,8,FALSE)),0)</f>
        <v>0</v>
      </c>
      <c r="P92" s="46">
        <f t="shared" ca="1" si="6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input_472013!A$2</f>
        <v>472013</v>
      </c>
      <c r="B93" s="5">
        <v>217</v>
      </c>
      <c r="C93" s="7" t="str">
        <f t="shared" si="5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8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IF(G93="color",IFERROR(VLOOKUP(B93,input_472013!L:R,7,FALSE),VLOOKUP(tables_472013!C93,input_472013!A:H,8,FALSE)),0)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input_472013!A$2</f>
        <v>472013</v>
      </c>
      <c r="B94" s="5">
        <v>218</v>
      </c>
      <c r="C94" s="7" t="str">
        <f t="shared" si="5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8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IF(G94="color",IFERROR(VLOOKUP(B94,input_472013!L:R,7,FALSE),VLOOKUP(tables_472013!C94,input_472013!A:H,8,FALSE)),0)</f>
        <v>0</v>
      </c>
      <c r="P94" s="46">
        <f t="shared" ca="1" si="6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input_472013!A$2</f>
        <v>472013</v>
      </c>
      <c r="B95" s="5">
        <v>219</v>
      </c>
      <c r="C95" s="7" t="str">
        <f t="shared" si="5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8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IF(G95="color",IFERROR(VLOOKUP(B95,input_472013!L:R,7,FALSE),VLOOKUP(tables_472013!C95,input_472013!A:H,8,FALSE)),0)</f>
        <v>0</v>
      </c>
      <c r="P95" s="46">
        <f t="shared" ca="1" si="6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input_472013!A$2</f>
        <v>472013</v>
      </c>
      <c r="B96" s="5">
        <v>220</v>
      </c>
      <c r="C96" s="7" t="str">
        <f t="shared" si="5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8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IF(G96="color",IFERROR(VLOOKUP(B96,input_472013!L:R,7,FALSE),VLOOKUP(tables_472013!C96,input_472013!A:H,8,FALSE)),0)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input_472013!A$2</f>
        <v>472013</v>
      </c>
      <c r="B97" s="5">
        <v>221</v>
      </c>
      <c r="C97" s="7" t="str">
        <f t="shared" si="5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8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IF(G97="color",IFERROR(VLOOKUP(B97,input_472013!L:R,7,FALSE),VLOOKUP(tables_472013!C97,input_472013!A:H,8,FALSE)),0)</f>
        <v>0</v>
      </c>
      <c r="P97" s="46">
        <f t="shared" ca="1" si="6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input_472013!A$2</f>
        <v>472013</v>
      </c>
      <c r="B98" s="5">
        <v>222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8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IF(G98="color",IFERROR(VLOOKUP(B98,input_472013!L:R,7,FALSE),VLOOKUP(tables_472013!C98,input_472013!A:H,8,FALSE)),0)</f>
        <v>0</v>
      </c>
      <c r="P98" s="46">
        <f t="shared" ca="1" si="6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input_472013!A$2</f>
        <v>472013</v>
      </c>
      <c r="B99" s="5">
        <v>223</v>
      </c>
      <c r="C99" s="7" t="str">
        <f t="shared" si="5"/>
        <v>Premium3color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8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IF(G99="color",IFERROR(VLOOKUP(B99,input_472013!L:R,7,FALSE),VLOOKUP(tables_472013!C99,input_472013!A:H,8,FALSE)),0)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input_472013!A$2</f>
        <v>472013</v>
      </c>
      <c r="B100" s="5">
        <v>224</v>
      </c>
      <c r="C100" s="7" t="str">
        <f t="shared" si="5"/>
        <v>Premium4color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8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IF(G100="color",IFERROR(VLOOKUP(B100,input_472013!L:R,7,FALSE),VLOOKUP(tables_472013!C100,input_472013!A:H,8,FALSE)),0)</f>
        <v>295342.30768999999</v>
      </c>
      <c r="P100" s="46">
        <f t="shared" ca="1" si="6"/>
        <v>3.9484265733904421E-2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input_472013!A$2</f>
        <v>472013</v>
      </c>
      <c r="B101" s="5">
        <v>225</v>
      </c>
      <c r="C101" s="7" t="str">
        <f t="shared" si="5"/>
        <v>Premium5color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8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IF(G101="color",IFERROR(VLOOKUP(B101,input_472013!L:R,7,FALSE),VLOOKUP(tables_472013!C101,input_472013!A:H,8,FALSE)),0)</f>
        <v>3800</v>
      </c>
      <c r="P101" s="46">
        <f t="shared" ca="1" si="6"/>
        <v>5.0802139037365223E-4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input_472013!A$2</f>
        <v>472013</v>
      </c>
      <c r="B102" s="5">
        <v>226</v>
      </c>
      <c r="C102" s="7" t="str">
        <f t="shared" si="5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8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IF(G102="color",IFERROR(VLOOKUP(B102,input_472013!L:R,7,FALSE),VLOOKUP(tables_472013!C102,input_472013!A:H,8,FALSE)),0)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input_472013!A$2</f>
        <v>472013</v>
      </c>
      <c r="B103" s="5">
        <v>227</v>
      </c>
      <c r="C103" s="7" t="str">
        <f t="shared" si="5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8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IF(G103="color",IFERROR(VLOOKUP(B103,input_472013!L:R,7,FALSE),VLOOKUP(tables_472013!C103,input_472013!A:H,8,FALSE)),0)</f>
        <v>0</v>
      </c>
      <c r="P103" s="46">
        <f t="shared" ca="1" si="6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input_472013!A$2</f>
        <v>472013</v>
      </c>
      <c r="B104" s="5">
        <v>228</v>
      </c>
      <c r="C104" s="7" t="str">
        <f t="shared" si="5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8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IF(G104="color",IFERROR(VLOOKUP(B104,input_472013!L:R,7,FALSE),VLOOKUP(tables_472013!C104,input_472013!A:H,8,FALSE)),0)</f>
        <v>0</v>
      </c>
      <c r="P104" s="46">
        <f t="shared" ca="1" si="6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input_472013!A$2</f>
        <v>472013</v>
      </c>
      <c r="B105" s="5">
        <v>229</v>
      </c>
      <c r="C105" s="7" t="str">
        <f t="shared" si="5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8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IF(G105="color",IFERROR(VLOOKUP(B105,input_472013!L:R,7,FALSE),VLOOKUP(tables_472013!C105,input_472013!A:H,8,FALSE)),0)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input_472013!A$2</f>
        <v>472013</v>
      </c>
      <c r="B106" s="5">
        <v>230</v>
      </c>
      <c r="C106" s="7" t="str">
        <f t="shared" si="5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8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IF(G106="color",IFERROR(VLOOKUP(B106,input_472013!L:R,7,FALSE),VLOOKUP(tables_472013!C106,input_472013!A:H,8,FALSE)),0)</f>
        <v>0</v>
      </c>
      <c r="P106" s="46">
        <f t="shared" ca="1" si="6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input_472013!A$2</f>
        <v>472013</v>
      </c>
      <c r="B107" s="5">
        <v>231</v>
      </c>
      <c r="C107" s="7" t="str">
        <f t="shared" si="5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8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IF(G107="color",IFERROR(VLOOKUP(B107,input_472013!L:R,7,FALSE),VLOOKUP(tables_472013!C107,input_472013!A:H,8,FALSE)),0)</f>
        <v>0</v>
      </c>
      <c r="P107" s="46">
        <f t="shared" ca="1" si="6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input_472013!A$2</f>
        <v>472013</v>
      </c>
      <c r="B108" s="5">
        <v>232</v>
      </c>
      <c r="C108" s="7" t="str">
        <f t="shared" si="5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8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IF(G108="color",IFERROR(VLOOKUP(B108,input_472013!L:R,7,FALSE),VLOOKUP(tables_472013!C108,input_472013!A:H,8,FALSE)),0)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input_472013!A$2</f>
        <v>472013</v>
      </c>
      <c r="B109" s="5">
        <v>233</v>
      </c>
      <c r="C109" s="7" t="str">
        <f t="shared" si="5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8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IF(G109="color",IFERROR(VLOOKUP(B109,input_472013!L:R,7,FALSE),VLOOKUP(tables_472013!C109,input_472013!A:H,8,FALSE)),0)</f>
        <v>0</v>
      </c>
      <c r="P109" s="46">
        <f t="shared" ca="1" si="6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input_472013!A$2</f>
        <v>472013</v>
      </c>
      <c r="B110" s="5">
        <v>234</v>
      </c>
      <c r="C110" s="7" t="str">
        <f t="shared" si="5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8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IF(G110="color",IFERROR(VLOOKUP(B110,input_472013!L:R,7,FALSE),VLOOKUP(tables_472013!C110,input_472013!A:H,8,FALSE)),0)</f>
        <v>0</v>
      </c>
      <c r="P110" s="46">
        <f t="shared" ca="1" si="6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input_472013!A$2</f>
        <v>472013</v>
      </c>
      <c r="B111" s="5">
        <v>235</v>
      </c>
      <c r="C111" s="7" t="str">
        <f t="shared" si="5"/>
        <v>Premium3R6releasecolor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8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IF(G111="color",IFERROR(VLOOKUP(B111,input_472013!L:R,7,FALSE),VLOOKUP(tables_472013!C111,input_472013!A:H,8,FALSE)),0)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input_472013!A$2</f>
        <v>472013</v>
      </c>
      <c r="B112" s="5">
        <v>236</v>
      </c>
      <c r="C112" s="7" t="str">
        <f t="shared" si="5"/>
        <v>Premium4R6releasecolor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8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IF(G112="color",IFERROR(VLOOKUP(B112,input_472013!L:R,7,FALSE),VLOOKUP(tables_472013!C112,input_472013!A:H,8,FALSE)),0)</f>
        <v>306850</v>
      </c>
      <c r="P112" s="46">
        <f t="shared" ca="1" si="6"/>
        <v>4.1022727272672421E-2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input_472013!A$2</f>
        <v>472013</v>
      </c>
      <c r="B113" s="5">
        <v>237</v>
      </c>
      <c r="C113" s="7" t="str">
        <f t="shared" si="5"/>
        <v>Premium5R6releasecolor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8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IF(G113="color",IFERROR(VLOOKUP(B113,input_472013!L:R,7,FALSE),VLOOKUP(tables_472013!C113,input_472013!A:H,8,FALSE)),0)</f>
        <v>16150</v>
      </c>
      <c r="P113" s="46">
        <f t="shared" ca="1" si="6"/>
        <v>2.1590909090880221E-3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input_472013!A$2</f>
        <v>472013</v>
      </c>
      <c r="B114" s="5">
        <v>238</v>
      </c>
      <c r="C114" s="7" t="str">
        <f t="shared" si="5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8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IF(G114="color",IFERROR(VLOOKUP(B114,input_472013!L:R,7,FALSE),VLOOKUP(tables_472013!C114,input_472013!A:H,8,FALSE)),0)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input_472013!A$2</f>
        <v>472013</v>
      </c>
      <c r="B115" s="5">
        <v>239</v>
      </c>
      <c r="C115" s="7" t="str">
        <f t="shared" si="5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8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IF(G115="color",IFERROR(VLOOKUP(B115,input_472013!L:R,7,FALSE),VLOOKUP(tables_472013!C115,input_472013!A:H,8,FALSE)),0)</f>
        <v>0</v>
      </c>
      <c r="P115" s="46">
        <f t="shared" ca="1" si="6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input_472013!A$2</f>
        <v>472013</v>
      </c>
      <c r="B116" s="5">
        <v>240</v>
      </c>
      <c r="C116" s="7" t="str">
        <f t="shared" si="5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8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IF(G116="color",IFERROR(VLOOKUP(B116,input_472013!L:R,7,FALSE),VLOOKUP(tables_472013!C116,input_472013!A:H,8,FALSE)),0)</f>
        <v>0</v>
      </c>
      <c r="P116" s="46">
        <f t="shared" ca="1" si="6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input_472013!A$2</f>
        <v>472013</v>
      </c>
      <c r="B117" s="5">
        <v>241</v>
      </c>
      <c r="C117" s="7" t="str">
        <f t="shared" si="5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8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IF(G117="color",IFERROR(VLOOKUP(B117,input_472013!L:R,7,FALSE),VLOOKUP(tables_472013!C117,input_472013!A:H,8,FALSE)),0)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input_472013!A$2</f>
        <v>472013</v>
      </c>
      <c r="B118" s="5">
        <v>242</v>
      </c>
      <c r="C118" s="7" t="str">
        <f t="shared" si="5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8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IF(G118="color",IFERROR(VLOOKUP(B118,input_472013!L:R,7,FALSE),VLOOKUP(tables_472013!C118,input_472013!A:H,8,FALSE)),0)</f>
        <v>0</v>
      </c>
      <c r="P118" s="46">
        <f t="shared" ca="1" si="6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input_472013!A$2</f>
        <v>472013</v>
      </c>
      <c r="B119" s="5">
        <v>243</v>
      </c>
      <c r="C119" s="7" t="str">
        <f t="shared" si="5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8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IF(G119="color",IFERROR(VLOOKUP(B119,input_472013!L:R,7,FALSE),VLOOKUP(tables_472013!C119,input_472013!A:H,8,FALSE)),0)</f>
        <v>0</v>
      </c>
      <c r="P119" s="46">
        <f t="shared" ca="1" si="6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input_472013!A$2</f>
        <v>472013</v>
      </c>
      <c r="B120" s="5">
        <v>244</v>
      </c>
      <c r="C120" s="7" t="str">
        <f t="shared" si="5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8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IF(G120="color",IFERROR(VLOOKUP(B120,input_472013!L:R,7,FALSE),VLOOKUP(tables_472013!C120,input_472013!A:H,8,FALSE)),0)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input_472013!A$2</f>
        <v>472013</v>
      </c>
      <c r="B121" s="5">
        <v>245</v>
      </c>
      <c r="C121" s="7" t="str">
        <f t="shared" si="5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8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IF(G121="color",IFERROR(VLOOKUP(B121,input_472013!L:R,7,FALSE),VLOOKUP(tables_472013!C121,input_472013!A:H,8,FALSE)),0)</f>
        <v>0</v>
      </c>
      <c r="P121" s="46">
        <f t="shared" ca="1" si="6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input_472013!A$2</f>
        <v>472013</v>
      </c>
      <c r="B122" s="5">
        <v>246</v>
      </c>
      <c r="C122" s="7" t="str">
        <f t="shared" si="5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8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IF(G122="color",IFERROR(VLOOKUP(B122,input_472013!L:R,7,FALSE),VLOOKUP(tables_472013!C122,input_472013!A:H,8,FALSE)),0)</f>
        <v>0</v>
      </c>
      <c r="P122" s="46">
        <f t="shared" ca="1" si="6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input_472013!A$2</f>
        <v>472013</v>
      </c>
      <c r="B123" s="5">
        <v>247</v>
      </c>
      <c r="C123" s="7" t="str">
        <f t="shared" si="5"/>
        <v>Premium3color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8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IF(G123="color",IFERROR(VLOOKUP(B123,input_472013!L:R,7,FALSE),VLOOKUP(tables_472013!C123,input_472013!A:H,8,FALSE)),0)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input_472013!A$2</f>
        <v>472013</v>
      </c>
      <c r="B124" s="5">
        <v>248</v>
      </c>
      <c r="C124" s="7" t="str">
        <f t="shared" si="5"/>
        <v>Premium4color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8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IF(G124="color",IFERROR(VLOOKUP(B124,input_472013!L:R,7,FALSE),VLOOKUP(tables_472013!C124,input_472013!A:H,8,FALSE)),0)</f>
        <v>295342.30768999999</v>
      </c>
      <c r="P124" s="46">
        <f t="shared" ca="1" si="6"/>
        <v>3.9484265733904421E-2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input_472013!A$2</f>
        <v>472013</v>
      </c>
      <c r="B125" s="6">
        <v>249</v>
      </c>
      <c r="C125" s="7" t="str">
        <f t="shared" si="5"/>
        <v>Premium5color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8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IF(G125="color",IFERROR(VLOOKUP(B125,input_472013!L:R,7,FALSE),VLOOKUP(tables_472013!C125,input_472013!A:H,8,FALSE)),0)</f>
        <v>3800</v>
      </c>
      <c r="P125" s="46">
        <f t="shared" ca="1" si="6"/>
        <v>5.0802139037365223E-4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input_472013!A$2</f>
        <v>472013</v>
      </c>
      <c r="B126" s="6">
        <v>250</v>
      </c>
      <c r="C126" s="7" t="str">
        <f t="shared" si="5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8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IF(G126="color",IFERROR(VLOOKUP(B126,input_472013!L:R,7,FALSE),VLOOKUP(tables_472013!C126,input_472013!A:H,8,FALSE)),0)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input_472013!A$2</f>
        <v>472013</v>
      </c>
      <c r="B127" s="6">
        <v>251</v>
      </c>
      <c r="C127" s="7" t="str">
        <f t="shared" si="5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8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IF(G127="color",IFERROR(VLOOKUP(B127,input_472013!L:R,7,FALSE),VLOOKUP(tables_472013!C127,input_472013!A:H,8,FALSE)),0)</f>
        <v>0</v>
      </c>
      <c r="P127" s="46">
        <f t="shared" ca="1" si="6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input_472013!A$2</f>
        <v>472013</v>
      </c>
      <c r="B128" s="6">
        <v>252</v>
      </c>
      <c r="C128" s="7" t="str">
        <f t="shared" si="5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8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IF(G128="color",IFERROR(VLOOKUP(B128,input_472013!L:R,7,FALSE),VLOOKUP(tables_472013!C128,input_472013!A:H,8,FALSE)),0)</f>
        <v>0</v>
      </c>
      <c r="P128" s="46">
        <f t="shared" ca="1" si="6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input_472013!A$2</f>
        <v>472013</v>
      </c>
      <c r="B129" s="6">
        <v>253</v>
      </c>
      <c r="C129" s="7" t="str">
        <f t="shared" si="5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8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IF(G129="color",IFERROR(VLOOKUP(B129,input_472013!L:R,7,FALSE),VLOOKUP(tables_472013!C129,input_472013!A:H,8,FALSE)),0)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input_472013!A$2</f>
        <v>472013</v>
      </c>
      <c r="B130" s="6">
        <v>254</v>
      </c>
      <c r="C130" s="7" t="str">
        <f t="shared" ref="C130:C193" si="9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8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IF(G130="color",IFERROR(VLOOKUP(B130,input_472013!L:R,7,FALSE),VLOOKUP(tables_472013!C130,input_472013!A:H,8,FALSE)),0)</f>
        <v>0</v>
      </c>
      <c r="P130" s="46">
        <f t="shared" ref="P130:P193" ca="1" si="10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input_472013!A$2</f>
        <v>472013</v>
      </c>
      <c r="B131" s="6">
        <v>255</v>
      </c>
      <c r="C131" s="7" t="str">
        <f t="shared" si="9"/>
        <v>Premium5</v>
      </c>
      <c r="D131" s="7" t="str">
        <f t="shared" ref="D131:D194" si="11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2">IF(K131="yellow","color","")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IF(G131="color",IFERROR(VLOOKUP(B131,input_472013!L:R,7,FALSE),VLOOKUP(tables_472013!C131,input_472013!A:H,8,FALSE)),0)</f>
        <v>0</v>
      </c>
      <c r="P131" s="46">
        <f t="shared" ca="1" si="10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input_472013!A$2</f>
        <v>472013</v>
      </c>
      <c r="B132" s="6">
        <v>256</v>
      </c>
      <c r="C132" s="7" t="str">
        <f t="shared" si="9"/>
        <v>Premium3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2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IF(G132="color",IFERROR(VLOOKUP(B132,input_472013!L:R,7,FALSE),VLOOKUP(tables_472013!C132,input_472013!A:H,8,FALSE)),0)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input_472013!A$2</f>
        <v>472013</v>
      </c>
      <c r="B133" s="6">
        <v>257</v>
      </c>
      <c r="C133" s="7" t="str">
        <f t="shared" si="9"/>
        <v>Premium4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2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IF(G133="color",IFERROR(VLOOKUP(B133,input_472013!L:R,7,FALSE),VLOOKUP(tables_472013!C133,input_472013!A:H,8,FALSE)),0)</f>
        <v>0</v>
      </c>
      <c r="P133" s="46">
        <f t="shared" ca="1" si="10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input_472013!A$2</f>
        <v>472013</v>
      </c>
      <c r="B134" s="6">
        <v>258</v>
      </c>
      <c r="C134" s="7" t="str">
        <f t="shared" si="9"/>
        <v>Premium5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2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IF(G134="color",IFERROR(VLOOKUP(B134,input_472013!L:R,7,FALSE),VLOOKUP(tables_472013!C134,input_472013!A:H,8,FALSE)),0)</f>
        <v>0</v>
      </c>
      <c r="P134" s="46">
        <f t="shared" ca="1" si="10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input_472013!A$2</f>
        <v>472013</v>
      </c>
      <c r="B135" s="6">
        <v>259</v>
      </c>
      <c r="C135" s="7" t="str">
        <f t="shared" si="9"/>
        <v>Premium3color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2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IF(G135="color",IFERROR(VLOOKUP(B135,input_472013!L:R,7,FALSE),VLOOKUP(tables_472013!C135,input_472013!A:H,8,FALSE)),0)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input_472013!A$2</f>
        <v>472013</v>
      </c>
      <c r="B136" s="8">
        <v>260</v>
      </c>
      <c r="C136" s="7" t="str">
        <f t="shared" si="9"/>
        <v>Premium4color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2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IF(G136="color",IFERROR(VLOOKUP(B136,input_472013!L:R,7,FALSE),VLOOKUP(tables_472013!C136,input_472013!A:H,8,FALSE)),0)</f>
        <v>295342.30768999999</v>
      </c>
      <c r="P136" s="46">
        <f t="shared" ca="1" si="10"/>
        <v>3.9484265733904421E-2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input_472013!A$2</f>
        <v>472013</v>
      </c>
      <c r="B137" s="8">
        <v>261</v>
      </c>
      <c r="C137" s="7" t="str">
        <f t="shared" si="9"/>
        <v>Premium5color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2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IF(G137="color",IFERROR(VLOOKUP(B137,input_472013!L:R,7,FALSE),VLOOKUP(tables_472013!C137,input_472013!A:H,8,FALSE)),0)</f>
        <v>3800</v>
      </c>
      <c r="P137" s="46">
        <f t="shared" ca="1" si="10"/>
        <v>5.0802139037365223E-4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input_472013!A$2</f>
        <v>472013</v>
      </c>
      <c r="B138" s="6">
        <v>320</v>
      </c>
      <c r="C138" s="7" t="str">
        <f t="shared" si="9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2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IF(G138="color",IFERROR(VLOOKUP(B138,input_472013!L:R,7,FALSE),VLOOKUP(tables_472013!C138,input_472013!A:H,8,FALSE)),0)</f>
        <v>0</v>
      </c>
      <c r="P138" s="46">
        <f t="shared" ca="1" si="10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input_472013!A$2</f>
        <v>472013</v>
      </c>
      <c r="B139" s="6">
        <v>321</v>
      </c>
      <c r="C139" s="7" t="str">
        <f t="shared" si="9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2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IF(G139="color",IFERROR(VLOOKUP(B139,input_472013!L:R,7,FALSE),VLOOKUP(tables_472013!C139,input_472013!A:H,8,FALSE)),0)</f>
        <v>0</v>
      </c>
      <c r="P139" s="46">
        <f t="shared" ca="1" si="10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input_472013!A$2</f>
        <v>472013</v>
      </c>
      <c r="B140" s="6">
        <v>322</v>
      </c>
      <c r="C140" s="7" t="str">
        <f t="shared" si="9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2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IF(G140="color",IFERROR(VLOOKUP(B140,input_472013!L:R,7,FALSE),VLOOKUP(tables_472013!C140,input_472013!A:H,8,FALSE)),0)</f>
        <v>0</v>
      </c>
      <c r="P140" s="46">
        <f t="shared" ca="1" si="10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input_472013!A$2</f>
        <v>472013</v>
      </c>
      <c r="B141" s="6">
        <v>323</v>
      </c>
      <c r="C141" s="7" t="str">
        <f t="shared" si="9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2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IF(G141="color",IFERROR(VLOOKUP(B141,input_472013!L:R,7,FALSE),VLOOKUP(tables_472013!C141,input_472013!A:H,8,FALSE)),0)</f>
        <v>0</v>
      </c>
      <c r="P141" s="46">
        <f t="shared" ca="1" si="10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input_472013!A$2</f>
        <v>472013</v>
      </c>
      <c r="B142" s="6">
        <v>324</v>
      </c>
      <c r="C142" s="7" t="str">
        <f t="shared" si="9"/>
        <v>PremiumSS4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2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IF(G142="color",IFERROR(VLOOKUP(B142,input_472013!L:R,7,FALSE),VLOOKUP(tables_472013!C142,input_472013!A:H,8,FALSE)),0)</f>
        <v>0</v>
      </c>
      <c r="P142" s="46">
        <f t="shared" ca="1" si="10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input_472013!A$2</f>
        <v>472013</v>
      </c>
      <c r="B143" s="6">
        <v>325</v>
      </c>
      <c r="C143" s="7" t="str">
        <f t="shared" si="9"/>
        <v>PremiumSS5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2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IF(G143="color",IFERROR(VLOOKUP(B143,input_472013!L:R,7,FALSE),VLOOKUP(tables_472013!C143,input_472013!A:H,8,FALSE)),0)</f>
        <v>0</v>
      </c>
      <c r="P143" s="46">
        <f t="shared" ca="1" si="10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input_472013!A$2</f>
        <v>472013</v>
      </c>
      <c r="B144" s="6">
        <v>326</v>
      </c>
      <c r="C144" s="7" t="str">
        <f t="shared" si="9"/>
        <v>PremiumSS4color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2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IF(G144="color",IFERROR(VLOOKUP(B144,input_472013!L:R,7,FALSE),VLOOKUP(tables_472013!C144,input_472013!A:H,8,FALSE)),0)</f>
        <v>20900</v>
      </c>
      <c r="P144" s="46">
        <f t="shared" ca="1" si="10"/>
        <v>2.7941176470550875E-3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input_472013!A$2</f>
        <v>472013</v>
      </c>
      <c r="B145" s="6">
        <v>327</v>
      </c>
      <c r="C145" s="7" t="str">
        <f t="shared" si="9"/>
        <v>PremiumSS5color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2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IF(G145="color",IFERROR(VLOOKUP(B145,input_472013!L:R,7,FALSE),VLOOKUP(tables_472013!C145,input_472013!A:H,8,FALSE)),0)</f>
        <v>1100</v>
      </c>
      <c r="P145" s="46">
        <f t="shared" ca="1" si="10"/>
        <v>1.4705882352921513E-4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input_472013!A$2</f>
        <v>472013</v>
      </c>
      <c r="B146" s="6">
        <v>380</v>
      </c>
      <c r="C146" s="7" t="str">
        <f t="shared" si="9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2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IF(G146="color",IFERROR(VLOOKUP(B146,input_472013!L:R,7,FALSE),VLOOKUP(tables_472013!C146,input_472013!A:H,8,FALSE)),0)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input_472013!A$2</f>
        <v>472013</v>
      </c>
      <c r="B147" s="6">
        <v>381</v>
      </c>
      <c r="C147" s="7" t="str">
        <f t="shared" si="9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2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IF(G147="color",IFERROR(VLOOKUP(B147,input_472013!L:R,7,FALSE),VLOOKUP(tables_472013!C147,input_472013!A:H,8,FALSE)),0)</f>
        <v>0</v>
      </c>
      <c r="P147" s="46">
        <f t="shared" ca="1" si="10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input_472013!A$2</f>
        <v>472013</v>
      </c>
      <c r="B148" s="6">
        <v>382</v>
      </c>
      <c r="C148" s="7" t="str">
        <f t="shared" si="9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2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IF(G148="color",IFERROR(VLOOKUP(B148,input_472013!L:R,7,FALSE),VLOOKUP(tables_472013!C148,input_472013!A:H,8,FALSE)),0)</f>
        <v>0</v>
      </c>
      <c r="P148" s="46">
        <f t="shared" ca="1" si="10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input_472013!A$2</f>
        <v>472013</v>
      </c>
      <c r="B149" s="6">
        <v>383</v>
      </c>
      <c r="C149" s="7" t="str">
        <f t="shared" si="9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2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IF(G149="color",IFERROR(VLOOKUP(B149,input_472013!L:R,7,FALSE),VLOOKUP(tables_472013!C149,input_472013!A:H,8,FALSE)),0)</f>
        <v>0</v>
      </c>
      <c r="P149" s="46">
        <f t="shared" ca="1" si="10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input_472013!A$2</f>
        <v>472013</v>
      </c>
      <c r="B150" s="6">
        <v>384</v>
      </c>
      <c r="C150" s="7" t="str">
        <f t="shared" si="9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2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IF(G150="color",IFERROR(VLOOKUP(B150,input_472013!L:R,7,FALSE),VLOOKUP(tables_472013!C150,input_472013!A:H,8,FALSE)),0)</f>
        <v>0</v>
      </c>
      <c r="P150" s="46">
        <f t="shared" ca="1" si="10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input_472013!A$2</f>
        <v>472013</v>
      </c>
      <c r="B151" s="6">
        <v>385</v>
      </c>
      <c r="C151" s="7" t="str">
        <f t="shared" si="9"/>
        <v>PremiumSS4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2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IF(G151="color",IFERROR(VLOOKUP(B151,input_472013!L:R,7,FALSE),VLOOKUP(tables_472013!C151,input_472013!A:H,8,FALSE)),0)</f>
        <v>0</v>
      </c>
      <c r="P151" s="46">
        <f t="shared" ca="1" si="10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input_472013!A$2</f>
        <v>472013</v>
      </c>
      <c r="B152" s="6">
        <v>386</v>
      </c>
      <c r="C152" s="7" t="str">
        <f t="shared" si="9"/>
        <v>PremiumSS5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2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IF(G152="color",IFERROR(VLOOKUP(B152,input_472013!L:R,7,FALSE),VLOOKUP(tables_472013!C152,input_472013!A:H,8,FALSE)),0)</f>
        <v>0</v>
      </c>
      <c r="P152" s="46">
        <f t="shared" ca="1" si="10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input_472013!A$2</f>
        <v>472013</v>
      </c>
      <c r="B153" s="6">
        <v>387</v>
      </c>
      <c r="C153" s="7" t="str">
        <f t="shared" si="9"/>
        <v>Premium3color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2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IF(G153="color",IFERROR(VLOOKUP(B153,input_472013!L:R,7,FALSE),VLOOKUP(tables_472013!C153,input_472013!A:H,8,FALSE)),0)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input_472013!A$2</f>
        <v>472013</v>
      </c>
      <c r="B154" s="6">
        <v>388</v>
      </c>
      <c r="C154" s="7" t="str">
        <f t="shared" si="9"/>
        <v>Premium4color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2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IF(G154="color",IFERROR(VLOOKUP(B154,input_472013!L:R,7,FALSE),VLOOKUP(tables_472013!C154,input_472013!A:H,8,FALSE)),0)</f>
        <v>295342.30768999999</v>
      </c>
      <c r="P154" s="46">
        <f t="shared" ca="1" si="10"/>
        <v>3.9484265733904421E-2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input_472013!A$2</f>
        <v>472013</v>
      </c>
      <c r="B155" s="6">
        <v>389</v>
      </c>
      <c r="C155" s="7" t="str">
        <f t="shared" si="9"/>
        <v>Premium5color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2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IF(G155="color",IFERROR(VLOOKUP(B155,input_472013!L:R,7,FALSE),VLOOKUP(tables_472013!C155,input_472013!A:H,8,FALSE)),0)</f>
        <v>3800</v>
      </c>
      <c r="P155" s="46">
        <f t="shared" ca="1" si="10"/>
        <v>5.0802139037365223E-4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input_472013!A$2</f>
        <v>472013</v>
      </c>
      <c r="B156" s="6">
        <v>390</v>
      </c>
      <c r="C156" s="7" t="str">
        <f t="shared" si="9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2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IF(G156="color",IFERROR(VLOOKUP(B156,input_472013!L:R,7,FALSE),VLOOKUP(tables_472013!C156,input_472013!A:H,8,FALSE)),0)</f>
        <v>0</v>
      </c>
      <c r="P156" s="46">
        <f t="shared" ca="1" si="10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input_472013!A$2</f>
        <v>472013</v>
      </c>
      <c r="B157" s="6">
        <v>391</v>
      </c>
      <c r="C157" s="7" t="str">
        <f t="shared" si="9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2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IF(G157="color",IFERROR(VLOOKUP(B157,input_472013!L:R,7,FALSE),VLOOKUP(tables_472013!C157,input_472013!A:H,8,FALSE)),0)</f>
        <v>0</v>
      </c>
      <c r="P157" s="46">
        <f t="shared" ca="1" si="10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input_472013!A$2</f>
        <v>472013</v>
      </c>
      <c r="B158" s="6">
        <v>392</v>
      </c>
      <c r="C158" s="7" t="str">
        <f t="shared" si="9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2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IF(G158="color",IFERROR(VLOOKUP(B158,input_472013!L:R,7,FALSE),VLOOKUP(tables_472013!C158,input_472013!A:H,8,FALSE)),0)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input_472013!A$2</f>
        <v>472013</v>
      </c>
      <c r="B159" s="6">
        <v>393</v>
      </c>
      <c r="C159" s="7" t="str">
        <f t="shared" si="9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2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IF(G159="color",IFERROR(VLOOKUP(B159,input_472013!L:R,7,FALSE),VLOOKUP(tables_472013!C159,input_472013!A:H,8,FALSE)),0)</f>
        <v>0</v>
      </c>
      <c r="P159" s="46">
        <f t="shared" ca="1" si="10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input_472013!A$2</f>
        <v>472013</v>
      </c>
      <c r="B160" s="6">
        <v>394</v>
      </c>
      <c r="C160" s="7" t="str">
        <f t="shared" si="9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2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IF(G160="color",IFERROR(VLOOKUP(B160,input_472013!L:R,7,FALSE),VLOOKUP(tables_472013!C160,input_472013!A:H,8,FALSE)),0)</f>
        <v>0</v>
      </c>
      <c r="P160" s="46">
        <f t="shared" ca="1" si="10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input_472013!A$2</f>
        <v>472013</v>
      </c>
      <c r="B161" s="6">
        <v>395</v>
      </c>
      <c r="C161" s="7" t="str">
        <f t="shared" si="9"/>
        <v>Premium3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2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IF(G161="color",IFERROR(VLOOKUP(B161,input_472013!L:R,7,FALSE),VLOOKUP(tables_472013!C161,input_472013!A:H,8,FALSE)),0)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input_472013!A$2</f>
        <v>472013</v>
      </c>
      <c r="B162" s="6">
        <v>396</v>
      </c>
      <c r="C162" s="7" t="str">
        <f t="shared" si="9"/>
        <v>Premium4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2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IF(G162="color",IFERROR(VLOOKUP(B162,input_472013!L:R,7,FALSE),VLOOKUP(tables_472013!C162,input_472013!A:H,8,FALSE)),0)</f>
        <v>0</v>
      </c>
      <c r="P162" s="46">
        <f t="shared" ca="1" si="10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input_472013!A$2</f>
        <v>472013</v>
      </c>
      <c r="B163" s="6">
        <v>397</v>
      </c>
      <c r="C163" s="7" t="str">
        <f t="shared" si="9"/>
        <v>Premium5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2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IF(G163="color",IFERROR(VLOOKUP(B163,input_472013!L:R,7,FALSE),VLOOKUP(tables_472013!C163,input_472013!A:H,8,FALSE)),0)</f>
        <v>0</v>
      </c>
      <c r="P163" s="46">
        <f t="shared" ca="1" si="10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input_472013!A$2</f>
        <v>472013</v>
      </c>
      <c r="B164" s="6">
        <v>398</v>
      </c>
      <c r="C164" s="7" t="str">
        <f t="shared" si="9"/>
        <v>PremiumSS4color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2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IF(G164="color",IFERROR(VLOOKUP(B164,input_472013!L:R,7,FALSE),VLOOKUP(tables_472013!C164,input_472013!A:H,8,FALSE)),0)</f>
        <v>20900</v>
      </c>
      <c r="P164" s="46">
        <f t="shared" ca="1" si="10"/>
        <v>2.7941176470550875E-3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input_472013!A$2</f>
        <v>472013</v>
      </c>
      <c r="B165" s="6">
        <v>399</v>
      </c>
      <c r="C165" s="7" t="str">
        <f t="shared" si="9"/>
        <v>PremiumSS5color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2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IF(G165="color",IFERROR(VLOOKUP(B165,input_472013!L:R,7,FALSE),VLOOKUP(tables_472013!C165,input_472013!A:H,8,FALSE)),0)</f>
        <v>1100</v>
      </c>
      <c r="P165" s="46">
        <f t="shared" ca="1" si="10"/>
        <v>1.4705882352921513E-4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input_472013!A$2</f>
        <v>472013</v>
      </c>
      <c r="B166" s="6">
        <v>400</v>
      </c>
      <c r="C166" s="7" t="str">
        <f t="shared" si="9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2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IF(G166="color",IFERROR(VLOOKUP(B166,input_472013!L:R,7,FALSE),VLOOKUP(tables_472013!C166,input_472013!A:H,8,FALSE)),0)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input_472013!A$2</f>
        <v>472013</v>
      </c>
      <c r="B167" s="6">
        <v>401</v>
      </c>
      <c r="C167" s="7" t="str">
        <f t="shared" si="9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2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IF(G167="color",IFERROR(VLOOKUP(B167,input_472013!L:R,7,FALSE),VLOOKUP(tables_472013!C167,input_472013!A:H,8,FALSE)),0)</f>
        <v>0</v>
      </c>
      <c r="P167" s="46">
        <f t="shared" ca="1" si="10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input_472013!A$2</f>
        <v>472013</v>
      </c>
      <c r="B168" s="6">
        <v>402</v>
      </c>
      <c r="C168" s="7" t="str">
        <f t="shared" si="9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2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IF(G168="color",IFERROR(VLOOKUP(B168,input_472013!L:R,7,FALSE),VLOOKUP(tables_472013!C168,input_472013!A:H,8,FALSE)),0)</f>
        <v>0</v>
      </c>
      <c r="P168" s="46">
        <f t="shared" ca="1" si="10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input_472013!A$2</f>
        <v>472013</v>
      </c>
      <c r="B169" s="6">
        <v>403</v>
      </c>
      <c r="C169" s="7" t="str">
        <f t="shared" si="9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2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IF(G169="color",IFERROR(VLOOKUP(B169,input_472013!L:R,7,FALSE),VLOOKUP(tables_472013!C169,input_472013!A:H,8,FALSE)),0)</f>
        <v>0</v>
      </c>
      <c r="P169" s="46">
        <f t="shared" ca="1" si="10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input_472013!A$2</f>
        <v>472013</v>
      </c>
      <c r="B170" s="6">
        <v>404</v>
      </c>
      <c r="C170" s="7" t="str">
        <f t="shared" si="9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2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IF(G170="color",IFERROR(VLOOKUP(B170,input_472013!L:R,7,FALSE),VLOOKUP(tables_472013!C170,input_472013!A:H,8,FALSE)),0)</f>
        <v>0</v>
      </c>
      <c r="P170" s="46">
        <f t="shared" ca="1" si="10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input_472013!A$2</f>
        <v>472013</v>
      </c>
      <c r="B171" s="6">
        <v>405</v>
      </c>
      <c r="C171" s="7" t="str">
        <f t="shared" si="9"/>
        <v>Premium3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2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IF(G171="color",IFERROR(VLOOKUP(B171,input_472013!L:R,7,FALSE),VLOOKUP(tables_472013!C171,input_472013!A:H,8,FALSE)),0)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input_472013!A$2</f>
        <v>472013</v>
      </c>
      <c r="B172" s="6">
        <v>406</v>
      </c>
      <c r="C172" s="7" t="str">
        <f t="shared" si="9"/>
        <v>Premium4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2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IF(G172="color",IFERROR(VLOOKUP(B172,input_472013!L:R,7,FALSE),VLOOKUP(tables_472013!C172,input_472013!A:H,8,FALSE)),0)</f>
        <v>0</v>
      </c>
      <c r="P172" s="46">
        <f t="shared" ca="1" si="10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input_472013!A$2</f>
        <v>472013</v>
      </c>
      <c r="B173" s="6">
        <v>407</v>
      </c>
      <c r="C173" s="7" t="str">
        <f t="shared" si="9"/>
        <v>Premium5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2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IF(G173="color",IFERROR(VLOOKUP(B173,input_472013!L:R,7,FALSE),VLOOKUP(tables_472013!C173,input_472013!A:H,8,FALSE)),0)</f>
        <v>0</v>
      </c>
      <c r="P173" s="46">
        <f t="shared" ca="1" si="10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input_472013!A$2</f>
        <v>472013</v>
      </c>
      <c r="B174" s="6">
        <v>408</v>
      </c>
      <c r="C174" s="7" t="str">
        <f t="shared" si="9"/>
        <v>PremiumSS4color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2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IF(G174="color",IFERROR(VLOOKUP(B174,input_472013!L:R,7,FALSE),VLOOKUP(tables_472013!C174,input_472013!A:H,8,FALSE)),0)</f>
        <v>20900</v>
      </c>
      <c r="P174" s="46">
        <f t="shared" ca="1" si="10"/>
        <v>2.7941176470550875E-3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input_472013!A$2</f>
        <v>472013</v>
      </c>
      <c r="B175" s="6">
        <v>409</v>
      </c>
      <c r="C175" s="7" t="str">
        <f t="shared" si="9"/>
        <v>PremiumSS5color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2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IF(G175="color",IFERROR(VLOOKUP(B175,input_472013!L:R,7,FALSE),VLOOKUP(tables_472013!C175,input_472013!A:H,8,FALSE)),0)</f>
        <v>1100</v>
      </c>
      <c r="P175" s="46">
        <f t="shared" ca="1" si="10"/>
        <v>1.4705882352921513E-4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input_472013!A$2</f>
        <v>472013</v>
      </c>
      <c r="B176" s="6">
        <v>434</v>
      </c>
      <c r="C176" s="7" t="str">
        <f t="shared" si="9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2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IF(G176="color",IFERROR(VLOOKUP(B176,input_472013!L:R,7,FALSE),VLOOKUP(tables_472013!C176,input_472013!A:H,8,FALSE)),0)</f>
        <v>0</v>
      </c>
      <c r="P176" s="46">
        <f t="shared" ca="1" si="10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input_472013!A$2</f>
        <v>472013</v>
      </c>
      <c r="B177" s="6">
        <v>435</v>
      </c>
      <c r="C177" s="7" t="str">
        <f t="shared" si="9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2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IF(G177="color",IFERROR(VLOOKUP(B177,input_472013!L:R,7,FALSE),VLOOKUP(tables_472013!C177,input_472013!A:H,8,FALSE)),0)</f>
        <v>0</v>
      </c>
      <c r="P177" s="46">
        <f t="shared" ca="1" si="10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input_472013!A$2</f>
        <v>472013</v>
      </c>
      <c r="B178" s="6">
        <v>436</v>
      </c>
      <c r="C178" s="7" t="str">
        <f t="shared" si="9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2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IF(G178="color",IFERROR(VLOOKUP(B178,input_472013!L:R,7,FALSE),VLOOKUP(tables_472013!C178,input_472013!A:H,8,FALSE)),0)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input_472013!A$2</f>
        <v>472013</v>
      </c>
      <c r="B179" s="6">
        <v>437</v>
      </c>
      <c r="C179" s="7" t="str">
        <f t="shared" si="9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2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IF(G179="color",IFERROR(VLOOKUP(B179,input_472013!L:R,7,FALSE),VLOOKUP(tables_472013!C179,input_472013!A:H,8,FALSE)),0)</f>
        <v>0</v>
      </c>
      <c r="P179" s="46">
        <f t="shared" ca="1" si="10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input_472013!A$2</f>
        <v>472013</v>
      </c>
      <c r="B180" s="6">
        <v>438</v>
      </c>
      <c r="C180" s="7" t="str">
        <f t="shared" si="9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2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IF(G180="color",IFERROR(VLOOKUP(B180,input_472013!L:R,7,FALSE),VLOOKUP(tables_472013!C180,input_472013!A:H,8,FALSE)),0)</f>
        <v>0</v>
      </c>
      <c r="P180" s="46">
        <f t="shared" ca="1" si="10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input_472013!A$2</f>
        <v>472013</v>
      </c>
      <c r="B181" s="6">
        <v>439</v>
      </c>
      <c r="C181" s="7" t="str">
        <f t="shared" si="9"/>
        <v>Premium3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2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IF(G181="color",IFERROR(VLOOKUP(B181,input_472013!L:R,7,FALSE),VLOOKUP(tables_472013!C181,input_472013!A:H,8,FALSE)),0)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input_472013!A$2</f>
        <v>472013</v>
      </c>
      <c r="B182" s="6">
        <v>440</v>
      </c>
      <c r="C182" s="7" t="str">
        <f t="shared" si="9"/>
        <v>Premium4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2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IF(G182="color",IFERROR(VLOOKUP(B182,input_472013!L:R,7,FALSE),VLOOKUP(tables_472013!C182,input_472013!A:H,8,FALSE)),0)</f>
        <v>0</v>
      </c>
      <c r="P182" s="46">
        <f t="shared" ca="1" si="10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input_472013!A$2</f>
        <v>472013</v>
      </c>
      <c r="B183" s="6">
        <v>441</v>
      </c>
      <c r="C183" s="7" t="str">
        <f t="shared" si="9"/>
        <v>Premium5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2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IF(G183="color",IFERROR(VLOOKUP(B183,input_472013!L:R,7,FALSE),VLOOKUP(tables_472013!C183,input_472013!A:H,8,FALSE)),0)</f>
        <v>0</v>
      </c>
      <c r="P183" s="46">
        <f t="shared" ca="1" si="10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input_472013!A$2</f>
        <v>472013</v>
      </c>
      <c r="B184" s="6">
        <v>442</v>
      </c>
      <c r="C184" s="7" t="str">
        <f t="shared" si="9"/>
        <v>PremiumSS4color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2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IF(G184="color",IFERROR(VLOOKUP(B184,input_472013!L:R,7,FALSE),VLOOKUP(tables_472013!C184,input_472013!A:H,8,FALSE)),0)</f>
        <v>20900</v>
      </c>
      <c r="P184" s="46">
        <f t="shared" ca="1" si="10"/>
        <v>2.7941176470550875E-3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input_472013!A$2</f>
        <v>472013</v>
      </c>
      <c r="B185" s="6">
        <v>443</v>
      </c>
      <c r="C185" s="7" t="str">
        <f t="shared" si="9"/>
        <v>PremiumSS5color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2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IF(G185="color",IFERROR(VLOOKUP(B185,input_472013!L:R,7,FALSE),VLOOKUP(tables_472013!C185,input_472013!A:H,8,FALSE)),0)</f>
        <v>1100</v>
      </c>
      <c r="P185" s="46">
        <f t="shared" ca="1" si="10"/>
        <v>1.4705882352921513E-4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input_472013!A$2</f>
        <v>472013</v>
      </c>
      <c r="B186" s="8">
        <v>462</v>
      </c>
      <c r="C186" s="7" t="str">
        <f t="shared" si="9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2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IF(G186="color",IFERROR(VLOOKUP(B186,input_472013!L:R,7,FALSE),VLOOKUP(tables_472013!C186,input_472013!A:H,8,FALSE)),0)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input_472013!A$2</f>
        <v>472013</v>
      </c>
      <c r="B187" s="8">
        <v>463</v>
      </c>
      <c r="C187" s="7" t="str">
        <f t="shared" si="9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2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IF(G187="color",IFERROR(VLOOKUP(B187,input_472013!L:R,7,FALSE),VLOOKUP(tables_472013!C187,input_472013!A:H,8,FALSE)),0)</f>
        <v>0</v>
      </c>
      <c r="P187" s="46">
        <f t="shared" ca="1" si="10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input_472013!A$2</f>
        <v>472013</v>
      </c>
      <c r="B188" s="8">
        <v>464</v>
      </c>
      <c r="C188" s="7" t="str">
        <f t="shared" si="9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2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IF(G188="color",IFERROR(VLOOKUP(B188,input_472013!L:R,7,FALSE),VLOOKUP(tables_472013!C188,input_472013!A:H,8,FALSE)),0)</f>
        <v>0</v>
      </c>
      <c r="P188" s="46">
        <f t="shared" ca="1" si="10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input_472013!A$2</f>
        <v>472013</v>
      </c>
      <c r="B189" s="8">
        <v>465</v>
      </c>
      <c r="C189" s="7" t="str">
        <f t="shared" si="9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2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IF(G189="color",IFERROR(VLOOKUP(B189,input_472013!L:R,7,FALSE),VLOOKUP(tables_472013!C189,input_472013!A:H,8,FALSE)),0)</f>
        <v>0</v>
      </c>
      <c r="P189" s="46">
        <f t="shared" ca="1" si="10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input_472013!A$2</f>
        <v>472013</v>
      </c>
      <c r="B190" s="6">
        <v>466</v>
      </c>
      <c r="C190" s="7" t="str">
        <f t="shared" si="9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2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IF(G190="color",IFERROR(VLOOKUP(B190,input_472013!L:R,7,FALSE),VLOOKUP(tables_472013!C190,input_472013!A:H,8,FALSE)),0)</f>
        <v>0</v>
      </c>
      <c r="P190" s="46">
        <f t="shared" ca="1" si="10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input_472013!A$2</f>
        <v>472013</v>
      </c>
      <c r="B191" s="6">
        <v>467</v>
      </c>
      <c r="C191" s="7" t="str">
        <f t="shared" si="9"/>
        <v>PremiumSS4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2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IF(G191="color",IFERROR(VLOOKUP(B191,input_472013!L:R,7,FALSE),VLOOKUP(tables_472013!C191,input_472013!A:H,8,FALSE)),0)</f>
        <v>0</v>
      </c>
      <c r="P191" s="46">
        <f t="shared" ca="1" si="10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input_472013!A$2</f>
        <v>472013</v>
      </c>
      <c r="B192" s="6">
        <v>468</v>
      </c>
      <c r="C192" s="7" t="str">
        <f t="shared" si="9"/>
        <v>PremiumSS5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2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IF(G192="color",IFERROR(VLOOKUP(B192,input_472013!L:R,7,FALSE),VLOOKUP(tables_472013!C192,input_472013!A:H,8,FALSE)),0)</f>
        <v>0</v>
      </c>
      <c r="P192" s="46">
        <f t="shared" ca="1" si="10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input_472013!A$2</f>
        <v>472013</v>
      </c>
      <c r="B193" s="6">
        <v>469</v>
      </c>
      <c r="C193" s="7" t="str">
        <f t="shared" si="9"/>
        <v>Premium3color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2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IF(G193="color",IFERROR(VLOOKUP(B193,input_472013!L:R,7,FALSE),VLOOKUP(tables_472013!C193,input_472013!A:H,8,FALSE)),0)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input_472013!A$2</f>
        <v>472013</v>
      </c>
      <c r="B194" s="6">
        <v>470</v>
      </c>
      <c r="C194" s="7" t="str">
        <f t="shared" ref="C194:C257" si="13">D194&amp;J194&amp;E194&amp;F194&amp;G194</f>
        <v>Premium4color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2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IF(G194="color",IFERROR(VLOOKUP(B194,input_472013!L:R,7,FALSE),VLOOKUP(tables_472013!C194,input_472013!A:H,8,FALSE)),0)</f>
        <v>295342.30768999999</v>
      </c>
      <c r="P194" s="46">
        <f t="shared" ref="P194:P257" ca="1" si="14">O194/SUM(O:O)</f>
        <v>3.9484265733904421E-2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input_472013!A$2</f>
        <v>472013</v>
      </c>
      <c r="B195" s="6">
        <v>471</v>
      </c>
      <c r="C195" s="7" t="str">
        <f t="shared" si="13"/>
        <v>Premium5color</v>
      </c>
      <c r="D195" s="7" t="str">
        <f t="shared" ref="D195:D258" si="15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6">IF(K195="yellow","color","")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IF(G195="color",IFERROR(VLOOKUP(B195,input_472013!L:R,7,FALSE),VLOOKUP(tables_472013!C195,input_472013!A:H,8,FALSE)),0)</f>
        <v>3800</v>
      </c>
      <c r="P195" s="46">
        <f t="shared" ca="1" si="14"/>
        <v>5.0802139037365223E-4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input_472013!A$2</f>
        <v>472013</v>
      </c>
      <c r="B196" s="6">
        <v>474</v>
      </c>
      <c r="C196" s="7" t="str">
        <f t="shared" si="13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6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IF(G196="color",IFERROR(VLOOKUP(B196,input_472013!L:R,7,FALSE),VLOOKUP(tables_472013!C196,input_472013!A:H,8,FALSE)),0)</f>
        <v>0</v>
      </c>
      <c r="P196" s="46">
        <f t="shared" ca="1" si="14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input_472013!A$2</f>
        <v>472013</v>
      </c>
      <c r="B197" s="6">
        <v>475</v>
      </c>
      <c r="C197" s="7" t="str">
        <f t="shared" si="13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6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IF(G197="color",IFERROR(VLOOKUP(B197,input_472013!L:R,7,FALSE),VLOOKUP(tables_472013!C197,input_472013!A:H,8,FALSE)),0)</f>
        <v>0</v>
      </c>
      <c r="P197" s="46">
        <f t="shared" ca="1" si="14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input_472013!A$2</f>
        <v>472013</v>
      </c>
      <c r="B198" s="6">
        <v>476</v>
      </c>
      <c r="C198" s="7" t="str">
        <f t="shared" si="13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6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IF(G198="color",IFERROR(VLOOKUP(B198,input_472013!L:R,7,FALSE),VLOOKUP(tables_472013!C198,input_472013!A:H,8,FALSE)),0)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input_472013!A$2</f>
        <v>472013</v>
      </c>
      <c r="B199" s="6">
        <v>477</v>
      </c>
      <c r="C199" s="7" t="str">
        <f t="shared" si="13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6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IF(G199="color",IFERROR(VLOOKUP(B199,input_472013!L:R,7,FALSE),VLOOKUP(tables_472013!C199,input_472013!A:H,8,FALSE)),0)</f>
        <v>0</v>
      </c>
      <c r="P199" s="46">
        <f t="shared" ca="1" si="14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input_472013!A$2</f>
        <v>472013</v>
      </c>
      <c r="B200" s="6">
        <v>478</v>
      </c>
      <c r="C200" s="7" t="str">
        <f t="shared" si="13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6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IF(G200="color",IFERROR(VLOOKUP(B200,input_472013!L:R,7,FALSE),VLOOKUP(tables_472013!C200,input_472013!A:H,8,FALSE)),0)</f>
        <v>0</v>
      </c>
      <c r="P200" s="46">
        <f t="shared" ca="1" si="14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input_472013!A$2</f>
        <v>472013</v>
      </c>
      <c r="B201" s="6">
        <v>479</v>
      </c>
      <c r="C201" s="7" t="str">
        <f t="shared" si="13"/>
        <v>PremiumSS4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6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IF(G201="color",IFERROR(VLOOKUP(B201,input_472013!L:R,7,FALSE),VLOOKUP(tables_472013!C201,input_472013!A:H,8,FALSE)),0)</f>
        <v>0</v>
      </c>
      <c r="P201" s="46">
        <f t="shared" ca="1" si="14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input_472013!A$2</f>
        <v>472013</v>
      </c>
      <c r="B202" s="6">
        <v>480</v>
      </c>
      <c r="C202" s="7" t="str">
        <f t="shared" si="13"/>
        <v>PremiumSS5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6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IF(G202="color",IFERROR(VLOOKUP(B202,input_472013!L:R,7,FALSE),VLOOKUP(tables_472013!C202,input_472013!A:H,8,FALSE)),0)</f>
        <v>0</v>
      </c>
      <c r="P202" s="46">
        <f t="shared" ca="1" si="14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input_472013!A$2</f>
        <v>472013</v>
      </c>
      <c r="B203" s="6">
        <v>481</v>
      </c>
      <c r="C203" s="7" t="str">
        <f t="shared" si="13"/>
        <v>Premium3color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6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IF(G203="color",IFERROR(VLOOKUP(B203,input_472013!L:R,7,FALSE),VLOOKUP(tables_472013!C203,input_472013!A:H,8,FALSE)),0)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input_472013!A$2</f>
        <v>472013</v>
      </c>
      <c r="B204" s="6">
        <v>482</v>
      </c>
      <c r="C204" s="7" t="str">
        <f t="shared" si="13"/>
        <v>Premium4color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6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IF(G204="color",IFERROR(VLOOKUP(B204,input_472013!L:R,7,FALSE),VLOOKUP(tables_472013!C204,input_472013!A:H,8,FALSE)),0)</f>
        <v>295342.30768999999</v>
      </c>
      <c r="P204" s="46">
        <f t="shared" ca="1" si="14"/>
        <v>3.9484265733904421E-2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input_472013!A$2</f>
        <v>472013</v>
      </c>
      <c r="B205" s="6">
        <v>483</v>
      </c>
      <c r="C205" s="7" t="str">
        <f t="shared" si="13"/>
        <v>Premium5color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6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IF(G205="color",IFERROR(VLOOKUP(B205,input_472013!L:R,7,FALSE),VLOOKUP(tables_472013!C205,input_472013!A:H,8,FALSE)),0)</f>
        <v>3800</v>
      </c>
      <c r="P205" s="46">
        <f t="shared" ca="1" si="14"/>
        <v>5.0802139037365223E-4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input_472013!A$2</f>
        <v>472013</v>
      </c>
      <c r="B206" s="6">
        <v>492</v>
      </c>
      <c r="C206" s="7" t="str">
        <f t="shared" si="13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6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IF(G206="color",IFERROR(VLOOKUP(B206,input_472013!L:R,7,FALSE),VLOOKUP(tables_472013!C206,input_472013!A:H,8,FALSE)),0)</f>
        <v>0</v>
      </c>
      <c r="P206" s="46">
        <f t="shared" ca="1" si="14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input_472013!A$2</f>
        <v>472013</v>
      </c>
      <c r="B207" s="6">
        <v>493</v>
      </c>
      <c r="C207" s="7" t="str">
        <f t="shared" si="13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6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IF(G207="color",IFERROR(VLOOKUP(B207,input_472013!L:R,7,FALSE),VLOOKUP(tables_472013!C207,input_472013!A:H,8,FALSE)),0)</f>
        <v>0</v>
      </c>
      <c r="P207" s="46">
        <f t="shared" ca="1" si="14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input_472013!A$2</f>
        <v>472013</v>
      </c>
      <c r="B208" s="6">
        <v>494</v>
      </c>
      <c r="C208" s="7" t="str">
        <f t="shared" si="13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6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IF(G208="color",IFERROR(VLOOKUP(B208,input_472013!L:R,7,FALSE),VLOOKUP(tables_472013!C208,input_472013!A:H,8,FALSE)),0)</f>
        <v>0</v>
      </c>
      <c r="P208" s="46">
        <f t="shared" ca="1" si="14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input_472013!A$2</f>
        <v>472013</v>
      </c>
      <c r="B209" s="6">
        <v>495</v>
      </c>
      <c r="C209" s="7" t="str">
        <f t="shared" si="13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6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IF(G209="color",IFERROR(VLOOKUP(B209,input_472013!L:R,7,FALSE),VLOOKUP(tables_472013!C209,input_472013!A:H,8,FALSE)),0)</f>
        <v>0</v>
      </c>
      <c r="P209" s="46">
        <f t="shared" ca="1" si="14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input_472013!A$2</f>
        <v>472013</v>
      </c>
      <c r="B210" s="6">
        <v>496</v>
      </c>
      <c r="C210" s="7" t="str">
        <f t="shared" si="13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6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IF(G210="color",IFERROR(VLOOKUP(B210,input_472013!L:R,7,FALSE),VLOOKUP(tables_472013!C210,input_472013!A:H,8,FALSE)),0)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input_472013!A$2</f>
        <v>472013</v>
      </c>
      <c r="B211" s="6">
        <v>497</v>
      </c>
      <c r="C211" s="7" t="str">
        <f t="shared" si="13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6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IF(G211="color",IFERROR(VLOOKUP(B211,input_472013!L:R,7,FALSE),VLOOKUP(tables_472013!C211,input_472013!A:H,8,FALSE)),0)</f>
        <v>0</v>
      </c>
      <c r="P211" s="46">
        <f t="shared" ca="1" si="14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input_472013!A$2</f>
        <v>472013</v>
      </c>
      <c r="B212" s="6">
        <v>498</v>
      </c>
      <c r="C212" s="7" t="str">
        <f t="shared" si="13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6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IF(G212="color",IFERROR(VLOOKUP(B212,input_472013!L:R,7,FALSE),VLOOKUP(tables_472013!C212,input_472013!A:H,8,FALSE)),0)</f>
        <v>0</v>
      </c>
      <c r="P212" s="46">
        <f t="shared" ca="1" si="14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input_472013!A$2</f>
        <v>472013</v>
      </c>
      <c r="B213" s="6">
        <v>499</v>
      </c>
      <c r="C213" s="7" t="str">
        <f t="shared" si="13"/>
        <v>PremiumSS4color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6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IF(G213="color",IFERROR(VLOOKUP(B213,input_472013!L:R,7,FALSE),VLOOKUP(tables_472013!C213,input_472013!A:H,8,FALSE)),0)</f>
        <v>20900</v>
      </c>
      <c r="P213" s="46">
        <f t="shared" ca="1" si="14"/>
        <v>2.7941176470550875E-3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input_472013!A$2</f>
        <v>472013</v>
      </c>
      <c r="B214" s="6">
        <v>500</v>
      </c>
      <c r="C214" s="7" t="str">
        <f t="shared" si="13"/>
        <v>PremiumSS5color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6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IF(G214="color",IFERROR(VLOOKUP(B214,input_472013!L:R,7,FALSE),VLOOKUP(tables_472013!C214,input_472013!A:H,8,FALSE)),0)</f>
        <v>1100</v>
      </c>
      <c r="P214" s="46">
        <f t="shared" ca="1" si="14"/>
        <v>1.4705882352921513E-4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input_472013!A$2</f>
        <v>472013</v>
      </c>
      <c r="B215" s="6">
        <v>560</v>
      </c>
      <c r="C215" s="7" t="str">
        <f t="shared" si="13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6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IF(G215="color",IFERROR(VLOOKUP(B215,input_472013!L:R,7,FALSE),VLOOKUP(tables_472013!C215,input_472013!A:H,8,FALSE)),0)</f>
        <v>0</v>
      </c>
      <c r="P215" s="46">
        <f t="shared" ca="1" si="14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input_472013!A$2</f>
        <v>472013</v>
      </c>
      <c r="B216" s="6">
        <v>561</v>
      </c>
      <c r="C216" s="7" t="str">
        <f t="shared" si="13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6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IF(G216="color",IFERROR(VLOOKUP(B216,input_472013!L:R,7,FALSE),VLOOKUP(tables_472013!C216,input_472013!A:H,8,FALSE)),0)</f>
        <v>0</v>
      </c>
      <c r="P216" s="46">
        <f t="shared" ca="1" si="14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input_472013!A$2</f>
        <v>472013</v>
      </c>
      <c r="B217" s="6">
        <v>562</v>
      </c>
      <c r="C217" s="7" t="str">
        <f t="shared" si="13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6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IF(G217="color",IFERROR(VLOOKUP(B217,input_472013!L:R,7,FALSE),VLOOKUP(tables_472013!C217,input_472013!A:H,8,FALSE)),0)</f>
        <v>0</v>
      </c>
      <c r="P217" s="46">
        <f t="shared" ca="1" si="14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input_472013!A$2</f>
        <v>472013</v>
      </c>
      <c r="B218" s="6">
        <v>563</v>
      </c>
      <c r="C218" s="7" t="str">
        <f t="shared" si="13"/>
        <v>premium5R3lesscolor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6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IF(G218="color",IFERROR(VLOOKUP(B218,input_472013!L:R,7,FALSE),VLOOKUP(tables_472013!C218,input_472013!A:H,8,FALSE)),0)</f>
        <v>16150</v>
      </c>
      <c r="P218" s="46">
        <f t="shared" ca="1" si="14"/>
        <v>2.1590909090880221E-3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input_472013!A$2</f>
        <v>472013</v>
      </c>
      <c r="B219" s="6">
        <v>566</v>
      </c>
      <c r="C219" s="7" t="str">
        <f t="shared" si="13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6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IF(G219="color",IFERROR(VLOOKUP(B219,input_472013!L:R,7,FALSE),VLOOKUP(tables_472013!C219,input_472013!A:H,8,FALSE)),0)</f>
        <v>0</v>
      </c>
      <c r="P219" s="46">
        <f t="shared" ca="1" si="14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input_472013!A$2</f>
        <v>472013</v>
      </c>
      <c r="B220" s="6">
        <v>567</v>
      </c>
      <c r="C220" s="7" t="str">
        <f t="shared" si="13"/>
        <v>premium5R3lesscolor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6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IF(G220="color",IFERROR(VLOOKUP(B220,input_472013!L:R,7,FALSE),VLOOKUP(tables_472013!C220,input_472013!A:H,8,FALSE)),0)</f>
        <v>16150</v>
      </c>
      <c r="P220" s="46">
        <f t="shared" ca="1" si="14"/>
        <v>2.1590909090880221E-3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input_472013!A$2</f>
        <v>472013</v>
      </c>
      <c r="B221" s="6">
        <v>586</v>
      </c>
      <c r="C221" s="7" t="str">
        <f t="shared" si="13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6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IF(G221="color",IFERROR(VLOOKUP(B221,input_472013!L:R,7,FALSE),VLOOKUP(tables_472013!C221,input_472013!A:H,8,FALSE)),0)</f>
        <v>0</v>
      </c>
      <c r="P221" s="46">
        <f t="shared" ca="1" si="14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input_472013!A$2</f>
        <v>472013</v>
      </c>
      <c r="B222" s="6">
        <v>587</v>
      </c>
      <c r="C222" s="7" t="str">
        <f t="shared" si="13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6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IF(G222="color",IFERROR(VLOOKUP(B222,input_472013!L:R,7,FALSE),VLOOKUP(tables_472013!C222,input_472013!A:H,8,FALSE)),0)</f>
        <v>0</v>
      </c>
      <c r="P222" s="46">
        <f t="shared" ca="1" si="14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input_472013!A$2</f>
        <v>472013</v>
      </c>
      <c r="B223" s="6">
        <v>588</v>
      </c>
      <c r="C223" s="7" t="str">
        <f t="shared" si="13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6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IF(G223="color",IFERROR(VLOOKUP(B223,input_472013!L:R,7,FALSE),VLOOKUP(tables_472013!C223,input_472013!A:H,8,FALSE)),0)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input_472013!A$2</f>
        <v>472013</v>
      </c>
      <c r="B224" s="6">
        <v>589</v>
      </c>
      <c r="C224" s="7" t="str">
        <f t="shared" si="13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6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IF(G224="color",IFERROR(VLOOKUP(B224,input_472013!L:R,7,FALSE),VLOOKUP(tables_472013!C224,input_472013!A:H,8,FALSE)),0)</f>
        <v>0</v>
      </c>
      <c r="P224" s="46">
        <f t="shared" ca="1" si="14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input_472013!A$2</f>
        <v>472013</v>
      </c>
      <c r="B225" s="6">
        <v>590</v>
      </c>
      <c r="C225" s="7" t="str">
        <f t="shared" si="13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6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IF(G225="color",IFERROR(VLOOKUP(B225,input_472013!L:R,7,FALSE),VLOOKUP(tables_472013!C225,input_472013!A:H,8,FALSE)),0)</f>
        <v>0</v>
      </c>
      <c r="P225" s="46">
        <f t="shared" ca="1" si="14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input_472013!A$2</f>
        <v>472013</v>
      </c>
      <c r="B226" s="6">
        <v>591</v>
      </c>
      <c r="C226" s="7" t="str">
        <f t="shared" si="13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6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IF(G226="color",IFERROR(VLOOKUP(B226,input_472013!L:R,7,FALSE),VLOOKUP(tables_472013!C226,input_472013!A:H,8,FALSE)),0)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input_472013!A$2</f>
        <v>472013</v>
      </c>
      <c r="B227" s="6">
        <v>592</v>
      </c>
      <c r="C227" s="7" t="str">
        <f t="shared" si="13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6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IF(G227="color",IFERROR(VLOOKUP(B227,input_472013!L:R,7,FALSE),VLOOKUP(tables_472013!C227,input_472013!A:H,8,FALSE)),0)</f>
        <v>0</v>
      </c>
      <c r="P227" s="46">
        <f t="shared" ca="1" si="14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input_472013!A$2</f>
        <v>472013</v>
      </c>
      <c r="B228" s="6">
        <v>593</v>
      </c>
      <c r="C228" s="7" t="str">
        <f t="shared" si="13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6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IF(G228="color",IFERROR(VLOOKUP(B228,input_472013!L:R,7,FALSE),VLOOKUP(tables_472013!C228,input_472013!A:H,8,FALSE)),0)</f>
        <v>0</v>
      </c>
      <c r="P228" s="46">
        <f t="shared" ca="1" si="14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input_472013!A$2</f>
        <v>472013</v>
      </c>
      <c r="B229" s="6">
        <v>594</v>
      </c>
      <c r="C229" s="7" t="str">
        <f t="shared" si="13"/>
        <v>PremiumSS4color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6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IF(G229="color",IFERROR(VLOOKUP(B229,input_472013!L:R,7,FALSE),VLOOKUP(tables_472013!C229,input_472013!A:H,8,FALSE)),0)</f>
        <v>20900</v>
      </c>
      <c r="P229" s="46">
        <f t="shared" ca="1" si="14"/>
        <v>2.7941176470550875E-3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input_472013!A$2</f>
        <v>472013</v>
      </c>
      <c r="B230" s="6">
        <v>595</v>
      </c>
      <c r="C230" s="7" t="str">
        <f t="shared" si="13"/>
        <v>PremiumSS5color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6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IF(G230="color",IFERROR(VLOOKUP(B230,input_472013!L:R,7,FALSE),VLOOKUP(tables_472013!C230,input_472013!A:H,8,FALSE)),0)</f>
        <v>1100</v>
      </c>
      <c r="P230" s="46">
        <f t="shared" ca="1" si="14"/>
        <v>1.4705882352921513E-4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input_472013!A$2</f>
        <v>472013</v>
      </c>
      <c r="B231" s="6">
        <v>596</v>
      </c>
      <c r="C231" s="7" t="str">
        <f t="shared" si="13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6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IF(G231="color",IFERROR(VLOOKUP(B231,input_472013!L:R,7,FALSE),VLOOKUP(tables_472013!C231,input_472013!A:H,8,FALSE)),0)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input_472013!A$2</f>
        <v>472013</v>
      </c>
      <c r="B232" s="6">
        <v>597</v>
      </c>
      <c r="C232" s="7" t="str">
        <f t="shared" si="13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6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IF(G232="color",IFERROR(VLOOKUP(B232,input_472013!L:R,7,FALSE),VLOOKUP(tables_472013!C232,input_472013!A:H,8,FALSE)),0)</f>
        <v>0</v>
      </c>
      <c r="P232" s="46">
        <f t="shared" ca="1" si="14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input_472013!A$2</f>
        <v>472013</v>
      </c>
      <c r="B233" s="6">
        <v>598</v>
      </c>
      <c r="C233" s="7" t="str">
        <f t="shared" si="13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6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IF(G233="color",IFERROR(VLOOKUP(B233,input_472013!L:R,7,FALSE),VLOOKUP(tables_472013!C233,input_472013!A:H,8,FALSE)),0)</f>
        <v>0</v>
      </c>
      <c r="P233" s="46">
        <f t="shared" ca="1" si="14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input_472013!A$2</f>
        <v>472013</v>
      </c>
      <c r="B234" s="6">
        <v>599</v>
      </c>
      <c r="C234" s="7" t="str">
        <f t="shared" si="13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6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IF(G234="color",IFERROR(VLOOKUP(B234,input_472013!L:R,7,FALSE),VLOOKUP(tables_472013!C234,input_472013!A:H,8,FALSE)),0)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input_472013!A$2</f>
        <v>472013</v>
      </c>
      <c r="B235" s="6">
        <v>600</v>
      </c>
      <c r="C235" s="7" t="str">
        <f t="shared" si="13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6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IF(G235="color",IFERROR(VLOOKUP(B235,input_472013!L:R,7,FALSE),VLOOKUP(tables_472013!C235,input_472013!A:H,8,FALSE)),0)</f>
        <v>0</v>
      </c>
      <c r="P235" s="46">
        <f t="shared" ca="1" si="14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input_472013!A$2</f>
        <v>472013</v>
      </c>
      <c r="B236" s="6">
        <v>601</v>
      </c>
      <c r="C236" s="7" t="str">
        <f t="shared" si="13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6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IF(G236="color",IFERROR(VLOOKUP(B236,input_472013!L:R,7,FALSE),VLOOKUP(tables_472013!C236,input_472013!A:H,8,FALSE)),0)</f>
        <v>0</v>
      </c>
      <c r="P236" s="46">
        <f t="shared" ca="1" si="14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input_472013!A$2</f>
        <v>472013</v>
      </c>
      <c r="B237" s="6">
        <v>602</v>
      </c>
      <c r="C237" s="7" t="str">
        <f t="shared" si="13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6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IF(G237="color",IFERROR(VLOOKUP(B237,input_472013!L:R,7,FALSE),VLOOKUP(tables_472013!C237,input_472013!A:H,8,FALSE)),0)</f>
        <v>0</v>
      </c>
      <c r="P237" s="46">
        <f t="shared" ca="1" si="14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input_472013!A$2</f>
        <v>472013</v>
      </c>
      <c r="B238" s="6">
        <v>603</v>
      </c>
      <c r="C238" s="7" t="str">
        <f t="shared" si="13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6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IF(G238="color",IFERROR(VLOOKUP(B238,input_472013!L:R,7,FALSE),VLOOKUP(tables_472013!C238,input_472013!A:H,8,FALSE)),0)</f>
        <v>0</v>
      </c>
      <c r="P238" s="46">
        <f t="shared" ca="1" si="14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input_472013!A$2</f>
        <v>472013</v>
      </c>
      <c r="B239" s="6">
        <v>604</v>
      </c>
      <c r="C239" s="7" t="str">
        <f t="shared" si="13"/>
        <v>Premium3color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6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IF(G239="color",IFERROR(VLOOKUP(B239,input_472013!L:R,7,FALSE),VLOOKUP(tables_472013!C239,input_472013!A:H,8,FALSE)),0)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input_472013!A$2</f>
        <v>472013</v>
      </c>
      <c r="B240" s="6">
        <v>605</v>
      </c>
      <c r="C240" s="7" t="str">
        <f t="shared" si="13"/>
        <v>Premium4color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6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IF(G240="color",IFERROR(VLOOKUP(B240,input_472013!L:R,7,FALSE),VLOOKUP(tables_472013!C240,input_472013!A:H,8,FALSE)),0)</f>
        <v>295342.30768999999</v>
      </c>
      <c r="P240" s="46">
        <f t="shared" ca="1" si="14"/>
        <v>3.9484265733904421E-2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input_472013!A$2</f>
        <v>472013</v>
      </c>
      <c r="B241" s="6">
        <v>606</v>
      </c>
      <c r="C241" s="7" t="str">
        <f t="shared" si="13"/>
        <v>Premium5color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6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IF(G241="color",IFERROR(VLOOKUP(B241,input_472013!L:R,7,FALSE),VLOOKUP(tables_472013!C241,input_472013!A:H,8,FALSE)),0)</f>
        <v>3800</v>
      </c>
      <c r="P241" s="46">
        <f t="shared" ca="1" si="14"/>
        <v>5.0802139037365223E-4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input_472013!A$2</f>
        <v>472013</v>
      </c>
      <c r="B242" s="6">
        <v>658</v>
      </c>
      <c r="C242" s="7" t="str">
        <f t="shared" si="13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6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IF(G242="color",IFERROR(VLOOKUP(B242,input_472013!L:R,7,FALSE),VLOOKUP(tables_472013!C242,input_472013!A:H,8,FALSE)),0)</f>
        <v>0</v>
      </c>
      <c r="P242" s="46">
        <f t="shared" ca="1" si="14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input_472013!A$2</f>
        <v>472013</v>
      </c>
      <c r="B243" s="6">
        <v>659</v>
      </c>
      <c r="C243" s="7" t="str">
        <f t="shared" si="13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6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IF(G243="color",IFERROR(VLOOKUP(B243,input_472013!L:R,7,FALSE),VLOOKUP(tables_472013!C243,input_472013!A:H,8,FALSE)),0)</f>
        <v>0</v>
      </c>
      <c r="P243" s="46">
        <f t="shared" ca="1" si="14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input_472013!A$2</f>
        <v>472013</v>
      </c>
      <c r="B244" s="6">
        <v>660</v>
      </c>
      <c r="C244" s="7" t="str">
        <f t="shared" si="13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6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IF(G244="color",IFERROR(VLOOKUP(B244,input_472013!L:R,7,FALSE),VLOOKUP(tables_472013!C244,input_472013!A:H,8,FALSE)),0)</f>
        <v>0</v>
      </c>
      <c r="P244" s="46">
        <f t="shared" ca="1" si="14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input_472013!A$2</f>
        <v>472013</v>
      </c>
      <c r="B245" s="60">
        <v>661</v>
      </c>
      <c r="C245" s="7" t="str">
        <f t="shared" si="13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6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IF(G245="color",IFERROR(VLOOKUP(B245,input_472013!L:R,7,FALSE),VLOOKUP(tables_472013!C245,input_472013!A:H,8,FALSE)),0)</f>
        <v>0</v>
      </c>
      <c r="P245" s="46">
        <f t="shared" ca="1" si="14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input_472013!A$2</f>
        <v>472013</v>
      </c>
      <c r="B246" s="60">
        <v>662</v>
      </c>
      <c r="C246" s="7" t="str">
        <f t="shared" si="13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6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IF(G246="color",IFERROR(VLOOKUP(B246,input_472013!L:R,7,FALSE),VLOOKUP(tables_472013!C246,input_472013!A:H,8,FALSE)),0)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input_472013!A$2</f>
        <v>472013</v>
      </c>
      <c r="B247" s="60">
        <v>663</v>
      </c>
      <c r="C247" s="7" t="str">
        <f t="shared" si="13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6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IF(G247="color",IFERROR(VLOOKUP(B247,input_472013!L:R,7,FALSE),VLOOKUP(tables_472013!C247,input_472013!A:H,8,FALSE)),0)</f>
        <v>0</v>
      </c>
      <c r="P247" s="46">
        <f t="shared" ca="1" si="14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input_472013!A$2</f>
        <v>472013</v>
      </c>
      <c r="B248" s="60">
        <v>664</v>
      </c>
      <c r="C248" s="7" t="str">
        <f t="shared" si="13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6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IF(G248="color",IFERROR(VLOOKUP(B248,input_472013!L:R,7,FALSE),VLOOKUP(tables_472013!C248,input_472013!A:H,8,FALSE)),0)</f>
        <v>0</v>
      </c>
      <c r="P248" s="46">
        <f t="shared" ca="1" si="14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input_472013!A$2</f>
        <v>472013</v>
      </c>
      <c r="B249" s="60">
        <v>665</v>
      </c>
      <c r="C249" s="7" t="str">
        <f t="shared" si="13"/>
        <v>Premium3color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6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IF(G249="color",IFERROR(VLOOKUP(B249,input_472013!L:R,7,FALSE),VLOOKUP(tables_472013!C249,input_472013!A:H,8,FALSE)),0)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input_472013!A$2</f>
        <v>472013</v>
      </c>
      <c r="B250" s="60">
        <v>666</v>
      </c>
      <c r="C250" s="7" t="str">
        <f t="shared" si="13"/>
        <v>Premium4color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6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IF(G250="color",IFERROR(VLOOKUP(B250,input_472013!L:R,7,FALSE),VLOOKUP(tables_472013!C250,input_472013!A:H,8,FALSE)),0)</f>
        <v>295342.30768999999</v>
      </c>
      <c r="P250" s="46">
        <f t="shared" ca="1" si="14"/>
        <v>3.9484265733904421E-2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input_472013!A$2</f>
        <v>472013</v>
      </c>
      <c r="B251" s="60">
        <v>667</v>
      </c>
      <c r="C251" s="7" t="str">
        <f t="shared" si="13"/>
        <v>Premium5color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6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IF(G251="color",IFERROR(VLOOKUP(B251,input_472013!L:R,7,FALSE),VLOOKUP(tables_472013!C251,input_472013!A:H,8,FALSE)),0)</f>
        <v>3800</v>
      </c>
      <c r="P251" s="46">
        <f t="shared" ca="1" si="14"/>
        <v>5.0802139037365223E-4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input_472013!A$2</f>
        <v>472013</v>
      </c>
      <c r="B252" s="60">
        <v>668</v>
      </c>
      <c r="C252" s="7" t="str">
        <f t="shared" si="13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6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IF(G252="color",IFERROR(VLOOKUP(B252,input_472013!L:R,7,FALSE),VLOOKUP(tables_472013!C252,input_472013!A:H,8,FALSE)),0)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input_472013!A$2</f>
        <v>472013</v>
      </c>
      <c r="B253" s="60">
        <v>669</v>
      </c>
      <c r="C253" s="7" t="str">
        <f t="shared" si="13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6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IF(G253="color",IFERROR(VLOOKUP(B253,input_472013!L:R,7,FALSE),VLOOKUP(tables_472013!C253,input_472013!A:H,8,FALSE)),0)</f>
        <v>0</v>
      </c>
      <c r="P253" s="46">
        <f t="shared" ca="1" si="14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input_472013!A$2</f>
        <v>472013</v>
      </c>
      <c r="B254" s="60">
        <v>670</v>
      </c>
      <c r="C254" s="7" t="str">
        <f t="shared" si="13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6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IF(G254="color",IFERROR(VLOOKUP(B254,input_472013!L:R,7,FALSE),VLOOKUP(tables_472013!C254,input_472013!A:H,8,FALSE)),0)</f>
        <v>0</v>
      </c>
      <c r="P254" s="46">
        <f t="shared" ca="1" si="14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input_472013!A$2</f>
        <v>472013</v>
      </c>
      <c r="B255" s="60">
        <v>671</v>
      </c>
      <c r="C255" s="7" t="str">
        <f t="shared" si="13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6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IF(G255="color",IFERROR(VLOOKUP(B255,input_472013!L:R,7,FALSE),VLOOKUP(tables_472013!C255,input_472013!A:H,8,FALSE)),0)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input_472013!A$2</f>
        <v>472013</v>
      </c>
      <c r="B256" s="60">
        <v>672</v>
      </c>
      <c r="C256" s="7" t="str">
        <f t="shared" si="13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6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IF(G256="color",IFERROR(VLOOKUP(B256,input_472013!L:R,7,FALSE),VLOOKUP(tables_472013!C256,input_472013!A:H,8,FALSE)),0)</f>
        <v>0</v>
      </c>
      <c r="P256" s="46">
        <f t="shared" ca="1" si="14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input_472013!A$2</f>
        <v>472013</v>
      </c>
      <c r="B257" s="60">
        <v>673</v>
      </c>
      <c r="C257" s="7" t="str">
        <f t="shared" si="13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6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IF(G257="color",IFERROR(VLOOKUP(B257,input_472013!L:R,7,FALSE),VLOOKUP(tables_472013!C257,input_472013!A:H,8,FALSE)),0)</f>
        <v>0</v>
      </c>
      <c r="P257" s="46">
        <f t="shared" ca="1" si="14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input_472013!A$2</f>
        <v>472013</v>
      </c>
      <c r="B258" s="60">
        <v>674</v>
      </c>
      <c r="C258" s="7" t="str">
        <f t="shared" ref="C258:C321" si="17">D258&amp;J258&amp;E258&amp;F258&amp;G258</f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6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IF(G258="color",IFERROR(VLOOKUP(B258,input_472013!L:R,7,FALSE),VLOOKUP(tables_472013!C258,input_472013!A:H,8,FALSE)),0)</f>
        <v>0</v>
      </c>
      <c r="P258" s="46">
        <f t="shared" ref="P258:P321" ca="1" si="18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input_472013!A$2</f>
        <v>472013</v>
      </c>
      <c r="B259" s="60">
        <v>675</v>
      </c>
      <c r="C259" s="7" t="str">
        <f t="shared" si="17"/>
        <v>PremiumSS5</v>
      </c>
      <c r="D259" s="7" t="str">
        <f t="shared" ref="D259:D322" si="1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20">IF(K259="yellow","color","")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IF(G259="color",IFERROR(VLOOKUP(B259,input_472013!L:R,7,FALSE),VLOOKUP(tables_472013!C259,input_472013!A:H,8,FALSE)),0)</f>
        <v>0</v>
      </c>
      <c r="P259" s="46">
        <f t="shared" ca="1" si="18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input_472013!A$2</f>
        <v>472013</v>
      </c>
      <c r="B260" s="60">
        <v>676</v>
      </c>
      <c r="C260" s="7" t="str">
        <f t="shared" si="17"/>
        <v>PremiumSS4color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20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IF(G260="color",IFERROR(VLOOKUP(B260,input_472013!L:R,7,FALSE),VLOOKUP(tables_472013!C260,input_472013!A:H,8,FALSE)),0)</f>
        <v>20900</v>
      </c>
      <c r="P260" s="46">
        <f t="shared" ca="1" si="18"/>
        <v>2.7941176470550875E-3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input_472013!A$2</f>
        <v>472013</v>
      </c>
      <c r="B261" s="60">
        <v>677</v>
      </c>
      <c r="C261" s="7" t="str">
        <f t="shared" si="17"/>
        <v>PremiumSS5color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20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IF(G261="color",IFERROR(VLOOKUP(B261,input_472013!L:R,7,FALSE),VLOOKUP(tables_472013!C261,input_472013!A:H,8,FALSE)),0)</f>
        <v>1100</v>
      </c>
      <c r="P261" s="46">
        <f t="shared" ca="1" si="18"/>
        <v>1.4705882352921513E-4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input_472013!A$2</f>
        <v>472013</v>
      </c>
      <c r="B262" s="60">
        <v>728</v>
      </c>
      <c r="C262" s="7" t="str">
        <f t="shared" si="17"/>
        <v>Premium4R3less</v>
      </c>
      <c r="D262" s="7" t="str">
        <f t="shared" si="1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20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IF(G262="color",IFERROR(VLOOKUP(B262,input_472013!L:R,7,FALSE),VLOOKUP(tables_472013!C262,input_472013!A:H,8,FALSE)),0)</f>
        <v>0</v>
      </c>
      <c r="P262" s="46">
        <f t="shared" ca="1" si="18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input_472013!A$2</f>
        <v>472013</v>
      </c>
      <c r="B263" s="60">
        <v>729</v>
      </c>
      <c r="C263" s="7" t="str">
        <f t="shared" si="17"/>
        <v>Premium5R3less</v>
      </c>
      <c r="D263" s="7" t="str">
        <f t="shared" si="1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20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IF(G263="color",IFERROR(VLOOKUP(B263,input_472013!L:R,7,FALSE),VLOOKUP(tables_472013!C263,input_472013!A:H,8,FALSE)),0)</f>
        <v>0</v>
      </c>
      <c r="P263" s="46">
        <f t="shared" ca="1" si="18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input_472013!A$2</f>
        <v>472013</v>
      </c>
      <c r="B264" s="60">
        <v>730</v>
      </c>
      <c r="C264" s="7" t="str">
        <f t="shared" si="17"/>
        <v>Premium4R3less</v>
      </c>
      <c r="D264" s="7" t="str">
        <f t="shared" si="1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20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IF(G264="color",IFERROR(VLOOKUP(B264,input_472013!L:R,7,FALSE),VLOOKUP(tables_472013!C264,input_472013!A:H,8,FALSE)),0)</f>
        <v>0</v>
      </c>
      <c r="P264" s="46">
        <f t="shared" ca="1" si="18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input_472013!A$2</f>
        <v>472013</v>
      </c>
      <c r="B265" s="60">
        <v>731</v>
      </c>
      <c r="C265" s="7" t="str">
        <f t="shared" si="17"/>
        <v>Premium5R3less</v>
      </c>
      <c r="D265" s="7" t="str">
        <f t="shared" si="1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20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IF(G265="color",IFERROR(VLOOKUP(B265,input_472013!L:R,7,FALSE),VLOOKUP(tables_472013!C265,input_472013!A:H,8,FALSE)),0)</f>
        <v>0</v>
      </c>
      <c r="P265" s="46">
        <f t="shared" ca="1" si="18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input_472013!A$2</f>
        <v>472013</v>
      </c>
      <c r="B266" s="60">
        <v>732</v>
      </c>
      <c r="C266" s="7" t="str">
        <f t="shared" si="17"/>
        <v>PremiumSS5R5only</v>
      </c>
      <c r="D266" s="7" t="str">
        <f t="shared" si="1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20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IF(G266="color",IFERROR(VLOOKUP(B266,input_472013!L:R,7,FALSE),VLOOKUP(tables_472013!C266,input_472013!A:H,8,FALSE)),0)</f>
        <v>0</v>
      </c>
      <c r="P266" s="46">
        <f t="shared" ca="1" si="18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input_472013!A$2</f>
        <v>472013</v>
      </c>
      <c r="B267" s="60">
        <v>734</v>
      </c>
      <c r="C267" s="7" t="str">
        <f t="shared" si="17"/>
        <v>PremiumSS5R5onlycolor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20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IF(G267="color",IFERROR(VLOOKUP(B267,input_472013!L:R,7,FALSE),VLOOKUP(tables_472013!C267,input_472013!A:H,8,FALSE)),0)</f>
        <v>22000</v>
      </c>
      <c r="P267" s="46">
        <f t="shared" ca="1" si="18"/>
        <v>2.9411764705843026E-3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input_472013!A$2</f>
        <v>472013</v>
      </c>
      <c r="B268" s="60">
        <v>742</v>
      </c>
      <c r="C268" s="7" t="str">
        <f t="shared" si="17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20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IF(G268="color",IFERROR(VLOOKUP(B268,input_472013!L:R,7,FALSE),VLOOKUP(tables_472013!C268,input_472013!A:H,8,FALSE)),0)</f>
        <v>0</v>
      </c>
      <c r="P268" s="46">
        <f t="shared" ca="1" si="18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input_472013!A$2</f>
        <v>472013</v>
      </c>
      <c r="B269" s="60">
        <v>744</v>
      </c>
      <c r="C269" s="7" t="str">
        <f t="shared" si="17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20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IF(G269="color",IFERROR(VLOOKUP(B269,input_472013!L:R,7,FALSE),VLOOKUP(tables_472013!C269,input_472013!A:H,8,FALSE)),0)</f>
        <v>0</v>
      </c>
      <c r="P269" s="46">
        <f t="shared" ca="1" si="18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input_472013!A$2</f>
        <v>472013</v>
      </c>
      <c r="B270" s="60">
        <v>746</v>
      </c>
      <c r="C270" s="7" t="str">
        <f t="shared" si="17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20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IF(G270="color",IFERROR(VLOOKUP(B270,input_472013!L:R,7,FALSE),VLOOKUP(tables_472013!C270,input_472013!A:H,8,FALSE)),0)</f>
        <v>0</v>
      </c>
      <c r="P270" s="46">
        <f t="shared" ca="1" si="18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input_472013!A$2</f>
        <v>472013</v>
      </c>
      <c r="B271" s="81">
        <v>747</v>
      </c>
      <c r="C271" s="7" t="str">
        <f t="shared" si="17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20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IF(G271="color",IFERROR(VLOOKUP(B271,input_472013!L:R,7,FALSE),VLOOKUP(tables_472013!C271,input_472013!A:H,8,FALSE)),0)</f>
        <v>0</v>
      </c>
      <c r="P271" s="46">
        <f t="shared" ca="1" si="18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input_472013!A$2</f>
        <v>472013</v>
      </c>
      <c r="B272" s="81">
        <v>748</v>
      </c>
      <c r="C272" s="7" t="str">
        <f t="shared" si="17"/>
        <v>Premium4R3lesscolor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20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IF(G272="color",IFERROR(VLOOKUP(B272,input_472013!L:R,7,FALSE),VLOOKUP(tables_472013!C272,input_472013!A:H,8,FALSE)),0)</f>
        <v>296083.33332999999</v>
      </c>
      <c r="P272" s="46">
        <f t="shared" ca="1" si="18"/>
        <v>3.9583333332834772E-2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input_472013!A$2</f>
        <v>472013</v>
      </c>
      <c r="B273" s="81">
        <v>749</v>
      </c>
      <c r="C273" s="7" t="str">
        <f t="shared" si="17"/>
        <v>Premium5R3lesscolor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20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IF(G273="color",IFERROR(VLOOKUP(B273,input_472013!L:R,7,FALSE),VLOOKUP(tables_472013!C273,input_472013!A:H,8,FALSE)),0)</f>
        <v>16150</v>
      </c>
      <c r="P273" s="46">
        <f t="shared" ca="1" si="18"/>
        <v>2.1590909090880221E-3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input_472013!A$2</f>
        <v>472013</v>
      </c>
      <c r="B274" s="81">
        <v>770</v>
      </c>
      <c r="C274" s="7" t="str">
        <f t="shared" si="17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20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IF(G274="color",IFERROR(VLOOKUP(B274,input_472013!L:R,7,FALSE),VLOOKUP(tables_472013!C274,input_472013!A:H,8,FALSE)),0)</f>
        <v>0</v>
      </c>
      <c r="P274" s="46">
        <f t="shared" ca="1" si="18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input_472013!A$2</f>
        <v>472013</v>
      </c>
      <c r="B275" s="81">
        <v>771</v>
      </c>
      <c r="C275" s="7" t="str">
        <f t="shared" si="17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20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IF(G275="color",IFERROR(VLOOKUP(B275,input_472013!L:R,7,FALSE),VLOOKUP(tables_472013!C275,input_472013!A:H,8,FALSE)),0)</f>
        <v>0</v>
      </c>
      <c r="P275" s="46">
        <f t="shared" ca="1" si="18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input_472013!A$2</f>
        <v>472013</v>
      </c>
      <c r="B276" s="81">
        <v>772</v>
      </c>
      <c r="C276" s="7" t="str">
        <f t="shared" si="17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20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IF(G276="color",IFERROR(VLOOKUP(B276,input_472013!L:R,7,FALSE),VLOOKUP(tables_472013!C276,input_472013!A:H,8,FALSE)),0)</f>
        <v>0</v>
      </c>
      <c r="P276" s="46">
        <f t="shared" ca="1" si="18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input_472013!A$2</f>
        <v>472013</v>
      </c>
      <c r="B277" s="81">
        <v>773</v>
      </c>
      <c r="C277" s="7" t="str">
        <f t="shared" si="17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20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IF(G277="color",IFERROR(VLOOKUP(B277,input_472013!L:R,7,FALSE),VLOOKUP(tables_472013!C277,input_472013!A:H,8,FALSE)),0)</f>
        <v>0</v>
      </c>
      <c r="P277" s="46">
        <f t="shared" ca="1" si="18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input_472013!A$2</f>
        <v>472013</v>
      </c>
      <c r="B278" s="81">
        <v>774</v>
      </c>
      <c r="C278" s="7" t="str">
        <f t="shared" si="17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20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IF(G278="color",IFERROR(VLOOKUP(B278,input_472013!L:R,7,FALSE),VLOOKUP(tables_472013!C278,input_472013!A:H,8,FALSE)),0)</f>
        <v>0</v>
      </c>
      <c r="P278" s="46">
        <f t="shared" ca="1" si="18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input_472013!A$2</f>
        <v>472013</v>
      </c>
      <c r="B279" s="81">
        <v>775</v>
      </c>
      <c r="C279" s="7" t="str">
        <f t="shared" si="17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20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IF(G279="color",IFERROR(VLOOKUP(B279,input_472013!L:R,7,FALSE),VLOOKUP(tables_472013!C279,input_472013!A:H,8,FALSE)),0)</f>
        <v>0</v>
      </c>
      <c r="P279" s="46">
        <f t="shared" ca="1" si="18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input_472013!A$2</f>
        <v>472013</v>
      </c>
      <c r="B280" s="81">
        <v>776</v>
      </c>
      <c r="C280" s="7" t="str">
        <f t="shared" si="17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20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IF(G280="color",IFERROR(VLOOKUP(B280,input_472013!L:R,7,FALSE),VLOOKUP(tables_472013!C280,input_472013!A:H,8,FALSE)),0)</f>
        <v>0</v>
      </c>
      <c r="P280" s="46">
        <f t="shared" ca="1" si="18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input_472013!A$2</f>
        <v>472013</v>
      </c>
      <c r="B281" s="81">
        <v>777</v>
      </c>
      <c r="C281" s="7" t="str">
        <f t="shared" si="17"/>
        <v>Premium3color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20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IF(G281="color",IFERROR(VLOOKUP(B281,input_472013!L:R,7,FALSE),VLOOKUP(tables_472013!C281,input_472013!A:H,8,FALSE)),0)</f>
        <v>0</v>
      </c>
      <c r="P281" s="46">
        <f t="shared" ca="1" si="18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input_472013!A$2</f>
        <v>472013</v>
      </c>
      <c r="B282" s="81">
        <v>778</v>
      </c>
      <c r="C282" s="7" t="str">
        <f t="shared" si="17"/>
        <v>Premium4color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20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IF(G282="color",IFERROR(VLOOKUP(B282,input_472013!L:R,7,FALSE),VLOOKUP(tables_472013!C282,input_472013!A:H,8,FALSE)),0)</f>
        <v>295342.30768999999</v>
      </c>
      <c r="P282" s="46">
        <f t="shared" ca="1" si="18"/>
        <v>3.9484265733904421E-2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input_472013!A$2</f>
        <v>472013</v>
      </c>
      <c r="B283" s="5">
        <v>779</v>
      </c>
      <c r="C283" s="7" t="str">
        <f t="shared" si="17"/>
        <v>Premium5color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20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IF(G283="color",IFERROR(VLOOKUP(B283,input_472013!L:R,7,FALSE),VLOOKUP(tables_472013!C283,input_472013!A:H,8,FALSE)),0)</f>
        <v>3800</v>
      </c>
      <c r="P283" s="46">
        <f t="shared" ca="1" si="18"/>
        <v>5.0802139037365223E-4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input_472013!A$2</f>
        <v>472013</v>
      </c>
      <c r="B284" s="5">
        <v>848</v>
      </c>
      <c r="C284" s="7" t="str">
        <f t="shared" si="17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20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IF(G284="color",IFERROR(VLOOKUP(B284,input_472013!L:R,7,FALSE),VLOOKUP(tables_472013!C284,input_472013!A:H,8,FALSE)),0)</f>
        <v>0</v>
      </c>
      <c r="P284" s="46">
        <f t="shared" ca="1" si="18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input_472013!A$2</f>
        <v>472013</v>
      </c>
      <c r="B285" s="5">
        <v>850</v>
      </c>
      <c r="C285" s="7" t="str">
        <f t="shared" si="17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20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IF(G285="color",IFERROR(VLOOKUP(B285,input_472013!L:R,7,FALSE),VLOOKUP(tables_472013!C285,input_472013!A:H,8,FALSE)),0)</f>
        <v>0</v>
      </c>
      <c r="P285" s="46">
        <f t="shared" ca="1" si="18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input_472013!A$2</f>
        <v>472013</v>
      </c>
      <c r="B286" s="5">
        <v>852</v>
      </c>
      <c r="C286" s="7" t="str">
        <f t="shared" si="17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20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IF(G286="color",IFERROR(VLOOKUP(B286,input_472013!L:R,7,FALSE),VLOOKUP(tables_472013!C286,input_472013!A:H,8,FALSE)),0)</f>
        <v>0</v>
      </c>
      <c r="P286" s="46">
        <f t="shared" ca="1" si="18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input_472013!A$2</f>
        <v>472013</v>
      </c>
      <c r="B287" s="5">
        <v>853</v>
      </c>
      <c r="C287" s="7" t="str">
        <f t="shared" si="17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20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IF(G287="color",IFERROR(VLOOKUP(B287,input_472013!L:R,7,FALSE),VLOOKUP(tables_472013!C287,input_472013!A:H,8,FALSE)),0)</f>
        <v>0</v>
      </c>
      <c r="P287" s="46">
        <f t="shared" ca="1" si="18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input_472013!A$2</f>
        <v>472013</v>
      </c>
      <c r="B288" s="5">
        <v>854</v>
      </c>
      <c r="C288" s="7" t="str">
        <f t="shared" si="17"/>
        <v>Premium4R3lesscolor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20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IF(G288="color",IFERROR(VLOOKUP(B288,input_472013!L:R,7,FALSE),VLOOKUP(tables_472013!C288,input_472013!A:H,8,FALSE)),0)</f>
        <v>296083.33332999999</v>
      </c>
      <c r="P288" s="46">
        <f t="shared" ca="1" si="18"/>
        <v>3.9583333332834772E-2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input_472013!A$2</f>
        <v>472013</v>
      </c>
      <c r="B289" s="5">
        <v>855</v>
      </c>
      <c r="C289" s="7" t="str">
        <f t="shared" si="17"/>
        <v>Premium5R3lesscolor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20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IF(G289="color",IFERROR(VLOOKUP(B289,input_472013!L:R,7,FALSE),VLOOKUP(tables_472013!C289,input_472013!A:H,8,FALSE)),0)</f>
        <v>16150</v>
      </c>
      <c r="P289" s="46">
        <f t="shared" ca="1" si="18"/>
        <v>2.1590909090880221E-3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input_472013!A$2</f>
        <v>472013</v>
      </c>
      <c r="B290" s="5">
        <v>862</v>
      </c>
      <c r="C290" s="7" t="str">
        <f t="shared" si="17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20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IF(G290="color",IFERROR(VLOOKUP(B290,input_472013!L:R,7,FALSE),VLOOKUP(tables_472013!C290,input_472013!A:H,8,FALSE)),0)</f>
        <v>0</v>
      </c>
      <c r="P290" s="46">
        <f t="shared" ca="1" si="18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input_472013!A$2</f>
        <v>472013</v>
      </c>
      <c r="B291" s="5">
        <v>863</v>
      </c>
      <c r="C291" s="7" t="str">
        <f t="shared" si="17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20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IF(G291="color",IFERROR(VLOOKUP(B291,input_472013!L:R,7,FALSE),VLOOKUP(tables_472013!C291,input_472013!A:H,8,FALSE)),0)</f>
        <v>0</v>
      </c>
      <c r="P291" s="46">
        <f t="shared" ca="1" si="18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input_472013!A$2</f>
        <v>472013</v>
      </c>
      <c r="B292" s="5">
        <v>864</v>
      </c>
      <c r="C292" s="7" t="str">
        <f t="shared" si="17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20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IF(G292="color",IFERROR(VLOOKUP(B292,input_472013!L:R,7,FALSE),VLOOKUP(tables_472013!C292,input_472013!A:H,8,FALSE)),0)</f>
        <v>0</v>
      </c>
      <c r="P292" s="46">
        <f t="shared" ca="1" si="18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input_472013!A$2</f>
        <v>472013</v>
      </c>
      <c r="B293" s="5">
        <v>865</v>
      </c>
      <c r="C293" s="7" t="str">
        <f t="shared" si="17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20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IF(G293="color",IFERROR(VLOOKUP(B293,input_472013!L:R,7,FALSE),VLOOKUP(tables_472013!C293,input_472013!A:H,8,FALSE)),0)</f>
        <v>0</v>
      </c>
      <c r="P293" s="46">
        <f t="shared" ca="1" si="18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input_472013!A$2</f>
        <v>472013</v>
      </c>
      <c r="B294" s="5">
        <v>866</v>
      </c>
      <c r="C294" s="7" t="str">
        <f t="shared" si="17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20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IF(G294="color",IFERROR(VLOOKUP(B294,input_472013!L:R,7,FALSE),VLOOKUP(tables_472013!C294,input_472013!A:H,8,FALSE)),0)</f>
        <v>0</v>
      </c>
      <c r="P294" s="46">
        <f t="shared" ca="1" si="18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input_472013!A$2</f>
        <v>472013</v>
      </c>
      <c r="B295" s="5">
        <v>868</v>
      </c>
      <c r="C295" s="7" t="str">
        <f t="shared" si="17"/>
        <v>PremiumSS5R5onlycolor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20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IF(G295="color",IFERROR(VLOOKUP(B295,input_472013!L:R,7,FALSE),VLOOKUP(tables_472013!C295,input_472013!A:H,8,FALSE)),0)</f>
        <v>22000</v>
      </c>
      <c r="P295" s="46">
        <f t="shared" ca="1" si="18"/>
        <v>2.9411764705843026E-3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input_472013!A$2</f>
        <v>472013</v>
      </c>
      <c r="B296" s="5">
        <v>937</v>
      </c>
      <c r="C296" s="7" t="str">
        <f t="shared" si="17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20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IF(G296="color",IFERROR(VLOOKUP(B296,input_472013!L:R,7,FALSE),VLOOKUP(tables_472013!C296,input_472013!A:H,8,FALSE)),0)</f>
        <v>0</v>
      </c>
      <c r="P296" s="46">
        <f t="shared" ca="1" si="18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input_472013!A$2</f>
        <v>472013</v>
      </c>
      <c r="B297" s="5">
        <v>939</v>
      </c>
      <c r="C297" s="7" t="str">
        <f t="shared" si="17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20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IF(G297="color",IFERROR(VLOOKUP(B297,input_472013!L:R,7,FALSE),VLOOKUP(tables_472013!C297,input_472013!A:H,8,FALSE)),0)</f>
        <v>0</v>
      </c>
      <c r="P297" s="46">
        <f t="shared" ca="1" si="18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input_472013!A$2</f>
        <v>472013</v>
      </c>
      <c r="B298" s="5">
        <v>940</v>
      </c>
      <c r="C298" s="7" t="str">
        <f t="shared" si="17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20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IF(G298="color",IFERROR(VLOOKUP(B298,input_472013!L:R,7,FALSE),VLOOKUP(tables_472013!C298,input_472013!A:H,8,FALSE)),0)</f>
        <v>0</v>
      </c>
      <c r="P298" s="46">
        <f t="shared" ca="1" si="18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input_472013!A$2</f>
        <v>472013</v>
      </c>
      <c r="B299" s="5">
        <v>941</v>
      </c>
      <c r="C299" s="7" t="str">
        <f t="shared" si="17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20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IF(G299="color",IFERROR(VLOOKUP(B299,input_472013!L:R,7,FALSE),VLOOKUP(tables_472013!C299,input_472013!A:H,8,FALSE)),0)</f>
        <v>0</v>
      </c>
      <c r="P299" s="46">
        <f t="shared" ca="1" si="18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input_472013!A$2</f>
        <v>472013</v>
      </c>
      <c r="B300" s="5">
        <v>943</v>
      </c>
      <c r="C300" s="7" t="str">
        <f t="shared" si="17"/>
        <v>PremiumSS5R5onlycolor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20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IF(G300="color",IFERROR(VLOOKUP(B300,input_472013!L:R,7,FALSE),VLOOKUP(tables_472013!C300,input_472013!A:H,8,FALSE)),0)</f>
        <v>22000</v>
      </c>
      <c r="P300" s="46">
        <f t="shared" ca="1" si="18"/>
        <v>2.9411764705843026E-3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input_472013!A$2</f>
        <v>472013</v>
      </c>
      <c r="B301" s="5">
        <v>1012</v>
      </c>
      <c r="C301" s="7" t="str">
        <f t="shared" si="17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20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IF(G301="color",IFERROR(VLOOKUP(B301,input_472013!L:R,7,FALSE),VLOOKUP(tables_472013!C301,input_472013!A:H,8,FALSE)),0)</f>
        <v>0</v>
      </c>
      <c r="P301" s="46">
        <f t="shared" ca="1" si="18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input_472013!A$2</f>
        <v>472013</v>
      </c>
      <c r="B302" s="5">
        <v>1014</v>
      </c>
      <c r="C302" s="7" t="str">
        <f t="shared" si="17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20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IF(G302="color",IFERROR(VLOOKUP(B302,input_472013!L:R,7,FALSE),VLOOKUP(tables_472013!C302,input_472013!A:H,8,FALSE)),0)</f>
        <v>0</v>
      </c>
      <c r="P302" s="46">
        <f t="shared" ca="1" si="18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input_472013!A$2</f>
        <v>472013</v>
      </c>
      <c r="B303" s="5">
        <v>1016</v>
      </c>
      <c r="C303" s="7" t="str">
        <f t="shared" si="17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20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IF(G303="color",IFERROR(VLOOKUP(B303,input_472013!L:R,7,FALSE),VLOOKUP(tables_472013!C303,input_472013!A:H,8,FALSE)),0)</f>
        <v>0</v>
      </c>
      <c r="P303" s="46">
        <f t="shared" ca="1" si="18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input_472013!A$2</f>
        <v>472013</v>
      </c>
      <c r="B304" s="5">
        <v>1017</v>
      </c>
      <c r="C304" s="7" t="str">
        <f t="shared" si="17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20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IF(G304="color",IFERROR(VLOOKUP(B304,input_472013!L:R,7,FALSE),VLOOKUP(tables_472013!C304,input_472013!A:H,8,FALSE)),0)</f>
        <v>0</v>
      </c>
      <c r="P304" s="46">
        <f t="shared" ca="1" si="18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input_472013!A$2</f>
        <v>472013</v>
      </c>
      <c r="B305" s="5">
        <v>1018</v>
      </c>
      <c r="C305" s="7" t="str">
        <f t="shared" si="17"/>
        <v>PremiumSS5R5onlycolor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20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IF(G305="color",IFERROR(VLOOKUP(B305,input_472013!L:R,7,FALSE),VLOOKUP(tables_472013!C305,input_472013!A:H,8,FALSE)),0)</f>
        <v>22000</v>
      </c>
      <c r="P305" s="46">
        <f t="shared" ca="1" si="18"/>
        <v>2.9411764705843026E-3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input_472013!A$2</f>
        <v>472013</v>
      </c>
      <c r="B306" s="5">
        <v>1026</v>
      </c>
      <c r="C306" s="7" t="str">
        <f t="shared" si="17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20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IF(G306="color",IFERROR(VLOOKUP(B306,input_472013!L:R,7,FALSE),VLOOKUP(tables_472013!C306,input_472013!A:H,8,FALSE)),0)</f>
        <v>0</v>
      </c>
      <c r="P306" s="46">
        <f t="shared" ca="1" si="18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input_472013!A$2</f>
        <v>472013</v>
      </c>
      <c r="B307" s="5">
        <v>1027</v>
      </c>
      <c r="C307" s="7" t="str">
        <f t="shared" si="17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20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IF(G307="color",IFERROR(VLOOKUP(B307,input_472013!L:R,7,FALSE),VLOOKUP(tables_472013!C307,input_472013!A:H,8,FALSE)),0)</f>
        <v>0</v>
      </c>
      <c r="P307" s="46">
        <f t="shared" ca="1" si="18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input_472013!A$2</f>
        <v>472013</v>
      </c>
      <c r="B308" s="5">
        <v>1028</v>
      </c>
      <c r="C308" s="7" t="str">
        <f t="shared" si="17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0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IF(G308="color",IFERROR(VLOOKUP(B308,input_472013!L:R,7,FALSE),VLOOKUP(tables_472013!C308,input_472013!A:H,8,FALSE)),0)</f>
        <v>0</v>
      </c>
      <c r="P308" s="46">
        <f t="shared" ca="1" si="18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input_472013!A$2</f>
        <v>472013</v>
      </c>
      <c r="B309" s="5">
        <v>1031</v>
      </c>
      <c r="C309" s="7" t="str">
        <f t="shared" si="17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20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IF(G309="color",IFERROR(VLOOKUP(B309,input_472013!L:R,7,FALSE),VLOOKUP(tables_472013!C309,input_472013!A:H,8,FALSE)),0)</f>
        <v>0</v>
      </c>
      <c r="P309" s="46">
        <f t="shared" ca="1" si="18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input_472013!A$2</f>
        <v>472013</v>
      </c>
      <c r="B310" s="5">
        <v>1033</v>
      </c>
      <c r="C310" s="7" t="str">
        <f t="shared" si="17"/>
        <v>PremiumSS5R5onlycolor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20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IF(G310="color",IFERROR(VLOOKUP(B310,input_472013!L:R,7,FALSE),VLOOKUP(tables_472013!C310,input_472013!A:H,8,FALSE)),0)</f>
        <v>22000</v>
      </c>
      <c r="P310" s="46">
        <f t="shared" ca="1" si="18"/>
        <v>2.9411764705843026E-3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input_472013!A$2</f>
        <v>472013</v>
      </c>
      <c r="B311" s="5">
        <v>1067</v>
      </c>
      <c r="C311" s="7" t="str">
        <f t="shared" si="17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20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IF(G311="color",IFERROR(VLOOKUP(B311,input_472013!L:R,7,FALSE),VLOOKUP(tables_472013!C311,input_472013!A:H,8,FALSE)),0)</f>
        <v>0</v>
      </c>
      <c r="P311" s="46">
        <f t="shared" ca="1" si="18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input_472013!A$2</f>
        <v>472013</v>
      </c>
      <c r="B312" s="5">
        <v>1068</v>
      </c>
      <c r="C312" s="7" t="str">
        <f t="shared" si="17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20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IF(G312="color",IFERROR(VLOOKUP(B312,input_472013!L:R,7,FALSE),VLOOKUP(tables_472013!C312,input_472013!A:H,8,FALSE)),0)</f>
        <v>0</v>
      </c>
      <c r="P312" s="46">
        <f t="shared" ca="1" si="18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input_472013!A$2</f>
        <v>472013</v>
      </c>
      <c r="B313" s="5">
        <v>1069</v>
      </c>
      <c r="C313" s="7" t="str">
        <f t="shared" si="17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20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IF(G313="color",IFERROR(VLOOKUP(B313,input_472013!L:R,7,FALSE),VLOOKUP(tables_472013!C313,input_472013!A:H,8,FALSE)),0)</f>
        <v>0</v>
      </c>
      <c r="P313" s="46">
        <f t="shared" ca="1" si="18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input_472013!A$2</f>
        <v>472013</v>
      </c>
      <c r="B314" s="5">
        <v>1072</v>
      </c>
      <c r="C314" s="7" t="str">
        <f t="shared" si="17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20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IF(G314="color",IFERROR(VLOOKUP(B314,input_472013!L:R,7,FALSE),VLOOKUP(tables_472013!C314,input_472013!A:H,8,FALSE)),0)</f>
        <v>0</v>
      </c>
      <c r="P314" s="46">
        <f t="shared" ca="1" si="18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input_472013!A$2</f>
        <v>472013</v>
      </c>
      <c r="B315" s="5">
        <v>1074</v>
      </c>
      <c r="C315" s="7" t="str">
        <f t="shared" si="17"/>
        <v>PremiumSS5R5onlycolor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20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IF(G315="color",IFERROR(VLOOKUP(B315,input_472013!L:R,7,FALSE),VLOOKUP(tables_472013!C315,input_472013!A:H,8,FALSE)),0)</f>
        <v>22000</v>
      </c>
      <c r="P315" s="46">
        <f t="shared" ca="1" si="18"/>
        <v>2.9411764705843026E-3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input_472013!A$2</f>
        <v>472013</v>
      </c>
      <c r="B316" s="5">
        <v>1100</v>
      </c>
      <c r="C316" s="7" t="str">
        <f t="shared" si="17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20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IF(G316="color",IFERROR(VLOOKUP(B316,input_472013!L:R,7,FALSE),VLOOKUP(tables_472013!C316,input_472013!A:H,8,FALSE)),0)</f>
        <v>0</v>
      </c>
      <c r="P316" s="46">
        <f t="shared" ca="1" si="18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input_472013!A$2</f>
        <v>472013</v>
      </c>
      <c r="B317" s="5">
        <v>1102</v>
      </c>
      <c r="C317" s="7" t="str">
        <f t="shared" si="17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20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IF(G317="color",IFERROR(VLOOKUP(B317,input_472013!L:R,7,FALSE),VLOOKUP(tables_472013!C317,input_472013!A:H,8,FALSE)),0)</f>
        <v>0</v>
      </c>
      <c r="P317" s="46">
        <f t="shared" ca="1" si="18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input_472013!A$2</f>
        <v>472013</v>
      </c>
      <c r="B318" s="5">
        <v>1104</v>
      </c>
      <c r="C318" s="7" t="str">
        <f t="shared" si="17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20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IF(G318="color",IFERROR(VLOOKUP(B318,input_472013!L:R,7,FALSE),VLOOKUP(tables_472013!C318,input_472013!A:H,8,FALSE)),0)</f>
        <v>0</v>
      </c>
      <c r="P318" s="46">
        <f t="shared" ca="1" si="18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input_472013!A$2</f>
        <v>472013</v>
      </c>
      <c r="B319" s="5">
        <v>1105</v>
      </c>
      <c r="C319" s="7" t="str">
        <f t="shared" si="17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20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IF(G319="color",IFERROR(VLOOKUP(B319,input_472013!L:R,7,FALSE),VLOOKUP(tables_472013!C319,input_472013!A:H,8,FALSE)),0)</f>
        <v>0</v>
      </c>
      <c r="P319" s="46">
        <f t="shared" ca="1" si="18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input_472013!A$2</f>
        <v>472013</v>
      </c>
      <c r="B320" s="5">
        <v>1106</v>
      </c>
      <c r="C320" s="7" t="str">
        <f t="shared" si="17"/>
        <v>PremiumSS5R5onlycolor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20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IF(G320="color",IFERROR(VLOOKUP(B320,input_472013!L:R,7,FALSE),VLOOKUP(tables_472013!C320,input_472013!A:H,8,FALSE)),0)</f>
        <v>22000</v>
      </c>
      <c r="P320" s="46">
        <f t="shared" ca="1" si="18"/>
        <v>2.9411764705843026E-3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input_472013!A$2</f>
        <v>472013</v>
      </c>
      <c r="B321" s="5">
        <v>1137</v>
      </c>
      <c r="C321" s="7" t="str">
        <f t="shared" si="17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20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IF(G321="color",IFERROR(VLOOKUP(B321,input_472013!L:R,7,FALSE),VLOOKUP(tables_472013!C321,input_472013!A:H,8,FALSE)),0)</f>
        <v>0</v>
      </c>
      <c r="P321" s="46">
        <f t="shared" ca="1" si="18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input_472013!A$2</f>
        <v>472013</v>
      </c>
      <c r="B322" s="5">
        <v>1139</v>
      </c>
      <c r="C322" s="7" t="str">
        <f t="shared" ref="C322:C340" si="21">D322&amp;J322&amp;E322&amp;F322&amp;G322</f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20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IF(G322="color",IFERROR(VLOOKUP(B322,input_472013!L:R,7,FALSE),VLOOKUP(tables_472013!C322,input_472013!A:H,8,FALSE)),0)</f>
        <v>0</v>
      </c>
      <c r="P322" s="46">
        <f t="shared" ref="P322:P340" ca="1" si="22">O322/SUM(O:O)</f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input_472013!A$2</f>
        <v>472013</v>
      </c>
      <c r="B323" s="5">
        <v>1141</v>
      </c>
      <c r="C323" s="7" t="str">
        <f t="shared" si="21"/>
        <v>PremiumSS5R5only</v>
      </c>
      <c r="D323" s="7" t="str">
        <f t="shared" ref="D323:D340" si="2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24">IF(K323="yellow","color","")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IF(G323="color",IFERROR(VLOOKUP(B323,input_472013!L:R,7,FALSE),VLOOKUP(tables_472013!C323,input_472013!A:H,8,FALSE)),0)</f>
        <v>0</v>
      </c>
      <c r="P323" s="46">
        <f t="shared" ca="1" si="22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input_472013!A$2</f>
        <v>472013</v>
      </c>
      <c r="B324" s="2">
        <v>1143</v>
      </c>
      <c r="C324" s="7" t="str">
        <f t="shared" si="21"/>
        <v>Premium4R3lesscolor</v>
      </c>
      <c r="D324" s="7" t="str">
        <f t="shared" si="2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4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IF(G324="color",IFERROR(VLOOKUP(B324,input_472013!L:R,7,FALSE),VLOOKUP(tables_472013!C324,input_472013!A:H,8,FALSE)),0)</f>
        <v>296083.33332999999</v>
      </c>
      <c r="P324" s="46">
        <f t="shared" ca="1" si="22"/>
        <v>3.9583333332834772E-2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input_472013!A$2</f>
        <v>472013</v>
      </c>
      <c r="B325" s="2">
        <v>1144</v>
      </c>
      <c r="C325" s="7" t="str">
        <f t="shared" si="21"/>
        <v>Premium5R3lesscolor</v>
      </c>
      <c r="D325" s="7" t="str">
        <f t="shared" si="2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4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IF(G325="color",IFERROR(VLOOKUP(B325,input_472013!L:R,7,FALSE),VLOOKUP(tables_472013!C325,input_472013!A:H,8,FALSE)),0)</f>
        <v>16150</v>
      </c>
      <c r="P325" s="46">
        <f t="shared" ca="1" si="22"/>
        <v>2.1590909090880221E-3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input_472013!A$2</f>
        <v>472013</v>
      </c>
      <c r="B326" s="2">
        <v>1151</v>
      </c>
      <c r="C326" s="7" t="str">
        <f t="shared" si="21"/>
        <v>Premium4R3less</v>
      </c>
      <c r="D326" s="7" t="str">
        <f t="shared" si="2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4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IF(G326="color",IFERROR(VLOOKUP(B326,input_472013!L:R,7,FALSE),VLOOKUP(tables_472013!C326,input_472013!A:H,8,FALSE)),0)</f>
        <v>0</v>
      </c>
      <c r="P326" s="46">
        <f t="shared" ca="1" si="22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input_472013!A$2</f>
        <v>472013</v>
      </c>
      <c r="B327" s="2">
        <v>1152</v>
      </c>
      <c r="C327" s="7" t="str">
        <f t="shared" si="21"/>
        <v>Premium5R3less</v>
      </c>
      <c r="D327" s="7" t="str">
        <f t="shared" si="2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4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IF(G327="color",IFERROR(VLOOKUP(B327,input_472013!L:R,7,FALSE),VLOOKUP(tables_472013!C327,input_472013!A:H,8,FALSE)),0)</f>
        <v>0</v>
      </c>
      <c r="P327" s="46">
        <f t="shared" ca="1" si="22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input_472013!A$2</f>
        <v>472013</v>
      </c>
      <c r="B328" s="2">
        <v>1153</v>
      </c>
      <c r="C328" s="7" t="str">
        <f t="shared" si="21"/>
        <v>PremiumSS5R5only</v>
      </c>
      <c r="D328" s="7" t="str">
        <f t="shared" si="2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4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IF(G328="color",IFERROR(VLOOKUP(B328,input_472013!L:R,7,FALSE),VLOOKUP(tables_472013!C328,input_472013!A:H,8,FALSE)),0)</f>
        <v>0</v>
      </c>
      <c r="P328" s="46">
        <f t="shared" ca="1" si="22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input_472013!A$2</f>
        <v>472013</v>
      </c>
      <c r="B329" s="2">
        <v>1155</v>
      </c>
      <c r="C329" s="7" t="str">
        <f t="shared" si="21"/>
        <v>PremiumSS5R5only</v>
      </c>
      <c r="D329" s="7" t="str">
        <f t="shared" si="2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4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IF(G329="color",IFERROR(VLOOKUP(B329,input_472013!L:R,7,FALSE),VLOOKUP(tables_472013!C329,input_472013!A:H,8,FALSE)),0)</f>
        <v>0</v>
      </c>
      <c r="P329" s="46">
        <f t="shared" ca="1" si="22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input_472013!A$2</f>
        <v>472013</v>
      </c>
      <c r="B330" s="2">
        <v>1157</v>
      </c>
      <c r="C330" s="7" t="str">
        <f t="shared" si="21"/>
        <v>PremiumSS5R5onlycolor</v>
      </c>
      <c r="D330" s="96" t="str">
        <f t="shared" si="2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4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IF(G330="color",IFERROR(VLOOKUP(B330,input_472013!L:R,7,FALSE),VLOOKUP(tables_472013!C330,input_472013!A:H,8,FALSE)),0)</f>
        <v>22000</v>
      </c>
      <c r="P330" s="46">
        <f t="shared" ca="1" si="22"/>
        <v>2.9411764705843026E-3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input_472013!A$2</f>
        <v>472013</v>
      </c>
      <c r="B331" s="60">
        <v>1214</v>
      </c>
      <c r="C331" s="7" t="str">
        <f t="shared" si="21"/>
        <v>PremiumSS5R5onlycolor</v>
      </c>
      <c r="D331" s="96" t="str">
        <f t="shared" si="23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4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IF(G331="color",IFERROR(VLOOKUP(B331,input_472013!L:R,7,FALSE),VLOOKUP(tables_472013!C331,input_472013!A:H,8,FALSE)),0)</f>
        <v>22000</v>
      </c>
      <c r="P331" s="46">
        <f t="shared" ca="1" si="22"/>
        <v>2.9411764705843026E-3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input_472013!A$2</f>
        <v>472013</v>
      </c>
      <c r="B332" s="60">
        <v>1212</v>
      </c>
      <c r="C332" s="7" t="str">
        <f t="shared" si="21"/>
        <v>PremiumSS5R5only</v>
      </c>
      <c r="D332" s="96" t="str">
        <f t="shared" si="2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4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IF(G332="color",IFERROR(VLOOKUP(B332,input_472013!L:R,7,FALSE),VLOOKUP(tables_472013!C332,input_472013!A:H,8,FALSE)),0)</f>
        <v>0</v>
      </c>
      <c r="P332" s="46">
        <f t="shared" ca="1" si="22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input_472013!A$2</f>
        <v>472013</v>
      </c>
      <c r="B333" s="60">
        <v>1208</v>
      </c>
      <c r="C333" s="7" t="str">
        <f t="shared" si="21"/>
        <v>PremiumSS5R5only</v>
      </c>
      <c r="D333" s="96" t="str">
        <f t="shared" si="2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4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IF(G333="color",IFERROR(VLOOKUP(B333,input_472013!L:R,7,FALSE),VLOOKUP(tables_472013!C333,input_472013!A:H,8,FALSE)),0)</f>
        <v>0</v>
      </c>
      <c r="P333" s="46">
        <f t="shared" ca="1" si="22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input_472013!A$2</f>
        <v>472013</v>
      </c>
      <c r="B334" s="93">
        <v>1210</v>
      </c>
      <c r="C334" s="7" t="str">
        <f t="shared" si="21"/>
        <v>Premium4R3less</v>
      </c>
      <c r="D334" s="96" t="str">
        <f t="shared" si="2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4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IF(G334="color",IFERROR(VLOOKUP(B334,input_472013!L:R,7,FALSE),VLOOKUP(tables_472013!C334,input_472013!A:H,8,FALSE)),0)</f>
        <v>0</v>
      </c>
      <c r="P334" s="46">
        <f t="shared" ca="1" si="22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input_472013!A$2</f>
        <v>472013</v>
      </c>
      <c r="B335" s="60">
        <v>1211</v>
      </c>
      <c r="C335" s="7" t="str">
        <f t="shared" si="21"/>
        <v>Premium5R3less</v>
      </c>
      <c r="D335" s="96" t="str">
        <f t="shared" si="2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4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IF(G335="color",IFERROR(VLOOKUP(B335,input_472013!L:R,7,FALSE),VLOOKUP(tables_472013!C335,input_472013!A:H,8,FALSE)),0)</f>
        <v>0</v>
      </c>
      <c r="P335" s="46">
        <f t="shared" ca="1" si="22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input_472013!A$2</f>
        <v>472013</v>
      </c>
      <c r="B336" s="2">
        <v>1224</v>
      </c>
      <c r="C336" s="7" t="str">
        <f t="shared" si="21"/>
        <v>Premium4R3less</v>
      </c>
      <c r="D336" s="96" t="str">
        <f t="shared" si="23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4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IF(G336="color",IFERROR(VLOOKUP(B336,input_472013!L:R,7,FALSE),VLOOKUP(tables_472013!C336,input_472013!A:H,8,FALSE)),0)</f>
        <v>0</v>
      </c>
      <c r="P336" s="46">
        <f t="shared" ca="1" si="22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input_472013!A$2</f>
        <v>472013</v>
      </c>
      <c r="B337" s="2">
        <v>1225</v>
      </c>
      <c r="C337" s="7" t="str">
        <f t="shared" si="21"/>
        <v>Premium5R3less</v>
      </c>
      <c r="D337" s="96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4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IF(G337="color",IFERROR(VLOOKUP(B337,input_472013!L:R,7,FALSE),VLOOKUP(tables_472013!C337,input_472013!A:H,8,FALSE)),0)</f>
        <v>0</v>
      </c>
      <c r="P337" s="46">
        <f t="shared" ca="1" si="22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input_472013!A$2</f>
        <v>472013</v>
      </c>
      <c r="B338" s="2">
        <v>1226</v>
      </c>
      <c r="C338" s="7" t="str">
        <f t="shared" si="21"/>
        <v>PremiumSS5R5only</v>
      </c>
      <c r="D338" s="96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4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IF(G338="color",IFERROR(VLOOKUP(B338,input_472013!L:R,7,FALSE),VLOOKUP(tables_472013!C338,input_472013!A:H,8,FALSE)),0)</f>
        <v>0</v>
      </c>
      <c r="P338" s="46">
        <f t="shared" ca="1" si="22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input_472013!A$2</f>
        <v>472013</v>
      </c>
      <c r="B339" s="2">
        <v>1228</v>
      </c>
      <c r="C339" s="7" t="str">
        <f t="shared" si="21"/>
        <v>PremiumSS5R5only</v>
      </c>
      <c r="D339" s="96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4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IF(G339="color",IFERROR(VLOOKUP(B339,input_472013!L:R,7,FALSE),VLOOKUP(tables_472013!C339,input_472013!A:H,8,FALSE)),0)</f>
        <v>0</v>
      </c>
      <c r="P339" s="46">
        <f t="shared" ca="1" si="22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input_472013!A$2</f>
        <v>472013</v>
      </c>
      <c r="B340" s="2">
        <v>1230</v>
      </c>
      <c r="C340" s="7" t="str">
        <f t="shared" si="21"/>
        <v>PremiumSS5R5onlycolor</v>
      </c>
      <c r="D340" s="96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4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IF(G340="color",IFERROR(VLOOKUP(B340,input_472013!L:R,7,FALSE),VLOOKUP(tables_472013!C340,input_472013!A:H,8,FALSE)),0)</f>
        <v>22000</v>
      </c>
      <c r="P340" s="46">
        <f t="shared" ca="1" si="22"/>
        <v>2.9411764705843026E-3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確率の考え方</vt:lpstr>
      <vt:lpstr>Sheet1</vt:lpstr>
      <vt:lpstr>output</vt:lpstr>
      <vt:lpstr>input_472010</vt:lpstr>
      <vt:lpstr>tables_472010</vt:lpstr>
      <vt:lpstr>input_472011</vt:lpstr>
      <vt:lpstr>tables_472011</vt:lpstr>
      <vt:lpstr>input_472012</vt:lpstr>
      <vt:lpstr>tables_472012</vt:lpstr>
      <vt:lpstr>input_472013</vt:lpstr>
      <vt:lpstr>tables_472013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2016-11-24T07:32:39Z</dcterms:modified>
</cp:coreProperties>
</file>