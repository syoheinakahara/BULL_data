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2960" yWindow="460" windowWidth="35440" windowHeight="195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stage_hints_complete!$B$1:$L$2</definedName>
    <definedName name="_xlnm._FilterDatabase" localSheetId="9" hidden="1">stage_hints_failure!$B$1:$M$1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1" l="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AB11" i="1"/>
  <c r="AB6" i="1"/>
  <c r="AD16" i="1"/>
  <c r="AG16" i="1"/>
  <c r="AE16" i="1"/>
  <c r="AC16" i="1"/>
  <c r="E6" i="9"/>
  <c r="V16" i="1"/>
  <c r="Q16" i="1"/>
  <c r="P16" i="1"/>
  <c r="O16" i="1"/>
  <c r="N16" i="1"/>
  <c r="M16" i="1"/>
  <c r="H16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16" i="1"/>
  <c r="I16" i="1"/>
  <c r="D16" i="1"/>
  <c r="F16" i="1"/>
  <c r="E16" i="1"/>
  <c r="A16" i="1"/>
  <c r="AB15" i="1"/>
  <c r="AD15" i="1"/>
  <c r="AG15" i="1"/>
  <c r="AE15" i="1"/>
  <c r="AC15" i="1"/>
  <c r="AA15" i="1"/>
  <c r="E10" i="9"/>
  <c r="E5" i="9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E7" i="9"/>
  <c r="E4" i="9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E3" i="9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E2" i="9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H13" i="2"/>
  <c r="E13" i="2"/>
  <c r="D13" i="2"/>
  <c r="H2" i="1"/>
  <c r="H3" i="1"/>
  <c r="H4" i="1"/>
  <c r="H5" i="1"/>
  <c r="H6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V4" i="1"/>
  <c r="V5" i="1"/>
  <c r="V2" i="1"/>
  <c r="J5" i="11"/>
  <c r="J10" i="11"/>
  <c r="O10" i="9"/>
  <c r="N10" i="9"/>
  <c r="M10" i="9"/>
  <c r="L10" i="9"/>
  <c r="K10" i="9"/>
  <c r="J10" i="9"/>
  <c r="I10" i="9"/>
  <c r="H10" i="9"/>
  <c r="G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4" i="11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D7" i="9"/>
  <c r="A7" i="9"/>
  <c r="J6" i="11"/>
  <c r="O6" i="9"/>
  <c r="N6" i="9"/>
  <c r="M6" i="9"/>
  <c r="L6" i="9"/>
  <c r="K6" i="9"/>
  <c r="J6" i="9"/>
  <c r="I6" i="9"/>
  <c r="H6" i="9"/>
  <c r="G6" i="9"/>
  <c r="D6" i="9"/>
  <c r="A6" i="9"/>
  <c r="J3" i="11"/>
  <c r="O5" i="9"/>
  <c r="N5" i="9"/>
  <c r="M5" i="9"/>
  <c r="L5" i="9"/>
  <c r="K5" i="9"/>
  <c r="J5" i="9"/>
  <c r="I5" i="9"/>
  <c r="H5" i="9"/>
  <c r="G5" i="9"/>
  <c r="D5" i="9"/>
  <c r="A5" i="9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G3" i="9"/>
  <c r="D3" i="9"/>
  <c r="A3" i="9"/>
  <c r="J2" i="11"/>
  <c r="O2" i="9"/>
  <c r="N2" i="9"/>
  <c r="M2" i="9"/>
  <c r="L2" i="9"/>
  <c r="K2" i="9"/>
  <c r="J2" i="9"/>
  <c r="I2" i="9"/>
  <c r="H2" i="9"/>
  <c r="G2" i="9"/>
  <c r="D2" i="9"/>
  <c r="A2" i="9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B4" i="1"/>
  <c r="AD4" i="1"/>
  <c r="AG4" i="1"/>
  <c r="AE4" i="1"/>
  <c r="AC4" i="1"/>
  <c r="AA4" i="1"/>
  <c r="Q4" i="1"/>
  <c r="P4" i="1"/>
  <c r="O4" i="1"/>
  <c r="N4" i="1"/>
  <c r="M4" i="1"/>
  <c r="J4" i="1"/>
  <c r="I4" i="1"/>
  <c r="D4" i="1"/>
  <c r="F4" i="1"/>
  <c r="E4" i="1"/>
  <c r="A4" i="1"/>
  <c r="H5" i="2"/>
  <c r="E5" i="2"/>
  <c r="D5" i="2"/>
  <c r="B5" i="2"/>
  <c r="H4" i="2"/>
  <c r="E4" i="2"/>
  <c r="D4" i="2"/>
  <c r="B4" i="2"/>
  <c r="H3" i="2"/>
  <c r="E3" i="2"/>
  <c r="D3" i="2"/>
  <c r="B3" i="2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AA5" i="1"/>
  <c r="Q5" i="1"/>
  <c r="P5" i="1"/>
  <c r="O5" i="1"/>
  <c r="N5" i="1"/>
  <c r="M5" i="1"/>
  <c r="J5" i="1"/>
  <c r="I5" i="1"/>
  <c r="D5" i="1"/>
  <c r="F5" i="1"/>
  <c r="E5" i="1"/>
  <c r="A5" i="1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E12" i="16"/>
  <c r="E11" i="16"/>
  <c r="B2" i="19"/>
  <c r="G2" i="19"/>
  <c r="F2" i="19"/>
  <c r="D2" i="19"/>
  <c r="C2" i="19"/>
  <c r="E10" i="16"/>
  <c r="Y2" i="7"/>
  <c r="E9" i="16"/>
  <c r="X2" i="7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V3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<sst xmlns="http://schemas.openxmlformats.org/spreadsheetml/2006/main" count="851" uniqueCount="262">
  <si>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</si>
  <si>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</si>
  <si>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</si>
  <si>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</si>
  <si>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</si>
  <si>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</si>
  <si>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</si>
  <si>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</si>
  <si>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</si>
  <si>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</si>
  <si>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</si>
  <si>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</si>
  <si>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</si>
  <si>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</si>
  <si>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</si>
  <si>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</si>
  <si>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</si>
  <si>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</si>
  <si>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</si>
  <si>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</si>
  <si>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</si>
  <si>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</si>
  <si>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</si>
  <si>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</si>
  <si>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</si>
  <si>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</si>
  <si>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</si>
  <si>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</si>
  <si>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</si>
  <si>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</si>
  <si>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</si>
  <si>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</si>
  <si>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</si>
  <si>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</si>
  <si>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</si>
  <si>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</si>
  <si>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</si>
  <si>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</si>
  <si>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</si>
  <si>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</si>
  <si>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</si>
  <si>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</si>
  <si>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</si>
  <si>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</si>
  <si>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</si>
  <si>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</si>
  <si>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</si>
  <si>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</si>
  <si>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</si>
  <si>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</si>
  <si>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</si>
  <si>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</si>
  <si>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</si>
  <si>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</si>
  <si>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</si>
  <si>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</si>
  <si>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</si>
  <si>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</si>
  <si>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</si>
  <si>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</si>
  <si>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</si>
  <si>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</si>
  <si>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</si>
  <si>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</si>
  <si>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</si>
  <si>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</si>
  <si>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</si>
  <si>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</si>
  <si>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</si>
  <si>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</si>
  <si>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</si>
  <si>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</si>
  <si>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</si>
  <si>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</si>
  <si>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</si>
  <si>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</si>
  <si>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</si>
  <si>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</si>
  <si>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</si>
  <si>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</si>
  <si>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</si>
  <si>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</si>
  <si>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</si>
  <si>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</si>
  <si>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</si>
  <si>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</si>
  <si>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</si>
  <si>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</si>
  <si>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</si>
  <si>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</si>
  <si>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</si>
  <si>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</si>
  <si>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</si>
  <si>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</si>
  <si>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</si>
  <si>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</si>
  <si>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</si>
  <si>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</si>
  <si>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</si>
  <si>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</si>
  <si>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</si>
  <si>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</si>
  <si>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</si>
  <si>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</si>
  <si>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</si>
  <si>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</si>
  <si>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</si>
  <si>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</si>
  <si>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</si>
  <si>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</si>
  <si>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</si>
  <si>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</si>
  <si>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</si>
  <si>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</si>
  <si>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</si>
  <si>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</si>
  <si>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</si>
  <si>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</si>
  <si>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</si>
  <si>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</si>
  <si>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</si>
  <si>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</si>
  <si>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</si>
  <si>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</si>
  <si>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</si>
  <si>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</si>
  <si>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</si>
  <si>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</si>
  <si>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</si>
  <si>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</si>
  <si>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</si>
  <si>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</si>
  <si>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</si>
  <si>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</si>
  <si>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</si>
  <si>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</si>
  <si>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</si>
  <si>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</si>
  <si>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</si>
  <si>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</si>
  <si>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</si>
  <si>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</si>
  <si>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</si>
  <si>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</si>
  <si>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</si>
  <si>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</si>
  <si>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</si>
  <si>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</si>
  <si>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</si>
  <si>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</si>
  <si>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</si>
  <si>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</si>
  <si>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</si>
  <si>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</si>
  <si>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</si>
  <si>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</si>
  <si>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</si>
  <si>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</si>
  <si>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</si>
  <si>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</si>
  <si>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</si>
  <si>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</si>
  <si>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</si>
  <si>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</si>
  <si>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</si>
  <si>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</si>
  <si>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</si>
  <si>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</si>
  <si>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</si>
  <si>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</si>
  <si>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</si>
  <si>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</si>
  <si>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</si>
  <si>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</si>
  <si>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</si>
  <si>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</si>
  <si>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</si>
  <si>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</si>
  <si>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</si>
  <si>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</si>
  <si>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</si>
  <si>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</si>
  <si>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</si>
  <si>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</si>
  <si>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</si>
  <si>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</si>
  <si>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</si>
  <si>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</si>
  <si>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</si>
  <si>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</si>
  <si>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</si>
  <si>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</si>
  <si>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</si>
  <si>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</si>
  <si>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</si>
  <si>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</si>
  <si>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</si>
  <si>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</si>
  <si>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</si>
  <si>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</si>
  <si>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</si>
  <si>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</si>
  <si>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</si>
  <si>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</si>
  <si>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</si>
  <si>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</si>
  <si>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</si>
  <si>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</si>
  <si>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</si>
  <si>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</si>
  <si>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</si>
  <si>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</si>
  <si>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</si>
  <si>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</si>
  <si>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  <phoneticPr fontId="5"/>
  </si>
  <si>
    <t>[effect:spread, val:0.3]</t>
    <phoneticPr fontId="5"/>
  </si>
  <si>
    <t>全体攻撃</t>
    <rPh sb="0" eb="2">
      <t>ゼンタイ</t>
    </rPh>
    <phoneticPr fontId="5"/>
  </si>
  <si>
    <t>[effect:critical, val:1.3]</t>
    <phoneticPr fontId="5"/>
  </si>
  <si>
    <t>強力な単体攻撃</t>
    <rPh sb="0" eb="2">
      <t>キョウリョクナ</t>
    </rPh>
    <rPh sb="3" eb="7">
      <t>タンタイコウゲキ</t>
    </rPh>
    <phoneticPr fontId="5"/>
  </si>
  <si>
    <t>ブレイブインパクト</t>
    <phoneticPr fontId="5"/>
  </si>
  <si>
    <t>わらわが世界で一番美しい！</t>
    <rPh sb="9" eb="10">
      <t>ウツクシイノヨ</t>
    </rPh>
    <phoneticPr fontId="5"/>
  </si>
  <si>
    <t>[effect:enemy_message, val1:2, val2:3],[effect:enemy_counter, target:myself, invoke_condition:unit_all, counter_target:attacker, turn:-1, val:0.5, animation:enemy_counter]</t>
    <phoneticPr fontId="5"/>
  </si>
  <si>
    <t>ja</t>
    <phoneticPr fontId="5"/>
  </si>
  <si>
    <t>3回連続攻撃</t>
    <phoneticPr fontId="5"/>
  </si>
  <si>
    <t>[effect:enemy_message, val1:2, val2:3],[effect:remove_enhancement, target:unit_all, target_effect:all, animation:frozen_wave],[effect:remove_enhancement, target:enemy_all, target_effect:all]</t>
    <phoneticPr fontId="5"/>
  </si>
  <si>
    <t>[effect:rush, count:3, val:0.37]</t>
    <phoneticPr fontId="5"/>
  </si>
  <si>
    <t>[effect:rush, count:3, val:0.4]</t>
    <phoneticPr fontId="5"/>
  </si>
  <si>
    <t>わらわは美しいっ…！誰よりも！！</t>
    <rPh sb="4" eb="5">
      <t>ウツクシイ</t>
    </rPh>
    <rPh sb="10" eb="11">
      <t>ダレヨリモ</t>
    </rPh>
    <phoneticPr fontId="5"/>
  </si>
  <si>
    <t>3回連続攻撃</t>
    <rPh sb="1" eb="2">
      <t>カイ</t>
    </rPh>
    <rPh sb="4" eb="6">
      <t>コウゲキ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</si>
  <si>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</si>
  <si>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</si>
  <si>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</si>
  <si>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</si>
  <si>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あぁ…！？鏡…　鏡がっ…！わらわの鏡！！</t>
    <rPh sb="5" eb="6">
      <t>カガミガ</t>
    </rPh>
    <rPh sb="8" eb="9">
      <t>カガミ</t>
    </rPh>
    <rPh sb="17" eb="18">
      <t>カガミ</t>
    </rPh>
    <phoneticPr fontId="5"/>
  </si>
  <si>
    <t>[effect:rush, count:4, val:0.4]</t>
    <phoneticPr fontId="5"/>
  </si>
  <si>
    <t>グレネードボム</t>
    <phoneticPr fontId="5"/>
  </si>
  <si>
    <t>link</t>
    <phoneticPr fontId="5"/>
  </si>
  <si>
    <t>unit</t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</si>
  <si>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</si>
  <si>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</si>
  <si>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</si>
  <si>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</si>
  <si>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null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</si>
  <si>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</si>
  <si>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</si>
  <si>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</si>
  <si>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</si>
  <si>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old</t>
    <phoneticPr fontId="5"/>
  </si>
  <si>
    <t>ヒートクロウ</t>
    <phoneticPr fontId="5"/>
  </si>
  <si>
    <t>ウェーブセイバー</t>
    <phoneticPr fontId="5"/>
  </si>
  <si>
    <t>『後方支援はお任せください』
 解除するまでカウンター状態</t>
    <rPh sb="1" eb="5">
      <t>コウホウシエンハ</t>
    </rPh>
    <rPh sb="16" eb="18">
      <t>カイジョスルマデ</t>
    </rPh>
    <rPh sb="27" eb="29">
      <t>ジョウタイ</t>
    </rPh>
    <phoneticPr fontId="5"/>
  </si>
  <si>
    <t>おのれ…！おのれぇぇぇ！！</t>
    <phoneticPr fontId="5"/>
  </si>
  <si>
    <t>手にした銃器を乱射して4連続攻撃</t>
    <rPh sb="0" eb="1">
      <t>テニシタ</t>
    </rPh>
    <rPh sb="4" eb="6">
      <t>ジュウキ</t>
    </rPh>
    <rPh sb="7" eb="9">
      <t>ランシャシテ</t>
    </rPh>
    <rPh sb="14" eb="16">
      <t>コウゲキ</t>
    </rPh>
    <phoneticPr fontId="5"/>
  </si>
  <si>
    <t>[effect:fix_speed, target:myself, turn:1]</t>
    <phoneticPr fontId="5"/>
  </si>
  <si>
    <t>failure</t>
    <phoneticPr fontId="5"/>
  </si>
  <si>
    <t>『…残念ですが　ここでお別れのようです』
　　鏡が割れ全ての効果が打ち消される</t>
    <rPh sb="23" eb="24">
      <t>カガミガワレルコトニヨッテ</t>
    </rPh>
    <rPh sb="27" eb="28">
      <t>スベテノコウガガ</t>
    </rPh>
    <rPh sb="30" eb="32">
      <t>コウカガ</t>
    </rPh>
    <rPh sb="33" eb="34">
      <t>ウチケサレル</t>
    </rPh>
    <phoneticPr fontId="5"/>
  </si>
  <si>
    <t>『マスターと私の力をもってしてその夢を叶えましょう』</t>
    <rPh sb="6" eb="7">
      <t>ワタシノ</t>
    </rPh>
    <rPh sb="8" eb="9">
      <t>チカラヲ</t>
    </rPh>
    <rPh sb="19" eb="20">
      <t>カナイマショウ</t>
    </rPh>
    <phoneticPr fontId="5"/>
  </si>
  <si>
    <t>わらわよりも美しい者などあってはならぬ！</t>
    <rPh sb="6" eb="7">
      <t>ウツクシイソンザイナド</t>
    </rPh>
    <rPh sb="9" eb="10">
      <t>モノ</t>
    </rPh>
    <phoneticPr fontId="5"/>
  </si>
  <si>
    <t>ヨシタカは体力が半分以上だと
強力な攻撃をしてきます
ヨシタカのHPを半分減らしておきましょう</t>
    <rPh sb="5" eb="7">
      <t>タイリョクハ</t>
    </rPh>
    <rPh sb="8" eb="10">
      <t>ハンブンイカニナルト</t>
    </rPh>
    <rPh sb="10" eb="12">
      <t>イジョウダト</t>
    </rPh>
    <rPh sb="15" eb="17">
      <t>kyouryoku</t>
    </rPh>
    <rPh sb="18" eb="20">
      <t>レンゾクコウゲキヲ</t>
    </rPh>
    <rPh sb="35" eb="37">
      <t>ハンブン</t>
    </rPh>
    <rPh sb="37" eb="38">
      <t>ヘラシテオキマショウ</t>
    </rPh>
    <phoneticPr fontId="5"/>
  </si>
  <si>
    <t>ケンジは体力が半分以下になると
全体攻撃をしてきます
コンボを繋げて早めに倒しましょう</t>
    <rPh sb="4" eb="6">
      <t>タイリョクハ</t>
    </rPh>
    <rPh sb="7" eb="11">
      <t>ハンブンイカニナルト</t>
    </rPh>
    <rPh sb="16" eb="18">
      <t>ゼンタイ</t>
    </rPh>
    <rPh sb="18" eb="20">
      <t>レンゾクコウゲキヲ</t>
    </rPh>
    <rPh sb="31" eb="32">
      <t>ツナゲテ</t>
    </rPh>
    <rPh sb="34" eb="35">
      <t>ハヤメニ</t>
    </rPh>
    <rPh sb="37" eb="38">
      <t>タオシマショウ</t>
    </rPh>
    <phoneticPr fontId="5"/>
  </si>
  <si>
    <t>ヒュウガは3回に1度の割合で
連続攻撃をしてきます
回復をきちんと行って対策しましょう</t>
    <rPh sb="11" eb="13">
      <t>ワリアイデ</t>
    </rPh>
    <rPh sb="15" eb="19">
      <t>レンゾクコウゲキヲ</t>
    </rPh>
    <rPh sb="26" eb="28">
      <t>カイフクヲキチントオコナッテ</t>
    </rPh>
    <rPh sb="36" eb="38">
      <t>タイサクシマショウ</t>
    </rPh>
    <phoneticPr fontId="5"/>
  </si>
  <si>
    <t>リフレクト＆M.I.R.R.O.R.は体力が
30%以下になるまでカウンター状態です
こまめに回復してHPを多めに保ちましょう</t>
    <rPh sb="47" eb="49">
      <t>カイフクヲコマメニシテ</t>
    </rPh>
    <rPh sb="54" eb="55">
      <t>オオメニ</t>
    </rPh>
    <rPh sb="57" eb="58">
      <t>タモチマショウ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</si>
</sst>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6" fillId="31" borderId="3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0" fillId="0" borderId="23" xfId="0" applyBorder="1"/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27" fillId="32" borderId="24" xfId="0" applyFont="1" applyFill="1" applyBorder="1"/>
    <xf numFmtId="0" fontId="27" fillId="32" borderId="25" xfId="0" applyFont="1" applyFill="1" applyBorder="1"/>
    <xf numFmtId="0" fontId="27" fillId="32" borderId="7" xfId="0" applyFont="1" applyFill="1" applyBorder="1"/>
    <xf numFmtId="0" fontId="27" fillId="32" borderId="26" xfId="0" applyFont="1" applyFill="1" applyBorder="1"/>
    <xf numFmtId="0" fontId="0" fillId="0" borderId="27" xfId="0" applyBorder="1"/>
    <xf numFmtId="0" fontId="0" fillId="3" borderId="27" xfId="0" applyFill="1" applyBorder="1"/>
    <xf numFmtId="0" fontId="6" fillId="5" borderId="27" xfId="0" applyFont="1" applyFill="1" applyBorder="1" applyAlignment="1">
      <alignment vertical="center"/>
    </xf>
    <xf numFmtId="0" fontId="27" fillId="32" borderId="27" xfId="0" applyFont="1" applyFill="1" applyBorder="1"/>
    <xf numFmtId="0" fontId="27" fillId="32" borderId="28" xfId="0" applyFont="1" applyFill="1" applyBorder="1"/>
    <xf numFmtId="0" fontId="27" fillId="33" borderId="24" xfId="0" applyFont="1" applyFill="1" applyBorder="1"/>
    <xf numFmtId="0" fontId="27" fillId="33" borderId="7" xfId="0" applyFont="1" applyFill="1" applyBorder="1"/>
    <xf numFmtId="0" fontId="27" fillId="6" borderId="7" xfId="0" applyFont="1" applyFill="1" applyBorder="1"/>
    <xf numFmtId="0" fontId="27" fillId="34" borderId="7" xfId="0" applyFont="1" applyFill="1" applyBorder="1"/>
    <xf numFmtId="0" fontId="27" fillId="6" borderId="27" xfId="0" applyFont="1" applyFill="1" applyBorder="1"/>
    <xf numFmtId="0" fontId="16" fillId="6" borderId="2" xfId="614" applyFont="1" applyFill="1" applyBorder="1" applyAlignment="1">
      <alignment horizontal="left"/>
    </xf>
    <xf numFmtId="0" fontId="0" fillId="0" borderId="29" xfId="0" applyBorder="1"/>
    <xf numFmtId="0" fontId="0" fillId="0" borderId="30" xfId="0" applyBorder="1"/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0" fontId="27" fillId="33" borderId="0" xfId="0" applyFont="1" applyFill="1" applyBorder="1"/>
    <xf numFmtId="0" fontId="28" fillId="33" borderId="0" xfId="0" applyFont="1" applyFill="1" applyBorder="1"/>
    <xf numFmtId="0" fontId="29" fillId="33" borderId="0" xfId="0" applyFont="1" applyFill="1" applyBorder="1" applyAlignment="1">
      <alignment vertical="center"/>
    </xf>
    <xf numFmtId="0" fontId="31" fillId="33" borderId="0" xfId="0" applyFont="1" applyFill="1" applyBorder="1"/>
    <xf numFmtId="0" fontId="0" fillId="33" borderId="0" xfId="0" applyFill="1" applyBorder="1"/>
    <xf numFmtId="0" fontId="30" fillId="33" borderId="0" xfId="0" applyFont="1" applyFill="1" applyBorder="1"/>
    <xf numFmtId="38" fontId="16" fillId="33" borderId="0" xfId="628" applyFont="1" applyFill="1" applyBorder="1" applyAlignment="1"/>
    <xf numFmtId="0" fontId="26" fillId="0" borderId="31" xfId="0" applyFont="1" applyBorder="1"/>
    <xf numFmtId="0" fontId="4" fillId="0" borderId="1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24" xfId="0" applyFont="1" applyFill="1" applyBorder="1"/>
    <xf numFmtId="0" fontId="27" fillId="0" borderId="27" xfId="0" applyFont="1" applyFill="1" applyBorder="1"/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214</v>
      </c>
      <c r="B2" s="57" t="s">
        <v>107</v>
      </c>
      <c r="C2" s="62">
        <v>20015</v>
      </c>
      <c r="D2" s="57" t="s">
        <v>108</v>
      </c>
      <c r="E2" s="56" t="str">
        <f>B2&amp;C2&amp;D2</f>
        <v>floors_20015.tmp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214</v>
      </c>
      <c r="B3" s="57" t="s">
        <v>110</v>
      </c>
      <c r="C3" s="62">
        <v>20015</v>
      </c>
      <c r="D3" s="57" t="s">
        <v>108</v>
      </c>
      <c r="E3" s="56" t="str">
        <f>B3&amp;C3&amp;D3</f>
        <v>enemy_habitats_20015.tmp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214</v>
      </c>
      <c r="B4" s="57" t="s">
        <v>112</v>
      </c>
      <c r="C4" s="62">
        <v>20015</v>
      </c>
      <c r="D4" s="57" t="s">
        <v>108</v>
      </c>
      <c r="E4" s="56" t="str">
        <f>B4&amp;C4&amp;D4</f>
        <v>enemy_habitat_S_20015.tmp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214</v>
      </c>
      <c r="B5" s="57" t="s">
        <v>114</v>
      </c>
      <c r="C5" s="62">
        <v>20015</v>
      </c>
      <c r="D5" s="57" t="s">
        <v>108</v>
      </c>
      <c r="E5" s="56" t="str">
        <f>B5&amp;C5&amp;D5</f>
        <v>enemy_skill_sets_20015.tmp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214</v>
      </c>
      <c r="B6" s="57" t="s">
        <v>116</v>
      </c>
      <c r="C6" s="62">
        <v>20015</v>
      </c>
      <c r="D6" s="57" t="s">
        <v>117</v>
      </c>
      <c r="E6" s="56" t="str">
        <f t="shared" ref="E6:E10" si="0">B6&amp;C6&amp;D6</f>
        <v>enemy_skills_tmp_20015.tmp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214</v>
      </c>
      <c r="B7" s="57" t="s">
        <v>118</v>
      </c>
      <c r="C7" s="62">
        <v>20015</v>
      </c>
      <c r="D7" s="57" t="s">
        <v>108</v>
      </c>
      <c r="E7" s="56" t="str">
        <f>B7&amp;C7&amp;D7</f>
        <v>enemy_skills_i18n_20015.tmp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214</v>
      </c>
      <c r="B8" s="57" t="s">
        <v>120</v>
      </c>
      <c r="C8" s="62">
        <v>20015</v>
      </c>
      <c r="D8" s="57" t="s">
        <v>121</v>
      </c>
      <c r="E8" s="56" t="str">
        <f t="shared" si="0"/>
        <v>enemy_skill_triggers_20015.tmp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247</v>
      </c>
      <c r="B9" s="67" t="s">
        <v>178</v>
      </c>
      <c r="C9" s="62">
        <v>20015</v>
      </c>
      <c r="D9" s="67" t="s">
        <v>172</v>
      </c>
      <c r="E9" s="68" t="str">
        <f t="shared" si="0"/>
        <v>stage_bug_bonuses_20015.tmp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5" customFormat="1" x14ac:dyDescent="0.15">
      <c r="A10" s="61" t="s">
        <v>247</v>
      </c>
      <c r="B10" s="67" t="s">
        <v>202</v>
      </c>
      <c r="C10" s="62">
        <v>20015</v>
      </c>
      <c r="D10" s="67" t="s">
        <v>181</v>
      </c>
      <c r="E10" s="68" t="str">
        <f t="shared" si="0"/>
        <v>stage_hints_data_c_20015.tmp</v>
      </c>
      <c r="F10" s="67" t="s">
        <v>210</v>
      </c>
      <c r="G10" s="72" t="s">
        <v>182</v>
      </c>
      <c r="H10" s="72" t="s">
        <v>174</v>
      </c>
      <c r="I10" s="73" t="s">
        <v>183</v>
      </c>
      <c r="J10" s="66" t="s">
        <v>184</v>
      </c>
      <c r="K10" s="74" t="s">
        <v>185</v>
      </c>
    </row>
    <row r="11" spans="1:30" s="75" customFormat="1" x14ac:dyDescent="0.15">
      <c r="A11" s="61" t="s">
        <v>247</v>
      </c>
      <c r="B11" s="67" t="s">
        <v>203</v>
      </c>
      <c r="C11" s="62">
        <v>20015</v>
      </c>
      <c r="D11" s="67" t="s">
        <v>172</v>
      </c>
      <c r="E11" s="68" t="str">
        <f t="shared" ref="E11:E12" si="1">B11&amp;C11&amp;D11</f>
        <v>stage_hints_data_f_20015.tmp</v>
      </c>
      <c r="F11" s="67" t="s">
        <v>212</v>
      </c>
      <c r="G11" s="72" t="s">
        <v>182</v>
      </c>
      <c r="H11" s="72" t="s">
        <v>174</v>
      </c>
      <c r="I11" s="73" t="s">
        <v>183</v>
      </c>
      <c r="J11" s="66" t="s">
        <v>184</v>
      </c>
      <c r="K11" s="74" t="s">
        <v>185</v>
      </c>
    </row>
    <row r="12" spans="1:30" s="75" customFormat="1" x14ac:dyDescent="0.15">
      <c r="A12" s="61" t="s">
        <v>247</v>
      </c>
      <c r="B12" s="67" t="s">
        <v>204</v>
      </c>
      <c r="C12" s="62">
        <v>20015</v>
      </c>
      <c r="D12" s="67" t="s">
        <v>172</v>
      </c>
      <c r="E12" s="68" t="str">
        <f t="shared" si="1"/>
        <v>stage_hints_i18n_20015.tmp</v>
      </c>
      <c r="F12" s="67" t="s">
        <v>213</v>
      </c>
      <c r="G12" s="73" t="s">
        <v>205</v>
      </c>
      <c r="H12" s="95" t="s">
        <v>206</v>
      </c>
      <c r="I12" s="72" t="s">
        <v>207</v>
      </c>
      <c r="J12" s="96" t="s">
        <v>208</v>
      </c>
      <c r="K12" s="74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B3" sqref="B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20015_1-1</v>
      </c>
      <c r="B2" s="16" t="str">
        <f>IF(COUNTIF(enemy_habitats!$H:$H,A2),"OK","NG")</f>
        <v>OK</v>
      </c>
      <c r="C2" s="7">
        <v>20015</v>
      </c>
      <c r="D2" s="11" t="str">
        <f ca="1">VLOOKUP($C2,OFFSET([2]quests!$A$1,0,0,COUNTA([2]quests!$A:$A),MATCH(D$1,[2]quests!$1:$1,0)-MATCH($C$1,[2]quests!$1:$1,0)+1),MATCH(D$1,[2]quests!$1:$1,0)-MATCH($C$1,[2]quests!$1:$1,0)+1,FALSE)</f>
        <v>妄執とり憑く美貌の妃</v>
      </c>
      <c r="E2" s="18" t="str">
        <f ca="1">VLOOKUP($C2,OFFSET([2]quests!$A$1,0,0,COUNTA([2]quests!$A:$A),MATCH(E$1,[2]quests!$1:$1,0)-MATCH($C$1,[2]quests!$1:$1,0)+1),MATCH(E$1,[2]quests!$1:$1,0)-MATCH($C$1,[2]quests!$1:$1,0)+1,FALSE)</f>
        <v>おとぎ話シリーズ3</v>
      </c>
      <c r="F2" s="21">
        <v>1</v>
      </c>
      <c r="G2" s="23" t="str">
        <f t="shared" ref="G2:G13" si="1">C2&amp;"_"&amp;F2</f>
        <v>20015_1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【初級】妄執とり憑く美貌の妃</v>
      </c>
      <c r="I2" s="21">
        <v>1</v>
      </c>
      <c r="J2" s="12">
        <v>20</v>
      </c>
      <c r="K2" s="12">
        <v>20</v>
      </c>
    </row>
    <row r="3" spans="1:11" ht="21" customHeight="1" x14ac:dyDescent="0.15">
      <c r="A3" s="16" t="str">
        <f t="shared" si="0"/>
        <v>20015_1-2</v>
      </c>
      <c r="B3" s="16" t="str">
        <f>IF(COUNTIF(enemy_habitats!$H:$H,A3),"OK","NG")</f>
        <v>OK</v>
      </c>
      <c r="C3" s="7">
        <v>20015</v>
      </c>
      <c r="D3" s="11" t="str">
        <f ca="1">VLOOKUP($C3,OFFSET([2]quests!$A$1,0,0,COUNTA([2]quests!$A:$A),MATCH(D$1,[2]quests!$1:$1,0)-MATCH($C$1,[2]quests!$1:$1,0)+1),MATCH(D$1,[2]quests!$1:$1,0)-MATCH($C$1,[2]quests!$1:$1,0)+1,FALSE)</f>
        <v>妄執とり憑く美貌の妃</v>
      </c>
      <c r="E3" s="18" t="str">
        <f ca="1">VLOOKUP($C3,OFFSET([2]quests!$A$1,0,0,COUNTA([2]quests!$A:$A),MATCH(E$1,[2]quests!$1:$1,0)-MATCH($C$1,[2]quests!$1:$1,0)+1),MATCH(E$1,[2]quests!$1:$1,0)-MATCH($C$1,[2]quests!$1:$1,0)+1,FALSE)</f>
        <v>おとぎ話シリーズ3</v>
      </c>
      <c r="F3" s="21">
        <v>1</v>
      </c>
      <c r="G3" s="23" t="str">
        <f t="shared" si="1"/>
        <v>20015_1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【初級】妄執とり憑く美貌の妃</v>
      </c>
      <c r="I3" s="21">
        <v>2</v>
      </c>
      <c r="J3" s="12">
        <v>20</v>
      </c>
      <c r="K3" s="12">
        <v>20</v>
      </c>
    </row>
    <row r="4" spans="1:11" ht="21" customHeight="1" x14ac:dyDescent="0.15">
      <c r="A4" s="16" t="str">
        <f t="shared" si="0"/>
        <v>20015_1-3</v>
      </c>
      <c r="B4" s="16" t="str">
        <f>IF(COUNTIF(enemy_habitats!$H:$H,A4),"OK","NG")</f>
        <v>OK</v>
      </c>
      <c r="C4" s="7">
        <v>20015</v>
      </c>
      <c r="D4" s="11" t="str">
        <f ca="1">VLOOKUP($C4,OFFSET([2]quests!$A$1,0,0,COUNTA([2]quests!$A:$A),MATCH(D$1,[2]quests!$1:$1,0)-MATCH($C$1,[2]quests!$1:$1,0)+1),MATCH(D$1,[2]quests!$1:$1,0)-MATCH($C$1,[2]quests!$1:$1,0)+1,FALSE)</f>
        <v>妄執とり憑く美貌の妃</v>
      </c>
      <c r="E4" s="18" t="str">
        <f ca="1">VLOOKUP($C4,OFFSET([2]quests!$A$1,0,0,COUNTA([2]quests!$A:$A),MATCH(E$1,[2]quests!$1:$1,0)-MATCH($C$1,[2]quests!$1:$1,0)+1),MATCH(E$1,[2]quests!$1:$1,0)-MATCH($C$1,[2]quests!$1:$1,0)+1,FALSE)</f>
        <v>おとぎ話シリーズ3</v>
      </c>
      <c r="F4" s="21">
        <v>1</v>
      </c>
      <c r="G4" s="23" t="str">
        <f t="shared" si="1"/>
        <v>20015_1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【初級】妄執とり憑く美貌の妃</v>
      </c>
      <c r="I4" s="21">
        <v>3</v>
      </c>
      <c r="J4" s="12">
        <v>40</v>
      </c>
      <c r="K4" s="12">
        <v>40</v>
      </c>
    </row>
    <row r="5" spans="1:11" ht="21" customHeight="1" x14ac:dyDescent="0.15">
      <c r="A5" s="16" t="str">
        <f t="shared" si="0"/>
        <v>20015_1-4</v>
      </c>
      <c r="B5" s="16" t="str">
        <f>IF(COUNTIF(enemy_habitats!$H:$H,A5),"OK","NG")</f>
        <v>OK</v>
      </c>
      <c r="C5" s="7">
        <v>20015</v>
      </c>
      <c r="D5" s="11" t="str">
        <f ca="1">VLOOKUP($C5,OFFSET([2]quests!$A$1,0,0,COUNTA([2]quests!$A:$A),MATCH(D$1,[2]quests!$1:$1,0)-MATCH($C$1,[2]quests!$1:$1,0)+1),MATCH(D$1,[2]quests!$1:$1,0)-MATCH($C$1,[2]quests!$1:$1,0)+1,FALSE)</f>
        <v>妄執とり憑く美貌の妃</v>
      </c>
      <c r="E5" s="18" t="str">
        <f ca="1">VLOOKUP($C5,OFFSET([2]quests!$A$1,0,0,COUNTA([2]quests!$A:$A),MATCH(E$1,[2]quests!$1:$1,0)-MATCH($C$1,[2]quests!$1:$1,0)+1),MATCH(E$1,[2]quests!$1:$1,0)-MATCH($C$1,[2]quests!$1:$1,0)+1,FALSE)</f>
        <v>おとぎ話シリーズ3</v>
      </c>
      <c r="F5" s="21">
        <v>1</v>
      </c>
      <c r="G5" s="23" t="str">
        <f t="shared" si="1"/>
        <v>20015_1</v>
      </c>
      <c r="H5" s="15" t="str">
        <f ca="1">VLOOKUP($G5,OFFSET([2]stages!$A$1,0,0,COUNTA([2]stages!$A:$A),MATCH(H$1,[2]stages!$2:$2,0)-MATCH($G$1,[2]stages!$2:$2,0)+1),MATCH(H$1,[2]stages!$2:$2,0)-MATCH($G$1,[2]stages!$2:$2,0)+1,FALSE)</f>
        <v>【初級】妄執とり憑く美貌の妃</v>
      </c>
      <c r="I5" s="21">
        <v>4</v>
      </c>
      <c r="J5" s="12">
        <v>30</v>
      </c>
      <c r="K5" s="12">
        <v>30</v>
      </c>
    </row>
    <row r="6" spans="1:11" ht="21" customHeight="1" x14ac:dyDescent="0.15">
      <c r="A6" s="16" t="str">
        <f t="shared" si="0"/>
        <v>20015_2-1</v>
      </c>
      <c r="B6" s="16" t="str">
        <f>IF(COUNTIF(enemy_habitats!$H:$H,A6),"OK","NG")</f>
        <v>OK</v>
      </c>
      <c r="C6" s="7">
        <v>20015</v>
      </c>
      <c r="D6" s="11" t="str">
        <f ca="1">VLOOKUP($C6,OFFSET([2]quests!$A$1,0,0,COUNTA([2]quests!$A:$A),MATCH(D$1,[2]quests!$1:$1,0)-MATCH($C$1,[2]quests!$1:$1,0)+1),MATCH(D$1,[2]quests!$1:$1,0)-MATCH($C$1,[2]quests!$1:$1,0)+1,FALSE)</f>
        <v>妄執とり憑く美貌の妃</v>
      </c>
      <c r="E6" s="18" t="str">
        <f ca="1">VLOOKUP($C6,OFFSET([2]quests!$A$1,0,0,COUNTA([2]quests!$A:$A),MATCH(E$1,[2]quests!$1:$1,0)-MATCH($C$1,[2]quests!$1:$1,0)+1),MATCH(E$1,[2]quests!$1:$1,0)-MATCH($C$1,[2]quests!$1:$1,0)+1,FALSE)</f>
        <v>おとぎ話シリーズ3</v>
      </c>
      <c r="F6" s="21">
        <v>2</v>
      </c>
      <c r="G6" s="23" t="str">
        <f t="shared" si="1"/>
        <v>20015_2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【中級】妄執とり憑く美貌の妃</v>
      </c>
      <c r="I6" s="21">
        <v>1</v>
      </c>
      <c r="J6" s="12">
        <v>30</v>
      </c>
      <c r="K6" s="12">
        <v>30</v>
      </c>
    </row>
    <row r="7" spans="1:11" ht="21" customHeight="1" x14ac:dyDescent="0.15">
      <c r="A7" s="16" t="str">
        <f t="shared" si="0"/>
        <v>20015_2-2</v>
      </c>
      <c r="B7" s="16" t="str">
        <f>IF(COUNTIF(enemy_habitats!$H:$H,A7),"OK","NG")</f>
        <v>OK</v>
      </c>
      <c r="C7" s="7">
        <v>20015</v>
      </c>
      <c r="D7" s="11" t="str">
        <f ca="1">VLOOKUP($C7,OFFSET([2]quests!$A$1,0,0,COUNTA([2]quests!$A:$A),MATCH(D$1,[2]quests!$1:$1,0)-MATCH($C$1,[2]quests!$1:$1,0)+1),MATCH(D$1,[2]quests!$1:$1,0)-MATCH($C$1,[2]quests!$1:$1,0)+1,FALSE)</f>
        <v>妄執とり憑く美貌の妃</v>
      </c>
      <c r="E7" s="18" t="str">
        <f ca="1">VLOOKUP($C7,OFFSET([2]quests!$A$1,0,0,COUNTA([2]quests!$A:$A),MATCH(E$1,[2]quests!$1:$1,0)-MATCH($C$1,[2]quests!$1:$1,0)+1),MATCH(E$1,[2]quests!$1:$1,0)-MATCH($C$1,[2]quests!$1:$1,0)+1,FALSE)</f>
        <v>おとぎ話シリーズ3</v>
      </c>
      <c r="F7" s="21">
        <v>2</v>
      </c>
      <c r="G7" s="23" t="str">
        <f t="shared" si="1"/>
        <v>20015_2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【中級】妄執とり憑く美貌の妃</v>
      </c>
      <c r="I7" s="21">
        <v>2</v>
      </c>
      <c r="J7" s="12">
        <v>20</v>
      </c>
      <c r="K7" s="12">
        <v>20</v>
      </c>
    </row>
    <row r="8" spans="1:11" ht="21" customHeight="1" x14ac:dyDescent="0.15">
      <c r="A8" s="16" t="str">
        <f t="shared" si="0"/>
        <v>20015_2-3</v>
      </c>
      <c r="B8" s="16" t="str">
        <f>IF(COUNTIF(enemy_habitats!$H:$H,A8),"OK","NG")</f>
        <v>OK</v>
      </c>
      <c r="C8" s="7">
        <v>20015</v>
      </c>
      <c r="D8" s="11" t="str">
        <f ca="1">VLOOKUP($C8,OFFSET([2]quests!$A$1,0,0,COUNTA([2]quests!$A:$A),MATCH(D$1,[2]quests!$1:$1,0)-MATCH($C$1,[2]quests!$1:$1,0)+1),MATCH(D$1,[2]quests!$1:$1,0)-MATCH($C$1,[2]quests!$1:$1,0)+1,FALSE)</f>
        <v>妄執とり憑く美貌の妃</v>
      </c>
      <c r="E8" s="18" t="str">
        <f ca="1">VLOOKUP($C8,OFFSET([2]quests!$A$1,0,0,COUNTA([2]quests!$A:$A),MATCH(E$1,[2]quests!$1:$1,0)-MATCH($C$1,[2]quests!$1:$1,0)+1),MATCH(E$1,[2]quests!$1:$1,0)-MATCH($C$1,[2]quests!$1:$1,0)+1,FALSE)</f>
        <v>おとぎ話シリーズ3</v>
      </c>
      <c r="F8" s="21">
        <v>2</v>
      </c>
      <c r="G8" s="23" t="str">
        <f t="shared" si="1"/>
        <v>20015_2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【中級】妄執とり憑く美貌の妃</v>
      </c>
      <c r="I8" s="21">
        <v>3</v>
      </c>
      <c r="J8" s="12">
        <v>40</v>
      </c>
      <c r="K8" s="12">
        <v>40</v>
      </c>
    </row>
    <row r="9" spans="1:11" ht="21" customHeight="1" x14ac:dyDescent="0.15">
      <c r="A9" s="16" t="str">
        <f t="shared" si="0"/>
        <v>20015_2-4</v>
      </c>
      <c r="B9" s="16" t="str">
        <f>IF(COUNTIF(enemy_habitats!$H:$H,A9),"OK","NG")</f>
        <v>OK</v>
      </c>
      <c r="C9" s="7">
        <v>20015</v>
      </c>
      <c r="D9" s="11" t="str">
        <f ca="1">VLOOKUP($C9,OFFSET([2]quests!$A$1,0,0,COUNTA([2]quests!$A:$A),MATCH(D$1,[2]quests!$1:$1,0)-MATCH($C$1,[2]quests!$1:$1,0)+1),MATCH(D$1,[2]quests!$1:$1,0)-MATCH($C$1,[2]quests!$1:$1,0)+1,FALSE)</f>
        <v>妄執とり憑く美貌の妃</v>
      </c>
      <c r="E9" s="18" t="str">
        <f ca="1">VLOOKUP($C9,OFFSET([2]quests!$A$1,0,0,COUNTA([2]quests!$A:$A),MATCH(E$1,[2]quests!$1:$1,0)-MATCH($C$1,[2]quests!$1:$1,0)+1),MATCH(E$1,[2]quests!$1:$1,0)-MATCH($C$1,[2]quests!$1:$1,0)+1,FALSE)</f>
        <v>おとぎ話シリーズ3</v>
      </c>
      <c r="F9" s="21">
        <v>2</v>
      </c>
      <c r="G9" s="23" t="str">
        <f t="shared" si="1"/>
        <v>20015_2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【中級】妄執とり憑く美貌の妃</v>
      </c>
      <c r="I9" s="21">
        <v>4</v>
      </c>
      <c r="J9" s="12">
        <v>30</v>
      </c>
      <c r="K9" s="12">
        <v>30</v>
      </c>
    </row>
    <row r="10" spans="1:11" ht="21" customHeight="1" x14ac:dyDescent="0.15">
      <c r="A10" s="16" t="str">
        <f t="shared" si="0"/>
        <v>20015_3-1</v>
      </c>
      <c r="B10" s="16" t="str">
        <f>IF(COUNTIF(enemy_habitats!$H:$H,A10),"OK","NG")</f>
        <v>OK</v>
      </c>
      <c r="C10" s="7">
        <v>20015</v>
      </c>
      <c r="D10" s="11" t="str">
        <f ca="1">VLOOKUP($C10,OFFSET([2]quests!$A$1,0,0,COUNTA([2]quests!$A:$A),MATCH(D$1,[2]quests!$1:$1,0)-MATCH($C$1,[2]quests!$1:$1,0)+1),MATCH(D$1,[2]quests!$1:$1,0)-MATCH($C$1,[2]quests!$1:$1,0)+1,FALSE)</f>
        <v>妄執とり憑く美貌の妃</v>
      </c>
      <c r="E10" s="18" t="str">
        <f ca="1">VLOOKUP($C10,OFFSET([2]quests!$A$1,0,0,COUNTA([2]quests!$A:$A),MATCH(E$1,[2]quests!$1:$1,0)-MATCH($C$1,[2]quests!$1:$1,0)+1),MATCH(E$1,[2]quests!$1:$1,0)-MATCH($C$1,[2]quests!$1:$1,0)+1,FALSE)</f>
        <v>おとぎ話シリーズ3</v>
      </c>
      <c r="F10" s="21">
        <v>3</v>
      </c>
      <c r="G10" s="23" t="str">
        <f t="shared" si="1"/>
        <v>20015_3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【上級】妄執とり憑く美貌の妃</v>
      </c>
      <c r="I10" s="21">
        <v>1</v>
      </c>
      <c r="J10" s="12">
        <v>30</v>
      </c>
      <c r="K10" s="12">
        <v>30</v>
      </c>
    </row>
    <row r="11" spans="1:11" ht="21" customHeight="1" x14ac:dyDescent="0.15">
      <c r="A11" s="16" t="str">
        <f t="shared" si="0"/>
        <v>20015_3-2</v>
      </c>
      <c r="B11" s="16" t="str">
        <f>IF(COUNTIF(enemy_habitats!$H:$H,A11),"OK","NG")</f>
        <v>OK</v>
      </c>
      <c r="C11" s="7">
        <v>20015</v>
      </c>
      <c r="D11" s="11" t="str">
        <f ca="1">VLOOKUP($C11,OFFSET([2]quests!$A$1,0,0,COUNTA([2]quests!$A:$A),MATCH(D$1,[2]quests!$1:$1,0)-MATCH($C$1,[2]quests!$1:$1,0)+1),MATCH(D$1,[2]quests!$1:$1,0)-MATCH($C$1,[2]quests!$1:$1,0)+1,FALSE)</f>
        <v>妄執とり憑く美貌の妃</v>
      </c>
      <c r="E11" s="18" t="str">
        <f ca="1">VLOOKUP($C11,OFFSET([2]quests!$A$1,0,0,COUNTA([2]quests!$A:$A),MATCH(E$1,[2]quests!$1:$1,0)-MATCH($C$1,[2]quests!$1:$1,0)+1),MATCH(E$1,[2]quests!$1:$1,0)-MATCH($C$1,[2]quests!$1:$1,0)+1,FALSE)</f>
        <v>おとぎ話シリーズ3</v>
      </c>
      <c r="F11" s="21">
        <v>3</v>
      </c>
      <c r="G11" s="23" t="str">
        <f t="shared" si="1"/>
        <v>20015_3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【上級】妄執とり憑く美貌の妃</v>
      </c>
      <c r="I11" s="21">
        <v>2</v>
      </c>
      <c r="J11" s="12">
        <v>20</v>
      </c>
      <c r="K11" s="12">
        <v>20</v>
      </c>
    </row>
    <row r="12" spans="1:11" ht="21" customHeight="1" x14ac:dyDescent="0.15">
      <c r="A12" s="16" t="str">
        <f t="shared" si="0"/>
        <v>20015_3-3</v>
      </c>
      <c r="B12" s="16" t="str">
        <f>IF(COUNTIF(enemy_habitats!$H:$H,A12),"OK","NG")</f>
        <v>OK</v>
      </c>
      <c r="C12" s="7">
        <v>20015</v>
      </c>
      <c r="D12" s="11" t="str">
        <f ca="1">VLOOKUP($C12,OFFSET([2]quests!$A$1,0,0,COUNTA([2]quests!$A:$A),MATCH(D$1,[2]quests!$1:$1,0)-MATCH($C$1,[2]quests!$1:$1,0)+1),MATCH(D$1,[2]quests!$1:$1,0)-MATCH($C$1,[2]quests!$1:$1,0)+1,FALSE)</f>
        <v>妄執とり憑く美貌の妃</v>
      </c>
      <c r="E12" s="18" t="str">
        <f ca="1">VLOOKUP($C12,OFFSET([2]quests!$A$1,0,0,COUNTA([2]quests!$A:$A),MATCH(E$1,[2]quests!$1:$1,0)-MATCH($C$1,[2]quests!$1:$1,0)+1),MATCH(E$1,[2]quests!$1:$1,0)-MATCH($C$1,[2]quests!$1:$1,0)+1,FALSE)</f>
        <v>おとぎ話シリーズ3</v>
      </c>
      <c r="F12" s="21">
        <v>3</v>
      </c>
      <c r="G12" s="23" t="str">
        <f t="shared" si="1"/>
        <v>20015_3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【上級】妄執とり憑く美貌の妃</v>
      </c>
      <c r="I12" s="21">
        <v>3</v>
      </c>
      <c r="J12" s="12">
        <v>50</v>
      </c>
      <c r="K12" s="12">
        <v>50</v>
      </c>
    </row>
    <row r="13" spans="1:11" ht="21" customHeight="1" x14ac:dyDescent="0.15">
      <c r="A13" s="16" t="str">
        <f t="shared" si="0"/>
        <v>20015_3-4</v>
      </c>
      <c r="B13" s="16" t="str">
        <f>IF(COUNTIF(enemy_habitats!$H:$H,A13),"OK","NG")</f>
        <v>OK</v>
      </c>
      <c r="C13" s="7">
        <v>20015</v>
      </c>
      <c r="D13" s="11" t="str">
        <f ca="1">VLOOKUP($C13,OFFSET([2]quests!$A$1,0,0,COUNTA([2]quests!$A:$A),MATCH(D$1,[2]quests!$1:$1,0)-MATCH($C$1,[2]quests!$1:$1,0)+1),MATCH(D$1,[2]quests!$1:$1,0)-MATCH($C$1,[2]quests!$1:$1,0)+1,FALSE)</f>
        <v>妄執とり憑く美貌の妃</v>
      </c>
      <c r="E13" s="18" t="str">
        <f ca="1">VLOOKUP($C13,OFFSET([2]quests!$A$1,0,0,COUNTA([2]quests!$A:$A),MATCH(E$1,[2]quests!$1:$1,0)-MATCH($C$1,[2]quests!$1:$1,0)+1),MATCH(E$1,[2]quests!$1:$1,0)-MATCH($C$1,[2]quests!$1:$1,0)+1,FALSE)</f>
        <v>おとぎ話シリーズ3</v>
      </c>
      <c r="F13" s="21">
        <v>3</v>
      </c>
      <c r="G13" s="23" t="str">
        <f t="shared" si="1"/>
        <v>20015_3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【上級】妄執とり憑く美貌の妃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6"/>
  <sheetViews>
    <sheetView showGridLines="0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AH28" sqref="AH2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1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16" si="0">B2&amp;"_"&amp;C2&amp;"-"&amp;G2&amp;"/"&amp;L2&amp;"&lt;lv"&amp;R2&amp;"&gt;s"&amp;AA2</f>
        <v>20015_1-1/42&lt;lv10&gt;s3</v>
      </c>
      <c r="B2" s="22">
        <v>20015</v>
      </c>
      <c r="C2" s="21">
        <v>1</v>
      </c>
      <c r="D2" s="2" t="str">
        <f t="shared" ref="D2:D16" si="1">B2&amp;"_"&amp;C2</f>
        <v>20015_1</v>
      </c>
      <c r="E2" s="4" t="str">
        <f ca="1">VLOOKUP($B2,OFFSET([2]quests!$A$1,0,0,COUNTA([2]quests!$A:$A),MATCH(E$1,[2]quests!$1:$1,0)-MATCH($B$1,[2]quests!$1:$1,0)+1),MATCH(E$1,[2]quests!$1:$1,0)-MATCH($B$1,[2]quests!$1:$1,0)+1,FALSE)</f>
        <v>妄執とり憑く美貌の妃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【初級】妄執とり憑く美貌の妃</v>
      </c>
      <c r="G2" s="21">
        <v>1</v>
      </c>
      <c r="H2" s="15" t="str">
        <f t="shared" ref="H2:H16" si="2">B2&amp;"_"&amp;C2&amp;"-"&amp;G2</f>
        <v>20015_1-1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 t="s">
        <v>53</v>
      </c>
      <c r="L2" s="20">
        <v>42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燃えゆる吐息 ヒュウガ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10</v>
      </c>
      <c r="S2" s="25">
        <v>1</v>
      </c>
      <c r="T2" s="25">
        <v>0.5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3回連続攻撃</v>
      </c>
      <c r="W2" s="98">
        <v>20015001</v>
      </c>
      <c r="X2" s="6">
        <v>1</v>
      </c>
      <c r="Y2" s="6">
        <v>100</v>
      </c>
      <c r="Z2" s="6">
        <v>0</v>
      </c>
      <c r="AA2" s="99">
        <v>3</v>
      </c>
      <c r="AB2" s="24">
        <f t="shared" ref="AB2:AB15" si="3">L2</f>
        <v>42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燃えゆる吐息 ヒュウガ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4">
        <f t="shared" ref="AG2:AG16" ca="1" si="4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ca="1" si="0"/>
        <v>20015_1-2/54&lt;lv10&gt;s2</v>
      </c>
      <c r="B3" s="22">
        <v>20015</v>
      </c>
      <c r="C3" s="21">
        <v>1</v>
      </c>
      <c r="D3" s="2" t="str">
        <f t="shared" si="1"/>
        <v>20015_1</v>
      </c>
      <c r="E3" s="4" t="str">
        <f ca="1">VLOOKUP($B3,OFFSET([2]quests!$A$1,0,0,COUNTA([2]quests!$A:$A),MATCH(E$1,[2]quests!$1:$1,0)-MATCH($B$1,[2]quests!$1:$1,0)+1),MATCH(E$1,[2]quests!$1:$1,0)-MATCH($B$1,[2]quests!$1:$1,0)+1,FALSE)</f>
        <v>妄執とり憑く美貌の妃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【初級】妄執とり憑く美貌の妃</v>
      </c>
      <c r="G3" s="21">
        <v>2</v>
      </c>
      <c r="H3" s="15" t="str">
        <f t="shared" si="2"/>
        <v>20015_1-2</v>
      </c>
      <c r="I3" s="4">
        <f ca="1">VLOOKUP($H3,OFFSET(floors!$A$1,0,0,COUNTA(floors!$A:$A),MATCH(I$1,floors!$1:$1,0)-MATCH($H$1,floors!$1:$1,0)+1),MATCH(I$1,floors!$1:$1,0)-MATCH($H$1,floors!$1:$1,0)+1,FALSE)</f>
        <v>20</v>
      </c>
      <c r="J3" s="4">
        <f ca="1">VLOOKUP($H3,OFFSET(floors!$A$1,0,0,COUNTA(floors!$A:$A),MATCH(J$1,floors!$1:$1,0)-MATCH($H$1,floors!$1:$1,0)+1),MATCH(J$1,floors!$1:$1,0)-MATCH($H$1,floors!$1:$1,0)+1,FALSE)</f>
        <v>20</v>
      </c>
      <c r="K3" s="38" t="s">
        <v>53</v>
      </c>
      <c r="L3" s="20">
        <v>54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蒼斬のレジスタンス ケンジ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10</v>
      </c>
      <c r="S3" s="25">
        <v>2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" s="98">
        <v>20015002</v>
      </c>
      <c r="X3" s="6">
        <v>1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3"/>
        <v>54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4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20015_1-3/50&lt;lv10&gt;s2</v>
      </c>
      <c r="B4" s="22">
        <v>20015</v>
      </c>
      <c r="C4" s="21">
        <v>1</v>
      </c>
      <c r="D4" s="2" t="str">
        <f t="shared" si="1"/>
        <v>20015_1</v>
      </c>
      <c r="E4" s="4" t="str">
        <f ca="1">VLOOKUP($B4,OFFSET([2]quests!$A$1,0,0,COUNTA([2]quests!$A:$A),MATCH(E$1,[2]quests!$1:$1,0)-MATCH($B$1,[2]quests!$1:$1,0)+1),MATCH(E$1,[2]quests!$1:$1,0)-MATCH($B$1,[2]quests!$1:$1,0)+1,FALSE)</f>
        <v>妄執とり憑く美貌の妃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【初級】妄執とり憑く美貌の妃</v>
      </c>
      <c r="G4" s="21">
        <v>3</v>
      </c>
      <c r="H4" s="15" t="str">
        <f t="shared" si="2"/>
        <v>20015_1-3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 t="s">
        <v>53</v>
      </c>
      <c r="L4" s="20">
        <v>50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炎銃のレジスタンス ヨシタカ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10</v>
      </c>
      <c r="S4" s="25">
        <v>1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強力な単体攻撃</v>
      </c>
      <c r="W4" s="98">
        <v>20015003</v>
      </c>
      <c r="X4" s="6">
        <v>1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50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炎銃のレジスタンス ヨシタカ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0"/>
        <v>20015_1-3/130&lt;lv10&gt;s3</v>
      </c>
      <c r="B5" s="22">
        <v>20015</v>
      </c>
      <c r="C5" s="21">
        <v>1</v>
      </c>
      <c r="D5" s="2" t="str">
        <f t="shared" si="1"/>
        <v>20015_1</v>
      </c>
      <c r="E5" s="4" t="str">
        <f ca="1">VLOOKUP($B5,OFFSET([2]quests!$A$1,0,0,COUNTA([2]quests!$A:$A),MATCH(E$1,[2]quests!$1:$1,0)-MATCH($B$1,[2]quests!$1:$1,0)+1),MATCH(E$1,[2]quests!$1:$1,0)-MATCH($B$1,[2]quests!$1:$1,0)+1,FALSE)</f>
        <v>妄執とり憑く美貌の妃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【初級】妄執とり憑く美貌の妃</v>
      </c>
      <c r="G5" s="21">
        <v>3</v>
      </c>
      <c r="H5" s="15" t="str">
        <f t="shared" si="2"/>
        <v>20015_1-3</v>
      </c>
      <c r="I5" s="4">
        <f ca="1">VLOOKUP($H5,OFFSET(floors!$A$1,0,0,COUNTA(floors!$A:$A),MATCH(I$1,floors!$1:$1,0)-MATCH($H$1,floors!$1:$1,0)+1),MATCH(I$1,floors!$1:$1,0)-MATCH($H$1,floors!$1:$1,0)+1,FALSE)</f>
        <v>40</v>
      </c>
      <c r="J5" s="4">
        <f ca="1">VLOOKUP($H5,OFFSET(floors!$A$1,0,0,COUNTA(floors!$A:$A),MATCH(J$1,floors!$1:$1,0)-MATCH($H$1,floors!$1:$1,0)+1),MATCH(J$1,floors!$1:$1,0)-MATCH($H$1,floors!$1:$1,0)+1,FALSE)</f>
        <v>40</v>
      </c>
      <c r="K5" s="38" t="s">
        <v>53</v>
      </c>
      <c r="L5" s="20">
        <v>130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狼男 ローレンス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10</v>
      </c>
      <c r="S5" s="25">
        <v>1</v>
      </c>
      <c r="T5" s="25">
        <v>0.5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強力な単体攻撃</v>
      </c>
      <c r="W5" s="98">
        <v>20015004</v>
      </c>
      <c r="X5" s="6">
        <v>1</v>
      </c>
      <c r="Y5" s="6">
        <v>100</v>
      </c>
      <c r="Z5" s="6">
        <v>1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 t="shared" si="3"/>
        <v>130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狼男 ローレンス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20015_1-4/856&lt;lv10&gt;s1</v>
      </c>
      <c r="B6" s="22">
        <v>20015</v>
      </c>
      <c r="C6" s="21">
        <v>1</v>
      </c>
      <c r="D6" s="2" t="str">
        <f t="shared" si="1"/>
        <v>20015_1</v>
      </c>
      <c r="E6" s="4" t="str">
        <f ca="1">VLOOKUP($B6,OFFSET([2]quests!$A$1,0,0,COUNTA([2]quests!$A:$A),MATCH(E$1,[2]quests!$1:$1,0)-MATCH($B$1,[2]quests!$1:$1,0)+1),MATCH(E$1,[2]quests!$1:$1,0)-MATCH($B$1,[2]quests!$1:$1,0)+1,FALSE)</f>
        <v>妄執とり憑く美貌の妃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【初級】妄執とり憑く美貌の妃</v>
      </c>
      <c r="G6" s="21">
        <v>4</v>
      </c>
      <c r="H6" s="15" t="str">
        <f t="shared" si="2"/>
        <v>20015_1-4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53</v>
      </c>
      <c r="L6" s="20">
        <v>856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リフレクト＆M.I.R.R.O.R.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10</v>
      </c>
      <c r="S6" s="25">
        <v>2.7</v>
      </c>
      <c r="T6" s="25">
        <v>0.7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『マスターと私の力をもってしてその夢を叶えましょう』</v>
      </c>
      <c r="W6" s="98">
        <v>20015005</v>
      </c>
      <c r="X6" s="6">
        <v>1</v>
      </c>
      <c r="Y6" s="6">
        <v>100</v>
      </c>
      <c r="Z6" s="6">
        <v>0</v>
      </c>
      <c r="AA6" s="99">
        <v>1</v>
      </c>
      <c r="AB6" s="24">
        <f t="shared" si="3"/>
        <v>856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リフレクト＆M.I.R.R.O.R.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4">
        <f t="shared" ca="1" si="4"/>
        <v>4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20015_2-1/510&lt;lv30&gt;s3</v>
      </c>
      <c r="B7" s="22">
        <v>20015</v>
      </c>
      <c r="C7" s="21">
        <v>2</v>
      </c>
      <c r="D7" s="2" t="str">
        <f t="shared" si="1"/>
        <v>20015_2</v>
      </c>
      <c r="E7" s="4" t="str">
        <f ca="1">VLOOKUP($B7,OFFSET([2]quests!$A$1,0,0,COUNTA([2]quests!$A:$A),MATCH(E$1,[2]quests!$1:$1,0)-MATCH($B$1,[2]quests!$1:$1,0)+1),MATCH(E$1,[2]quests!$1:$1,0)-MATCH($B$1,[2]quests!$1:$1,0)+1,FALSE)</f>
        <v>妄執とり憑く美貌の妃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【中級】妄執とり憑く美貌の妃</v>
      </c>
      <c r="G7" s="21">
        <v>1</v>
      </c>
      <c r="H7" s="15" t="str">
        <f t="shared" si="2"/>
        <v>20015_2-1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 t="s">
        <v>53</v>
      </c>
      <c r="L7" s="20">
        <v>510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燃えさかる豪息 ヒュウガ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30</v>
      </c>
      <c r="S7" s="25">
        <v>1</v>
      </c>
      <c r="T7" s="25">
        <v>0.5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3回連続攻撃</v>
      </c>
      <c r="W7" s="98">
        <v>20015001</v>
      </c>
      <c r="X7" s="6">
        <v>1</v>
      </c>
      <c r="Y7" s="6">
        <v>100</v>
      </c>
      <c r="Z7" s="6">
        <v>0</v>
      </c>
      <c r="AA7" s="99">
        <v>3</v>
      </c>
      <c r="AB7" s="24">
        <f t="shared" si="3"/>
        <v>510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燃えさかる豪息 ヒュウガ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ca="1" si="0"/>
        <v>20015_2-2/54&lt;lv30&gt;s2</v>
      </c>
      <c r="B8" s="22">
        <v>20015</v>
      </c>
      <c r="C8" s="21">
        <v>2</v>
      </c>
      <c r="D8" s="2" t="str">
        <f t="shared" si="1"/>
        <v>20015_2</v>
      </c>
      <c r="E8" s="4" t="str">
        <f ca="1">VLOOKUP($B8,OFFSET([2]quests!$A$1,0,0,COUNTA([2]quests!$A:$A),MATCH(E$1,[2]quests!$1:$1,0)-MATCH($B$1,[2]quests!$1:$1,0)+1),MATCH(E$1,[2]quests!$1:$1,0)-MATCH($B$1,[2]quests!$1:$1,0)+1,FALSE)</f>
        <v>妄執とり憑く美貌の妃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【中級】妄執とり憑く美貌の妃</v>
      </c>
      <c r="G8" s="21">
        <v>2</v>
      </c>
      <c r="H8" s="15" t="str">
        <f t="shared" si="2"/>
        <v>20015_2-2</v>
      </c>
      <c r="I8" s="4">
        <f ca="1">VLOOKUP($H8,OFFSET(floors!$A$1,0,0,COUNTA(floors!$A:$A),MATCH(I$1,floors!$1:$1,0)-MATCH($H$1,floors!$1:$1,0)+1),MATCH(I$1,floors!$1:$1,0)-MATCH($H$1,floors!$1:$1,0)+1,FALSE)</f>
        <v>20</v>
      </c>
      <c r="J8" s="4">
        <f ca="1">VLOOKUP($H8,OFFSET(floors!$A$1,0,0,COUNTA(floors!$A:$A),MATCH(J$1,floors!$1:$1,0)-MATCH($H$1,floors!$1:$1,0)+1),MATCH(J$1,floors!$1:$1,0)-MATCH($H$1,floors!$1:$1,0)+1,FALSE)</f>
        <v>20</v>
      </c>
      <c r="K8" s="38" t="s">
        <v>53</v>
      </c>
      <c r="L8" s="20">
        <v>54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蒼斬のレジスタンス ケンジ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30</v>
      </c>
      <c r="S8" s="25">
        <v>2</v>
      </c>
      <c r="T8" s="2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8" s="98">
        <v>20015002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2</v>
      </c>
      <c r="AB8" s="24">
        <f t="shared" si="3"/>
        <v>54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">
        <v>1</v>
      </c>
      <c r="AG8" s="24">
        <f t="shared" ca="1" si="4"/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ca="1" si="0"/>
        <v>20015_2-3/50&lt;lv30&gt;s2</v>
      </c>
      <c r="B9" s="22">
        <v>20015</v>
      </c>
      <c r="C9" s="21">
        <v>2</v>
      </c>
      <c r="D9" s="2" t="str">
        <f t="shared" si="1"/>
        <v>20015_2</v>
      </c>
      <c r="E9" s="4" t="str">
        <f ca="1">VLOOKUP($B9,OFFSET([2]quests!$A$1,0,0,COUNTA([2]quests!$A:$A),MATCH(E$1,[2]quests!$1:$1,0)-MATCH($B$1,[2]quests!$1:$1,0)+1),MATCH(E$1,[2]quests!$1:$1,0)-MATCH($B$1,[2]quests!$1:$1,0)+1,FALSE)</f>
        <v>妄執とり憑く美貌の妃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【中級】妄執とり憑く美貌の妃</v>
      </c>
      <c r="G9" s="21">
        <v>3</v>
      </c>
      <c r="H9" s="15" t="str">
        <f t="shared" si="2"/>
        <v>20015_2-3</v>
      </c>
      <c r="I9" s="4">
        <f ca="1">VLOOKUP($H9,OFFSET(floors!$A$1,0,0,COUNTA(floors!$A:$A),MATCH(I$1,floors!$1:$1,0)-MATCH($H$1,floors!$1:$1,0)+1),MATCH(I$1,floors!$1:$1,0)-MATCH($H$1,floors!$1:$1,0)+1,FALSE)</f>
        <v>40</v>
      </c>
      <c r="J9" s="4">
        <f ca="1">VLOOKUP($H9,OFFSET(floors!$A$1,0,0,COUNTA(floors!$A:$A),MATCH(J$1,floors!$1:$1,0)-MATCH($H$1,floors!$1:$1,0)+1),MATCH(J$1,floors!$1:$1,0)-MATCH($H$1,floors!$1:$1,0)+1,FALSE)</f>
        <v>40</v>
      </c>
      <c r="K9" s="38" t="s">
        <v>53</v>
      </c>
      <c r="L9" s="20">
        <v>50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炎銃のレジスタンス ヨシタカ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30</v>
      </c>
      <c r="S9" s="25">
        <v>1</v>
      </c>
      <c r="T9" s="2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強力な単体攻撃</v>
      </c>
      <c r="W9" s="98">
        <v>20015003</v>
      </c>
      <c r="X9" s="6">
        <v>1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 t="shared" si="3"/>
        <v>50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炎銃のレジスタンス ヨシタカ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7">
        <v>1</v>
      </c>
      <c r="AG9" s="24">
        <f t="shared" ca="1" si="4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ca="1" si="0"/>
        <v>20015_2-3/130&lt;lv30&gt;s3</v>
      </c>
      <c r="B10" s="22">
        <v>20015</v>
      </c>
      <c r="C10" s="21">
        <v>2</v>
      </c>
      <c r="D10" s="2" t="str">
        <f t="shared" si="1"/>
        <v>20015_2</v>
      </c>
      <c r="E10" s="4" t="str">
        <f ca="1">VLOOKUP($B10,OFFSET([2]quests!$A$1,0,0,COUNTA([2]quests!$A:$A),MATCH(E$1,[2]quests!$1:$1,0)-MATCH($B$1,[2]quests!$1:$1,0)+1),MATCH(E$1,[2]quests!$1:$1,0)-MATCH($B$1,[2]quests!$1:$1,0)+1,FALSE)</f>
        <v>妄執とり憑く美貌の妃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【中級】妄執とり憑く美貌の妃</v>
      </c>
      <c r="G10" s="21">
        <v>3</v>
      </c>
      <c r="H10" s="15" t="str">
        <f t="shared" si="2"/>
        <v>20015_2-3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 t="s">
        <v>53</v>
      </c>
      <c r="L10" s="20">
        <v>130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狼男 ローレンス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30</v>
      </c>
      <c r="S10" s="25">
        <v>1</v>
      </c>
      <c r="T10" s="25">
        <v>0.5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強力な単体攻撃</v>
      </c>
      <c r="W10" s="98">
        <v>20015004</v>
      </c>
      <c r="X10" s="6">
        <v>1</v>
      </c>
      <c r="Y10" s="6">
        <v>100</v>
      </c>
      <c r="Z10" s="6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3"/>
        <v>130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狼男 ローレンス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0" s="7">
        <v>1</v>
      </c>
      <c r="AG10" s="24">
        <f t="shared" ca="1" si="4"/>
        <v>3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si="0"/>
        <v>20015_2-4/856&lt;lv30&gt;s1</v>
      </c>
      <c r="B11" s="22">
        <v>20015</v>
      </c>
      <c r="C11" s="21">
        <v>2</v>
      </c>
      <c r="D11" s="2" t="str">
        <f t="shared" si="1"/>
        <v>20015_2</v>
      </c>
      <c r="E11" s="4" t="str">
        <f ca="1">VLOOKUP($B11,OFFSET([2]quests!$A$1,0,0,COUNTA([2]quests!$A:$A),MATCH(E$1,[2]quests!$1:$1,0)-MATCH($B$1,[2]quests!$1:$1,0)+1),MATCH(E$1,[2]quests!$1:$1,0)-MATCH($B$1,[2]quests!$1:$1,0)+1,FALSE)</f>
        <v>妄執とり憑く美貌の妃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【中級】妄執とり憑く美貌の妃</v>
      </c>
      <c r="G11" s="21">
        <v>4</v>
      </c>
      <c r="H11" s="15" t="str">
        <f t="shared" si="2"/>
        <v>20015_2-4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8" t="s">
        <v>53</v>
      </c>
      <c r="L11" s="20">
        <v>856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リフレクト＆M.I.R.R.O.R.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30</v>
      </c>
      <c r="S11" s="25">
        <v>2.7</v>
      </c>
      <c r="T11" s="25">
        <v>0.7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『マスターと私の力をもってしてその夢を叶えましょう』</v>
      </c>
      <c r="W11" s="98">
        <v>20015005</v>
      </c>
      <c r="X11" s="6">
        <v>1</v>
      </c>
      <c r="Y11" s="6">
        <v>100</v>
      </c>
      <c r="Z11" s="6">
        <v>0</v>
      </c>
      <c r="AA11" s="99">
        <v>1</v>
      </c>
      <c r="AB11" s="24">
        <f t="shared" si="3"/>
        <v>856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リフレクト＆M.I.R.R.O.R.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7">
        <v>1</v>
      </c>
      <c r="AG11" s="24">
        <f t="shared" ca="1" si="4"/>
        <v>4</v>
      </c>
      <c r="AH11" s="8">
        <v>50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si="0"/>
        <v>20015_3-1/510&lt;lv40&gt;s3</v>
      </c>
      <c r="B12" s="22">
        <v>20015</v>
      </c>
      <c r="C12" s="21">
        <v>3</v>
      </c>
      <c r="D12" s="2" t="str">
        <f t="shared" si="1"/>
        <v>20015_3</v>
      </c>
      <c r="E12" s="4" t="str">
        <f ca="1">VLOOKUP($B12,OFFSET([2]quests!$A$1,0,0,COUNTA([2]quests!$A:$A),MATCH(E$1,[2]quests!$1:$1,0)-MATCH($B$1,[2]quests!$1:$1,0)+1),MATCH(E$1,[2]quests!$1:$1,0)-MATCH($B$1,[2]quests!$1:$1,0)+1,FALSE)</f>
        <v>妄執とり憑く美貌の妃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【上級】妄執とり憑く美貌の妃</v>
      </c>
      <c r="G12" s="21">
        <v>1</v>
      </c>
      <c r="H12" s="15" t="str">
        <f t="shared" si="2"/>
        <v>20015_3-1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8" t="s">
        <v>53</v>
      </c>
      <c r="L12" s="20">
        <v>510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燃えさかる豪息 ヒュウガ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40</v>
      </c>
      <c r="S12" s="25">
        <v>1</v>
      </c>
      <c r="T12" s="25">
        <v>0.5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3回連続攻撃</v>
      </c>
      <c r="W12" s="98">
        <v>20015001</v>
      </c>
      <c r="X12" s="6">
        <v>1</v>
      </c>
      <c r="Y12" s="6">
        <v>100</v>
      </c>
      <c r="Z12" s="6">
        <v>0</v>
      </c>
      <c r="AA12" s="99">
        <v>3</v>
      </c>
      <c r="AB12" s="24">
        <f t="shared" si="3"/>
        <v>510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燃えさかる豪息 ヒュウガ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Drop2N</v>
      </c>
      <c r="AF12" s="7">
        <v>1</v>
      </c>
      <c r="AG12" s="24">
        <f t="shared" ca="1" si="4"/>
        <v>4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ca="1" si="0"/>
        <v>20015_3-2/54&lt;lv40&gt;s2</v>
      </c>
      <c r="B13" s="22">
        <v>20015</v>
      </c>
      <c r="C13" s="21">
        <v>3</v>
      </c>
      <c r="D13" s="2" t="str">
        <f t="shared" si="1"/>
        <v>20015_3</v>
      </c>
      <c r="E13" s="4" t="str">
        <f ca="1">VLOOKUP($B13,OFFSET([2]quests!$A$1,0,0,COUNTA([2]quests!$A:$A),MATCH(E$1,[2]quests!$1:$1,0)-MATCH($B$1,[2]quests!$1:$1,0)+1),MATCH(E$1,[2]quests!$1:$1,0)-MATCH($B$1,[2]quests!$1:$1,0)+1,FALSE)</f>
        <v>妄執とり憑く美貌の妃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【上級】妄執とり憑く美貌の妃</v>
      </c>
      <c r="G13" s="21">
        <v>2</v>
      </c>
      <c r="H13" s="15" t="str">
        <f t="shared" si="2"/>
        <v>20015_3-2</v>
      </c>
      <c r="I13" s="4">
        <f ca="1">VLOOKUP($H13,OFFSET(floors!$A$1,0,0,COUNTA(floors!$A:$A),MATCH(I$1,floors!$1:$1,0)-MATCH($H$1,floors!$1:$1,0)+1),MATCH(I$1,floors!$1:$1,0)-MATCH($H$1,floors!$1:$1,0)+1,FALSE)</f>
        <v>20</v>
      </c>
      <c r="J13" s="4">
        <f ca="1">VLOOKUP($H13,OFFSET(floors!$A$1,0,0,COUNTA(floors!$A:$A),MATCH(J$1,floors!$1:$1,0)-MATCH($H$1,floors!$1:$1,0)+1),MATCH(J$1,floors!$1:$1,0)-MATCH($H$1,floors!$1:$1,0)+1,FALSE)</f>
        <v>20</v>
      </c>
      <c r="K13" s="38" t="s">
        <v>53</v>
      </c>
      <c r="L13" s="20">
        <v>54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蒼斬のレジスタンス ケンジ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40</v>
      </c>
      <c r="S13" s="25">
        <v>2</v>
      </c>
      <c r="T13" s="25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3" s="98">
        <v>20015002</v>
      </c>
      <c r="X13" s="6">
        <v>1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f t="shared" si="3"/>
        <v>54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7">
        <v>1</v>
      </c>
      <c r="AG13" s="24">
        <f t="shared" ca="1" si="4"/>
        <v>3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ca="1" si="0"/>
        <v>20015_3-3/50&lt;lv40&gt;s2</v>
      </c>
      <c r="B14" s="22">
        <v>20015</v>
      </c>
      <c r="C14" s="21">
        <v>3</v>
      </c>
      <c r="D14" s="2" t="str">
        <f t="shared" si="1"/>
        <v>20015_3</v>
      </c>
      <c r="E14" s="4" t="str">
        <f ca="1">VLOOKUP($B14,OFFSET([2]quests!$A$1,0,0,COUNTA([2]quests!$A:$A),MATCH(E$1,[2]quests!$1:$1,0)-MATCH($B$1,[2]quests!$1:$1,0)+1),MATCH(E$1,[2]quests!$1:$1,0)-MATCH($B$1,[2]quests!$1:$1,0)+1,FALSE)</f>
        <v>妄執とり憑く美貌の妃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【上級】妄執とり憑く美貌の妃</v>
      </c>
      <c r="G14" s="21">
        <v>3</v>
      </c>
      <c r="H14" s="15" t="str">
        <f t="shared" si="2"/>
        <v>20015_3-3</v>
      </c>
      <c r="I14" s="4">
        <f ca="1">VLOOKUP($H14,OFFSET(floors!$A$1,0,0,COUNTA(floors!$A:$A),MATCH(I$1,floors!$1:$1,0)-MATCH($H$1,floors!$1:$1,0)+1),MATCH(I$1,floors!$1:$1,0)-MATCH($H$1,floors!$1:$1,0)+1,FALSE)</f>
        <v>50</v>
      </c>
      <c r="J14" s="4">
        <f ca="1">VLOOKUP($H14,OFFSET(floors!$A$1,0,0,COUNTA(floors!$A:$A),MATCH(J$1,floors!$1:$1,0)-MATCH($H$1,floors!$1:$1,0)+1),MATCH(J$1,floors!$1:$1,0)-MATCH($H$1,floors!$1:$1,0)+1,FALSE)</f>
        <v>50</v>
      </c>
      <c r="K14" s="38" t="s">
        <v>53</v>
      </c>
      <c r="L14" s="20">
        <v>50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炎銃のレジスタンス ヨシタカ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40</v>
      </c>
      <c r="S14" s="25">
        <v>1</v>
      </c>
      <c r="T14" s="25">
        <v>1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強力な単体攻撃</v>
      </c>
      <c r="W14" s="98">
        <v>20015003</v>
      </c>
      <c r="X14" s="6">
        <v>1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2</v>
      </c>
      <c r="AB14" s="24">
        <f t="shared" si="3"/>
        <v>50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炎銃のレジスタンス ヨシタカ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4">
        <f t="shared" ca="1" si="4"/>
        <v>3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ca="1" si="0"/>
        <v>20015_3-3/131&lt;lv40&gt;s3</v>
      </c>
      <c r="B15" s="22">
        <v>20015</v>
      </c>
      <c r="C15" s="21">
        <v>3</v>
      </c>
      <c r="D15" s="2" t="str">
        <f t="shared" si="1"/>
        <v>20015_3</v>
      </c>
      <c r="E15" s="4" t="str">
        <f ca="1">VLOOKUP($B15,OFFSET([2]quests!$A$1,0,0,COUNTA([2]quests!$A:$A),MATCH(E$1,[2]quests!$1:$1,0)-MATCH($B$1,[2]quests!$1:$1,0)+1),MATCH(E$1,[2]quests!$1:$1,0)-MATCH($B$1,[2]quests!$1:$1,0)+1,FALSE)</f>
        <v>妄執とり憑く美貌の妃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【上級】妄執とり憑く美貌の妃</v>
      </c>
      <c r="G15" s="21">
        <v>3</v>
      </c>
      <c r="H15" s="15" t="str">
        <f t="shared" si="2"/>
        <v>20015_3-3</v>
      </c>
      <c r="I15" s="4">
        <f ca="1">VLOOKUP($H15,OFFSET(floors!$A$1,0,0,COUNTA(floors!$A:$A),MATCH(I$1,floors!$1:$1,0)-MATCH($H$1,floors!$1:$1,0)+1),MATCH(I$1,floors!$1:$1,0)-MATCH($H$1,floors!$1:$1,0)+1,FALSE)</f>
        <v>50</v>
      </c>
      <c r="J15" s="4">
        <f ca="1">VLOOKUP($H15,OFFSET(floors!$A$1,0,0,COUNTA(floors!$A:$A),MATCH(J$1,floors!$1:$1,0)-MATCH($H$1,floors!$1:$1,0)+1),MATCH(J$1,floors!$1:$1,0)-MATCH($H$1,floors!$1:$1,0)+1,FALSE)</f>
        <v>50</v>
      </c>
      <c r="K15" s="38" t="s">
        <v>53</v>
      </c>
      <c r="L15" s="20">
        <v>131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月下の人狼 ローレンス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40</v>
      </c>
      <c r="S15" s="25">
        <v>1</v>
      </c>
      <c r="T15" s="25">
        <v>0.5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強力な単体攻撃</v>
      </c>
      <c r="W15" s="98">
        <v>20015004</v>
      </c>
      <c r="X15" s="6">
        <v>1</v>
      </c>
      <c r="Y15" s="6">
        <v>100</v>
      </c>
      <c r="Z15" s="6">
        <v>1</v>
      </c>
      <c r="AA15" s="17">
        <f ca="1">VLOOKUP($L15,OFFSET([3]enemies!$A$1,0,0,COUNTA([3]enemies!$A:$A),MATCH(AA$1,[3]enemies!$1:$1,0)-MATCH($L$1,[3]enemies!$1:$1,0)+1),MATCH(AA$1,[3]enemies!$1:$1,0)-MATCH($L$1,[3]enemies!$1:$1,0)+1,FALSE)</f>
        <v>3</v>
      </c>
      <c r="AB15" s="24">
        <f t="shared" si="3"/>
        <v>131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5" s="7">
        <v>1</v>
      </c>
      <c r="AG15" s="24">
        <f t="shared" ca="1" si="4"/>
        <v>4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si="0"/>
        <v>20015_3-4/857&lt;lv40&gt;s1</v>
      </c>
      <c r="B16" s="22">
        <v>20015</v>
      </c>
      <c r="C16" s="21">
        <v>3</v>
      </c>
      <c r="D16" s="2" t="str">
        <f t="shared" si="1"/>
        <v>20015_3</v>
      </c>
      <c r="E16" s="4" t="str">
        <f ca="1">VLOOKUP($B16,OFFSET([2]quests!$A$1,0,0,COUNTA([2]quests!$A:$A),MATCH(E$1,[2]quests!$1:$1,0)-MATCH($B$1,[2]quests!$1:$1,0)+1),MATCH(E$1,[2]quests!$1:$1,0)-MATCH($B$1,[2]quests!$1:$1,0)+1,FALSE)</f>
        <v>妄執とり憑く美貌の妃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【上級】妄執とり憑く美貌の妃</v>
      </c>
      <c r="G16" s="21">
        <v>4</v>
      </c>
      <c r="H16" s="15" t="str">
        <f t="shared" si="2"/>
        <v>20015_3-4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857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嫉心のリフレクト＆M.I.R.R.O.R.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60</v>
      </c>
      <c r="R16" s="5">
        <v>40</v>
      </c>
      <c r="S16" s="25">
        <v>2.7</v>
      </c>
      <c r="T16" s="25">
        <v>0.7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『マスターと私の力をもってしてその夢を叶えましょう』</v>
      </c>
      <c r="W16" s="98">
        <v>20015005</v>
      </c>
      <c r="X16" s="6">
        <v>1</v>
      </c>
      <c r="Y16" s="6">
        <v>100</v>
      </c>
      <c r="Z16" s="6">
        <v>0</v>
      </c>
      <c r="AA16" s="99">
        <v>1</v>
      </c>
      <c r="AB16" s="100">
        <v>856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リフレクト＆M.I.R.R.O.R.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Drop2N</v>
      </c>
      <c r="AF16" s="7">
        <v>1</v>
      </c>
      <c r="AG16" s="24">
        <f t="shared" ca="1" si="4"/>
        <v>4</v>
      </c>
      <c r="AH16" s="8">
        <v>100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M2" sqref="M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20015_1-1/2&lt;lv1&gt;sq1st2</v>
      </c>
      <c r="B2" s="22">
        <v>20015</v>
      </c>
      <c r="C2" s="21">
        <v>1</v>
      </c>
      <c r="D2" s="2" t="str">
        <f>B2&amp;"_"&amp;C2</f>
        <v>20015_1</v>
      </c>
      <c r="E2" s="4" t="str">
        <f ca="1">VLOOKUP($B2,OFFSET([2]quests!$A$1,0,0,COUNTA([2]quests!$A:$A),MATCH(E$1,[2]quests!$1:$1,0)-MATCH($B$1,[2]quests!$1:$1,0)+1),MATCH(E$1,[2]quests!$1:$1,0)-MATCH($B$1,[2]quests!$1:$1,0)+1,FALSE)</f>
        <v>妄執とり憑く美貌の妃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【初級】妄執とり憑く美貌の妃</v>
      </c>
      <c r="G2" s="21">
        <v>1</v>
      </c>
      <c r="H2" s="15" t="str">
        <f>B2&amp;"_"&amp;C2&amp;"-"&amp;G2</f>
        <v>20015_1-1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>
        <v>1</v>
      </c>
      <c r="L2" s="38">
        <v>2</v>
      </c>
      <c r="M2" s="132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4">
        <f ca="1">VLOOKUP($M2,OFFSET([3]enemies!$A$1,0,0,COUNTA([3]enemies!$A:$A),MATCH(X$1,[3]enemies!$1:$1,0)-MATCH($M$1,[3]enemies!$1:$1,0)+1),MATCH(X$1,[3]enemies!$1:$1,0)-MATCH($M$1,[3]enemies!$1:$1,0)+1,FALSE)</f>
        <v>0</v>
      </c>
      <c r="Y2" s="70">
        <f ca="1">VLOOKUP($M2,OFFSET([3]enemies!$A$1,0,0,COUNTA([3]enemies!$A:$A),MATCH(Y$1,[3]enemies!$1:$1,0)-MATCH($M$1,[3]enemies!$1:$1,0)+1),MATCH(Y$1,[3]enemies!$1:$1,0)-MATCH($M$1,[3]enemies!$1:$1,0)+1,FALSE)</f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0"/>
  <sheetViews>
    <sheetView showGridLines="0" zoomScaleNormal="75" zoomScalePageLayoutView="75" workbookViewId="0">
      <pane ySplit="1" topLeftCell="A2" activePane="bottomLeft" state="frozenSplit"/>
      <selection pane="bottomLeft" activeCell="C7" sqref="C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59" customHeight="1" x14ac:dyDescent="0.15">
      <c r="A2" s="47">
        <v>20015001</v>
      </c>
      <c r="B2" s="47" t="s">
        <v>225</v>
      </c>
      <c r="C2" s="50">
        <v>3</v>
      </c>
      <c r="D2" s="50" t="s">
        <v>222</v>
      </c>
      <c r="E2" s="51" t="s">
        <v>248</v>
      </c>
      <c r="F2" s="51" t="s">
        <v>223</v>
      </c>
      <c r="G2" s="63" t="str">
        <f t="shared" ref="G2:G7" si="0">IFERROR(LEFT(B2,FIND("],",B2)),B2)</f>
        <v>[effect:rush, count:3, val:0.37]</v>
      </c>
      <c r="H2" s="63">
        <f t="shared" ref="H2:H7" si="1">FIND("effect:",G2)+7</f>
        <v>9</v>
      </c>
      <c r="I2" s="63">
        <f t="shared" ref="I2:I7" si="2">IFERROR(FIND(",",G2),LEN(G2))</f>
        <v>13</v>
      </c>
      <c r="J2" s="63" t="e">
        <f t="shared" ref="J2:J7" si="3">FIND("target:",G2)+7</f>
        <v>#VALUE!</v>
      </c>
      <c r="K2" s="63">
        <f t="shared" ref="K2:K7" si="4">FIND(",",G2,I2+1)</f>
        <v>22</v>
      </c>
      <c r="L2" s="63" t="str">
        <f>IFERROR(VLOOKUP(MID(G2,J2,K2-J2),[6]skilldef!$C:$D,2,FALSE),"-") &amp; " / " &amp; IFERROR(VLOOKUP(MID(G2,H2,I2-H2),[6]skilldef!$A:$B,2,FALSE),"-")</f>
        <v>- / 連続攻撃</v>
      </c>
      <c r="M2" s="63" t="str">
        <f t="shared" ref="M2:M7" si="5">IFERROR(RIGHT(B2,LEN(B2)-FIND("],",B2)-1),"none")</f>
        <v>none</v>
      </c>
      <c r="N2" s="48" t="str">
        <f>IFERROR(LEFT(M2,FIND("],",M2)+S7),M2)</f>
        <v>none</v>
      </c>
      <c r="O2" s="63" t="e">
        <f t="shared" ref="O2:O7" si="6">FIND("effect:",N2)+7</f>
        <v>#VALUE!</v>
      </c>
      <c r="P2" s="63">
        <f t="shared" ref="P2:P7" si="7">IFERROR(FIND(",",N2),LEN(N2))</f>
        <v>4</v>
      </c>
      <c r="Q2" s="63" t="e">
        <f t="shared" ref="Q2:Q7" si="8">FIND("target:",N2)+7</f>
        <v>#VALUE!</v>
      </c>
      <c r="R2" s="63" t="e">
        <f t="shared" ref="R2:R7" si="9"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 t="shared" ref="T2:T7" si="10">IFERROR(RIGHT(M2,LEN(M2)-FIND("],",M2)-1),"none")</f>
        <v>none</v>
      </c>
      <c r="U2" s="63" t="e">
        <f t="shared" ref="U2:U7" si="11">FIND("effect:",T2)+7</f>
        <v>#VALUE!</v>
      </c>
      <c r="V2" s="63">
        <f t="shared" ref="V2:V7" si="12">IFERROR(FIND(",",T2),LEN(T2))</f>
        <v>4</v>
      </c>
      <c r="W2" s="63" t="e">
        <f t="shared" ref="W2:W7" si="13">FIND("target:",T2)+7</f>
        <v>#VALUE!</v>
      </c>
      <c r="X2" s="63" t="e">
        <f t="shared" ref="X2:X7" si="14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59" customHeight="1" x14ac:dyDescent="0.15">
      <c r="A3" s="47">
        <v>20015002</v>
      </c>
      <c r="B3" s="47" t="s">
        <v>215</v>
      </c>
      <c r="C3" s="50">
        <v>3</v>
      </c>
      <c r="D3" s="50" t="s">
        <v>128</v>
      </c>
      <c r="E3" s="51" t="s">
        <v>249</v>
      </c>
      <c r="F3" s="51" t="s">
        <v>216</v>
      </c>
      <c r="G3" s="63" t="str">
        <f t="shared" si="0"/>
        <v>[effect:spread, val:0.3]</v>
      </c>
      <c r="H3" s="63">
        <f t="shared" si="1"/>
        <v>9</v>
      </c>
      <c r="I3" s="63">
        <f t="shared" si="2"/>
        <v>15</v>
      </c>
      <c r="J3" s="63" t="e">
        <f t="shared" si="3"/>
        <v>#VALUE!</v>
      </c>
      <c r="K3" s="63" t="e">
        <f t="shared" si="4"/>
        <v>#VALUE!</v>
      </c>
      <c r="L3" s="63" t="str">
        <f>IFERROR(VLOOKUP(MID(G3,J3,K3-J3),[6]skilldef!$C:$D,2,FALSE),"-") &amp; " / " &amp; IFERROR(VLOOKUP(MID(G3,H3,I3-H3),[6]skilldef!$A:$B,2,FALSE),"-")</f>
        <v>- / 全体攻撃</v>
      </c>
      <c r="M3" s="63" t="str">
        <f t="shared" si="5"/>
        <v>none</v>
      </c>
      <c r="N3" s="48" t="str">
        <f>IFERROR(LEFT(M3,FIND("],",M3)+S10),M3)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59" customHeight="1" x14ac:dyDescent="0.15">
      <c r="A4" s="47">
        <v>20015003</v>
      </c>
      <c r="B4" s="47" t="s">
        <v>217</v>
      </c>
      <c r="C4" s="50">
        <v>3</v>
      </c>
      <c r="D4" s="50" t="s">
        <v>128</v>
      </c>
      <c r="E4" s="51" t="s">
        <v>235</v>
      </c>
      <c r="F4" s="51" t="s">
        <v>218</v>
      </c>
      <c r="G4" s="63" t="str">
        <f t="shared" si="0"/>
        <v>[effect:critical, val:1.3]</v>
      </c>
      <c r="H4" s="63">
        <f t="shared" si="1"/>
        <v>9</v>
      </c>
      <c r="I4" s="63">
        <f t="shared" si="2"/>
        <v>17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大攻撃</v>
      </c>
      <c r="M4" s="63" t="str">
        <f t="shared" si="5"/>
        <v>none</v>
      </c>
      <c r="N4" s="48" t="str">
        <f>IFERROR(LEFT(M4,FIND("],",M4)+S11),M4)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59" customHeight="1" x14ac:dyDescent="0.15">
      <c r="A5" s="47">
        <v>20015004</v>
      </c>
      <c r="B5" s="47" t="s">
        <v>217</v>
      </c>
      <c r="C5" s="50">
        <v>3</v>
      </c>
      <c r="D5" s="50" t="s">
        <v>128</v>
      </c>
      <c r="E5" s="51" t="s">
        <v>219</v>
      </c>
      <c r="F5" s="51" t="s">
        <v>218</v>
      </c>
      <c r="G5" s="63" t="str">
        <f t="shared" si="0"/>
        <v>[effect:critical, val:1.3]</v>
      </c>
      <c r="H5" s="63">
        <f t="shared" si="1"/>
        <v>9</v>
      </c>
      <c r="I5" s="63">
        <f t="shared" si="2"/>
        <v>17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大攻撃</v>
      </c>
      <c r="M5" s="63" t="str">
        <f t="shared" si="5"/>
        <v>none</v>
      </c>
      <c r="N5" s="48" t="str">
        <f>IFERROR(LEFT(M5,FIND("],",M5)+S13),M5)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59" customHeight="1" x14ac:dyDescent="0.15">
      <c r="A6" s="47">
        <v>20015005</v>
      </c>
      <c r="B6" s="47" t="s">
        <v>253</v>
      </c>
      <c r="C6" s="50">
        <v>3</v>
      </c>
      <c r="D6" s="50" t="s">
        <v>128</v>
      </c>
      <c r="E6" s="51" t="s">
        <v>220</v>
      </c>
      <c r="F6" s="51" t="s">
        <v>256</v>
      </c>
      <c r="G6" s="63" t="str">
        <f t="shared" si="0"/>
        <v>[effect:fix_speed, target:myself, turn:1]</v>
      </c>
      <c r="H6" s="63">
        <f t="shared" si="1"/>
        <v>9</v>
      </c>
      <c r="I6" s="63">
        <f t="shared" si="2"/>
        <v>18</v>
      </c>
      <c r="J6" s="63">
        <f t="shared" si="3"/>
        <v>27</v>
      </c>
      <c r="K6" s="63">
        <f t="shared" si="4"/>
        <v>33</v>
      </c>
      <c r="L6" s="63" t="str">
        <f>IFERROR(VLOOKUP(MID(G6,J6,K6-J6),[6]skilldef!$C:$D,2,FALSE),"-") &amp; " / " &amp; IFERROR(VLOOKUP(MID(G6,H6,I6-H6),[6]skilldef!$A:$B,2,FALSE),"-")</f>
        <v>自分自身に / 行動値設定</v>
      </c>
      <c r="M6" s="63" t="str">
        <f t="shared" si="5"/>
        <v>none</v>
      </c>
      <c r="N6" s="48" t="str">
        <f>IFERROR(LEFT(M6,FIND("],",M6)+S17),M6)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59" customHeight="1" x14ac:dyDescent="0.15">
      <c r="A7" s="47">
        <v>20015006</v>
      </c>
      <c r="B7" s="47" t="s">
        <v>221</v>
      </c>
      <c r="C7" s="50">
        <v>3</v>
      </c>
      <c r="D7" s="50" t="s">
        <v>128</v>
      </c>
      <c r="E7" s="51" t="s">
        <v>257</v>
      </c>
      <c r="F7" s="51" t="s">
        <v>250</v>
      </c>
      <c r="G7" s="63" t="str">
        <f t="shared" si="0"/>
        <v>[effect:enemy_message, val1:2, val2:3]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30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[effect:enemy_counter, target:myself, invoke_condition:unit_all, counter_target:attacker, turn:-1, val:0.5, animation:enemy_counter]</v>
      </c>
      <c r="N7" s="48" t="str">
        <f>IFERROR(LEFT(M7,FIND("],",M7)+S18),M7)</f>
        <v>[effect:enemy_counter, target:myself, invoke_condition:unit_all, counter_target:attacker, turn:-1, val:0.5, animation:enemy_counter]</v>
      </c>
      <c r="O7" s="63">
        <f t="shared" si="6"/>
        <v>9</v>
      </c>
      <c r="P7" s="63">
        <f t="shared" si="7"/>
        <v>22</v>
      </c>
      <c r="Q7" s="63">
        <f t="shared" si="8"/>
        <v>31</v>
      </c>
      <c r="R7" s="63">
        <f t="shared" si="9"/>
        <v>37</v>
      </c>
      <c r="S7" s="63" t="str">
        <f>IFERROR(VLOOKUP(MID(N7,Q7,R7-Q7),[6]skilldef!$C:$D,2,FALSE),"-") &amp; " / " &amp; IFERROR(VLOOKUP(MID(N7,O7,P7-O7),[6]skilldef!$A:$B,2,FALSE),"-")</f>
        <v>自分自身に / カウンター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59" customHeight="1" x14ac:dyDescent="0.15">
      <c r="A8" s="47">
        <v>20015007</v>
      </c>
      <c r="B8" s="47" t="s">
        <v>224</v>
      </c>
      <c r="C8" s="50">
        <v>3</v>
      </c>
      <c r="D8" s="50" t="s">
        <v>128</v>
      </c>
      <c r="E8" s="51" t="s">
        <v>233</v>
      </c>
      <c r="F8" s="51" t="s">
        <v>255</v>
      </c>
      <c r="G8" s="63" t="str">
        <f t="shared" ref="G8" si="15">IFERROR(LEFT(B8,FIND("],",B8)),B8)</f>
        <v>[effect:enemy_message, val1:2, val2:3]</v>
      </c>
      <c r="H8" s="63">
        <f t="shared" ref="H8" si="16">FIND("effect:",G8)+7</f>
        <v>9</v>
      </c>
      <c r="I8" s="63">
        <f t="shared" ref="I8" si="17">IFERROR(FIND(",",G8),LEN(G8))</f>
        <v>22</v>
      </c>
      <c r="J8" s="63" t="e">
        <f t="shared" ref="J8" si="18">FIND("target:",G8)+7</f>
        <v>#VALUE!</v>
      </c>
      <c r="K8" s="63">
        <f t="shared" ref="K8" si="19">FIND(",",G8,I8+1)</f>
        <v>30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ref="M8" si="20">IFERROR(RIGHT(B8,LEN(B8)-FIND("],",B8)-1),"none")</f>
        <v>[effect:remove_enhancement, target:unit_all, target_effect:all, animation:frozen_wave],[effect:remove_enhancement, target:enemy_all, target_effect:all]</v>
      </c>
      <c r="N8" s="48" t="str">
        <f>IFERROR(LEFT(M8,FIND("],",M8)+S19),M8)</f>
        <v>[effect:remove_enhancement, target:unit_all, target_effect:all, animation:frozen_wave]</v>
      </c>
      <c r="O8" s="63">
        <f t="shared" ref="O8" si="21">FIND("effect:",N8)+7</f>
        <v>9</v>
      </c>
      <c r="P8" s="63">
        <f t="shared" ref="P8" si="22">IFERROR(FIND(",",N8),LEN(N8))</f>
        <v>27</v>
      </c>
      <c r="Q8" s="63">
        <f t="shared" ref="Q8" si="23">FIND("target:",N8)+7</f>
        <v>36</v>
      </c>
      <c r="R8" s="63">
        <f t="shared" ref="R8" si="24">FIND(",",N8,P8+1)</f>
        <v>44</v>
      </c>
      <c r="S8" s="63" t="str">
        <f>IFERROR(VLOOKUP(MID(N8,Q8,R8-Q8),[6]skilldef!$C:$D,2,FALSE),"-") &amp; " / " &amp; IFERROR(VLOOKUP(MID(N8,O8,P8-O8),[6]skilldef!$A:$B,2,FALSE),"-")</f>
        <v>味方全体に / -</v>
      </c>
      <c r="T8" s="48" t="str">
        <f t="shared" ref="T8" si="25">IFERROR(RIGHT(M8,LEN(M8)-FIND("],",M8)-1),"none")</f>
        <v>[effect:remove_enhancement, target:enemy_all, target_effect:all]</v>
      </c>
      <c r="U8" s="63">
        <f t="shared" ref="U8" si="26">FIND("effect:",T8)+7</f>
        <v>9</v>
      </c>
      <c r="V8" s="63">
        <f t="shared" ref="V8" si="27">IFERROR(FIND(",",T8),LEN(T8))</f>
        <v>27</v>
      </c>
      <c r="W8" s="63">
        <f t="shared" ref="W8" si="28">FIND("target:",T8)+7</f>
        <v>36</v>
      </c>
      <c r="X8" s="63">
        <f t="shared" ref="X8" si="29">FIND(",",T8,V8+1)</f>
        <v>45</v>
      </c>
      <c r="Y8" s="63" t="str">
        <f>IFERROR(VLOOKUP(MID(T8,W8,X8-W8),[6]skilldef!$C:$D,2,FALSE),"-") &amp; " / " &amp; IFERROR(VLOOKUP(MID(T8,U8,V8-U8),[6]skilldef!$A:$B,2,FALSE),"-")</f>
        <v>敵全体に / -</v>
      </c>
      <c r="Z8" s="50"/>
      <c r="AA8" s="52"/>
      <c r="AB8" s="50"/>
    </row>
    <row r="9" spans="1:28" ht="59" customHeight="1" x14ac:dyDescent="0.15">
      <c r="A9" s="47">
        <v>20015008</v>
      </c>
      <c r="B9" s="47" t="s">
        <v>234</v>
      </c>
      <c r="C9" s="50">
        <v>3</v>
      </c>
      <c r="D9" s="50" t="s">
        <v>128</v>
      </c>
      <c r="E9" s="51" t="s">
        <v>251</v>
      </c>
      <c r="F9" s="51" t="s">
        <v>252</v>
      </c>
      <c r="G9" s="63" t="str">
        <f t="shared" ref="G9" si="30">IFERROR(LEFT(B9,FIND("],",B9)),B9)</f>
        <v>[effect:rush, count:4, val:0.4]</v>
      </c>
      <c r="H9" s="63">
        <f t="shared" ref="H9" si="31">FIND("effect:",G9)+7</f>
        <v>9</v>
      </c>
      <c r="I9" s="63">
        <f t="shared" ref="I9" si="32">IFERROR(FIND(",",G9),LEN(G9))</f>
        <v>13</v>
      </c>
      <c r="J9" s="63" t="e">
        <f t="shared" ref="J9" si="33">FIND("target:",G9)+7</f>
        <v>#VALUE!</v>
      </c>
      <c r="K9" s="63">
        <f t="shared" ref="K9" si="34">FIND(",",G9,I9+1)</f>
        <v>22</v>
      </c>
      <c r="L9" s="63" t="str">
        <f>IFERROR(VLOOKUP(MID(G9,J9,K9-J9),[6]skilldef!$C:$D,2,FALSE),"-") &amp; " / " &amp; IFERROR(VLOOKUP(MID(G9,H9,I9-H9),[6]skilldef!$A:$B,2,FALSE),"-")</f>
        <v>- / 連続攻撃</v>
      </c>
      <c r="M9" s="63" t="str">
        <f t="shared" ref="M9" si="35">IFERROR(RIGHT(B9,LEN(B9)-FIND("],",B9)-1),"none")</f>
        <v>none</v>
      </c>
      <c r="N9" s="48" t="str">
        <f>IFERROR(LEFT(M9,FIND("],",M9)+S20),M9)</f>
        <v>none</v>
      </c>
      <c r="O9" s="63" t="e">
        <f t="shared" ref="O9" si="36">FIND("effect:",N9)+7</f>
        <v>#VALUE!</v>
      </c>
      <c r="P9" s="63">
        <f t="shared" ref="P9" si="37">IFERROR(FIND(",",N9),LEN(N9))</f>
        <v>4</v>
      </c>
      <c r="Q9" s="63" t="e">
        <f t="shared" ref="Q9" si="38">FIND("target:",N9)+7</f>
        <v>#VALUE!</v>
      </c>
      <c r="R9" s="63" t="e">
        <f t="shared" ref="R9" si="39">FIND(",",N9,P9+1)</f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ref="T9" si="40">IFERROR(RIGHT(M9,LEN(M9)-FIND("],",M9)-1),"none")</f>
        <v>none</v>
      </c>
      <c r="U9" s="63" t="e">
        <f t="shared" ref="U9" si="41">FIND("effect:",T9)+7</f>
        <v>#VALUE!</v>
      </c>
      <c r="V9" s="63">
        <f t="shared" ref="V9" si="42">IFERROR(FIND(",",T9),LEN(T9))</f>
        <v>4</v>
      </c>
      <c r="W9" s="63" t="e">
        <f t="shared" ref="W9" si="43">FIND("target:",T9)+7</f>
        <v>#VALUE!</v>
      </c>
      <c r="X9" s="63" t="e">
        <f t="shared" ref="X9" si="44">FIND(",",T9,V9+1)</f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59" customHeight="1" x14ac:dyDescent="0.15">
      <c r="A10" s="47">
        <v>20015009</v>
      </c>
      <c r="B10" s="47" t="s">
        <v>226</v>
      </c>
      <c r="C10" s="50">
        <v>3</v>
      </c>
      <c r="D10" s="50" t="s">
        <v>128</v>
      </c>
      <c r="E10" s="51" t="s">
        <v>227</v>
      </c>
      <c r="F10" s="51" t="s">
        <v>228</v>
      </c>
      <c r="G10" s="63" t="str">
        <f t="shared" ref="G10" si="45">IFERROR(LEFT(B10,FIND("],",B10)),B10)</f>
        <v>[effect:rush, count:3, val:0.4]</v>
      </c>
      <c r="H10" s="63">
        <f t="shared" ref="H10" si="46">FIND("effect:",G10)+7</f>
        <v>9</v>
      </c>
      <c r="I10" s="63">
        <f t="shared" ref="I10" si="47">IFERROR(FIND(",",G10),LEN(G10))</f>
        <v>13</v>
      </c>
      <c r="J10" s="63" t="e">
        <f t="shared" ref="J10" si="48">FIND("target:",G10)+7</f>
        <v>#VALUE!</v>
      </c>
      <c r="K10" s="63">
        <f t="shared" ref="K10" si="49">FIND(",",G10,I10+1)</f>
        <v>22</v>
      </c>
      <c r="L10" s="63" t="str">
        <f>IFERROR(VLOOKUP(MID(G10,J10,K10-J10),[6]skilldef!$C:$D,2,FALSE),"-") &amp; " / " &amp; IFERROR(VLOOKUP(MID(G10,H10,I10-H10),[6]skilldef!$A:$B,2,FALSE),"-")</f>
        <v>- / 連続攻撃</v>
      </c>
      <c r="M10" s="63" t="str">
        <f t="shared" ref="M10" si="50">IFERROR(RIGHT(B10,LEN(B10)-FIND("],",B10)-1),"none")</f>
        <v>none</v>
      </c>
      <c r="N10" s="48" t="str">
        <f>IFERROR(LEFT(M10,FIND("],",M10)+S21),M10)</f>
        <v>none</v>
      </c>
      <c r="O10" s="63" t="e">
        <f t="shared" ref="O10" si="51">FIND("effect:",N10)+7</f>
        <v>#VALUE!</v>
      </c>
      <c r="P10" s="63">
        <f t="shared" ref="P10" si="52">IFERROR(FIND(",",N10),LEN(N10))</f>
        <v>4</v>
      </c>
      <c r="Q10" s="63" t="e">
        <f t="shared" ref="Q10" si="53">FIND("target:",N10)+7</f>
        <v>#VALUE!</v>
      </c>
      <c r="R10" s="63" t="e">
        <f t="shared" ref="R10" si="54">FIND(",",N10,P10+1)</f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ref="T10" si="55">IFERROR(RIGHT(M10,LEN(M10)-FIND("],",M10)-1),"none")</f>
        <v>none</v>
      </c>
      <c r="U10" s="63" t="e">
        <f t="shared" ref="U10" si="56">FIND("effect:",T10)+7</f>
        <v>#VALUE!</v>
      </c>
      <c r="V10" s="63">
        <f t="shared" ref="V10" si="57">IFERROR(FIND(",",T10),LEN(T10))</f>
        <v>4</v>
      </c>
      <c r="W10" s="63" t="e">
        <f t="shared" ref="W10" si="58">FIND("target:",T10)+7</f>
        <v>#VALUE!</v>
      </c>
      <c r="X10" s="63" t="e">
        <f t="shared" ref="X10" si="59">FIND(",",T10,V10+1)</f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0"/>
  <sheetViews>
    <sheetView showGridLines="0" zoomScale="94" zoomScaleNormal="75" zoomScalePageLayoutView="75" workbookViewId="0">
      <pane ySplit="1" topLeftCell="A2" activePane="bottomLeft" state="frozenSplit"/>
      <selection pane="bottomLeft" activeCell="D13" sqref="D1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20015001</v>
      </c>
      <c r="B2" s="47">
        <v>0</v>
      </c>
      <c r="C2" s="47" t="s">
        <v>53</v>
      </c>
      <c r="D2" s="47">
        <v>100</v>
      </c>
      <c r="E2" s="47" t="s">
        <v>229</v>
      </c>
      <c r="F2" s="47" t="s">
        <v>90</v>
      </c>
      <c r="G2" s="47" t="s">
        <v>230</v>
      </c>
      <c r="H2" s="47">
        <v>3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20015002</v>
      </c>
      <c r="B3" s="47">
        <v>0</v>
      </c>
      <c r="C3" s="47" t="s">
        <v>53</v>
      </c>
      <c r="D3" s="47">
        <v>100</v>
      </c>
      <c r="E3" s="47">
        <v>50</v>
      </c>
      <c r="F3" s="47" t="s">
        <v>90</v>
      </c>
      <c r="G3" s="47" t="s">
        <v>230</v>
      </c>
      <c r="H3" s="47" t="s">
        <v>53</v>
      </c>
      <c r="I3" s="47" t="s">
        <v>90</v>
      </c>
      <c r="J3" s="48">
        <f t="shared" ref="J3" si="1">D3</f>
        <v>100</v>
      </c>
    </row>
    <row r="4" spans="1:11" ht="21" customHeight="1" x14ac:dyDescent="0.15">
      <c r="A4" s="47">
        <v>20015003</v>
      </c>
      <c r="B4" s="47">
        <v>0</v>
      </c>
      <c r="C4" s="47" t="s">
        <v>53</v>
      </c>
      <c r="D4" s="47">
        <v>100</v>
      </c>
      <c r="E4" s="47">
        <v>100</v>
      </c>
      <c r="F4" s="47">
        <v>70</v>
      </c>
      <c r="G4" s="47" t="s">
        <v>230</v>
      </c>
      <c r="H4" s="47" t="s">
        <v>53</v>
      </c>
      <c r="I4" s="47" t="s">
        <v>90</v>
      </c>
      <c r="J4" s="48">
        <f t="shared" ref="J4" si="2">D4</f>
        <v>100</v>
      </c>
    </row>
    <row r="5" spans="1:11" ht="21" customHeight="1" x14ac:dyDescent="0.15">
      <c r="A5" s="47">
        <v>20015004</v>
      </c>
      <c r="B5" s="47">
        <v>0</v>
      </c>
      <c r="C5" s="47" t="s">
        <v>53</v>
      </c>
      <c r="D5" s="47">
        <v>30</v>
      </c>
      <c r="E5" s="47" t="s">
        <v>231</v>
      </c>
      <c r="F5" s="47" t="s">
        <v>231</v>
      </c>
      <c r="G5" s="47" t="s">
        <v>230</v>
      </c>
      <c r="H5" s="47" t="s">
        <v>53</v>
      </c>
      <c r="I5" s="47" t="s">
        <v>90</v>
      </c>
      <c r="J5" s="48">
        <f t="shared" ref="J5:J6" si="3">D5</f>
        <v>30</v>
      </c>
    </row>
    <row r="6" spans="1:11" ht="21" customHeight="1" x14ac:dyDescent="0.15">
      <c r="A6" s="47">
        <v>20015005</v>
      </c>
      <c r="B6" s="47">
        <v>1</v>
      </c>
      <c r="C6" s="47" t="s">
        <v>53</v>
      </c>
      <c r="D6" s="47">
        <v>100</v>
      </c>
      <c r="E6" s="47" t="s">
        <v>229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si="3"/>
        <v>100</v>
      </c>
    </row>
    <row r="7" spans="1:11" ht="21" customHeight="1" x14ac:dyDescent="0.15">
      <c r="A7" s="47">
        <v>20015006</v>
      </c>
      <c r="B7" s="47">
        <v>0</v>
      </c>
      <c r="C7" s="47" t="s">
        <v>53</v>
      </c>
      <c r="D7" s="47">
        <v>100</v>
      </c>
      <c r="E7" s="47" t="s">
        <v>231</v>
      </c>
      <c r="F7" s="47" t="s">
        <v>231</v>
      </c>
      <c r="G7" s="47">
        <v>1</v>
      </c>
      <c r="H7" s="47" t="s">
        <v>232</v>
      </c>
      <c r="I7" s="47" t="s">
        <v>90</v>
      </c>
      <c r="J7" s="48">
        <f t="shared" ref="J7" si="4">D7</f>
        <v>100</v>
      </c>
    </row>
    <row r="8" spans="1:11" ht="21" customHeight="1" x14ac:dyDescent="0.15">
      <c r="A8" s="47">
        <v>20015007</v>
      </c>
      <c r="B8" s="47">
        <v>0</v>
      </c>
      <c r="C8" s="47" t="s">
        <v>53</v>
      </c>
      <c r="D8" s="47">
        <v>100</v>
      </c>
      <c r="E8" s="47">
        <v>30</v>
      </c>
      <c r="F8" s="47" t="s">
        <v>231</v>
      </c>
      <c r="G8" s="47">
        <v>1</v>
      </c>
      <c r="H8" s="47" t="s">
        <v>232</v>
      </c>
      <c r="I8" s="47" t="s">
        <v>90</v>
      </c>
      <c r="J8" s="48">
        <f t="shared" ref="J8" si="5">D8</f>
        <v>100</v>
      </c>
    </row>
    <row r="9" spans="1:11" ht="21" customHeight="1" x14ac:dyDescent="0.15">
      <c r="A9" s="47">
        <v>20015008</v>
      </c>
      <c r="B9" s="47">
        <v>0</v>
      </c>
      <c r="C9" s="47" t="s">
        <v>53</v>
      </c>
      <c r="D9" s="47">
        <v>100</v>
      </c>
      <c r="E9" s="47">
        <v>30</v>
      </c>
      <c r="F9" s="47" t="s">
        <v>231</v>
      </c>
      <c r="G9" s="47">
        <v>1</v>
      </c>
      <c r="H9" s="47" t="s">
        <v>232</v>
      </c>
      <c r="I9" s="47" t="s">
        <v>90</v>
      </c>
      <c r="J9" s="48">
        <f t="shared" ref="J9:J10" si="6">D9</f>
        <v>100</v>
      </c>
    </row>
    <row r="10" spans="1:11" ht="21" customHeight="1" x14ac:dyDescent="0.15">
      <c r="A10" s="47">
        <v>20015009</v>
      </c>
      <c r="B10" s="47">
        <v>0</v>
      </c>
      <c r="C10" s="47" t="s">
        <v>53</v>
      </c>
      <c r="D10" s="47">
        <v>100</v>
      </c>
      <c r="E10" s="47">
        <v>30</v>
      </c>
      <c r="F10" s="47" t="s">
        <v>231</v>
      </c>
      <c r="G10" s="47" t="s">
        <v>53</v>
      </c>
      <c r="H10" s="47" t="s">
        <v>232</v>
      </c>
      <c r="I10" s="47" t="s">
        <v>90</v>
      </c>
      <c r="J10" s="48">
        <f t="shared" si="6"/>
        <v>100</v>
      </c>
    </row>
  </sheetData>
  <autoFilter ref="A1:G1"/>
  <phoneticPr fontId="5"/>
  <conditionalFormatting sqref="K11:K1048576 K1">
    <cfRule type="duplicateValues" dxfId="9" priority="18"/>
  </conditionalFormatting>
  <conditionalFormatting sqref="K2">
    <cfRule type="duplicateValues" dxfId="8" priority="17"/>
  </conditionalFormatting>
  <conditionalFormatting sqref="K3">
    <cfRule type="duplicateValues" dxfId="7" priority="14"/>
  </conditionalFormatting>
  <conditionalFormatting sqref="K4">
    <cfRule type="duplicateValues" dxfId="6" priority="11"/>
  </conditionalFormatting>
  <conditionalFormatting sqref="K5">
    <cfRule type="duplicateValues" dxfId="5" priority="8"/>
  </conditionalFormatting>
  <conditionalFormatting sqref="K6">
    <cfRule type="duplicateValues" dxfId="4" priority="6"/>
  </conditionalFormatting>
  <conditionalFormatting sqref="K7">
    <cfRule type="duplicateValues" dxfId="3" priority="5"/>
  </conditionalFormatting>
  <conditionalFormatting sqref="K8">
    <cfRule type="duplicateValues" dxfId="2" priority="3"/>
  </conditionalFormatting>
  <conditionalFormatting sqref="K9">
    <cfRule type="duplicateValues" dxfId="1" priority="2"/>
  </conditionalFormatting>
  <conditionalFormatting sqref="K1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D11" sqref="D1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10" si="0">B2&amp;"_"&amp;C2</f>
        <v>20015001_20015001</v>
      </c>
      <c r="B2" s="47">
        <v>20015001</v>
      </c>
      <c r="C2" s="47">
        <v>20015001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ヒートクロウ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" s="47">
        <v>20015001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20015002_20015002</v>
      </c>
      <c r="B3" s="47">
        <v>20015002</v>
      </c>
      <c r="C3" s="47">
        <v>20015002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ウェーブセイバー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20015002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20015003_20015003</v>
      </c>
      <c r="B4" s="47">
        <v>20015003</v>
      </c>
      <c r="C4" s="47">
        <v>20015003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グレネードボム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強力な単体攻撃</v>
      </c>
      <c r="F4" s="47">
        <v>20015003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" s="48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20015004_20015004</v>
      </c>
      <c r="B5" s="47">
        <v>20015004</v>
      </c>
      <c r="C5" s="47">
        <v>20015004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ブレイブインパクト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強力な単体攻撃</v>
      </c>
      <c r="F5" s="47">
        <v>20015004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0"/>
        <v>20015005_20015005</v>
      </c>
      <c r="B6" s="47">
        <v>20015005</v>
      </c>
      <c r="C6" s="47">
        <v>20015005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わらわが世界で一番美しい！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『マスターと私の力をもってしてその夢を叶えましょう』</v>
      </c>
      <c r="F6" s="47">
        <v>20015005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20015005_20015006</v>
      </c>
      <c r="B7" s="47">
        <v>20015005</v>
      </c>
      <c r="C7" s="47">
        <v>20015006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わらわよりも美しい者などあってはならぬ！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『後方支援はお任せください』_x000D_ 解除するまでカウンター状態</v>
      </c>
      <c r="F7" s="47">
        <v>20015006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20015005_20015007</v>
      </c>
      <c r="B8" s="47">
        <v>20015005</v>
      </c>
      <c r="C8" s="47">
        <v>20015007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あぁ…！？鏡…　鏡がっ…！わらわの鏡！！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『…残念ですが　ここでお別れのようです』_x000D_　　鏡が割れ全ての効果が打ち消される</v>
      </c>
      <c r="F8" s="47">
        <v>20015007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20015005_20015008</v>
      </c>
      <c r="B9" s="47">
        <v>20015005</v>
      </c>
      <c r="C9" s="47">
        <v>20015008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おのれ…！おのれぇぇぇ！！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手にした銃器を乱射して4連続攻撃</v>
      </c>
      <c r="F9" s="47">
        <v>20015008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20015005_20015009</v>
      </c>
      <c r="B10" s="47">
        <v>20015005</v>
      </c>
      <c r="C10" s="47">
        <v>20015009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わらわは美しいっ…！誰よりも！！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" s="47">
        <v>20015009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abSelected="1" workbookViewId="0">
      <selection activeCell="L37" sqref="L37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119" t="s">
        <v>151</v>
      </c>
      <c r="B1" s="119" t="s">
        <v>152</v>
      </c>
      <c r="C1" s="65" t="s">
        <v>153</v>
      </c>
      <c r="D1" s="122" t="s">
        <v>154</v>
      </c>
      <c r="E1" s="123" t="s">
        <v>155</v>
      </c>
      <c r="F1" s="119" t="s">
        <v>156</v>
      </c>
      <c r="G1" s="119" t="s">
        <v>157</v>
      </c>
      <c r="H1" s="119" t="s">
        <v>158</v>
      </c>
      <c r="I1" s="119" t="s">
        <v>159</v>
      </c>
      <c r="J1" s="119" t="s">
        <v>160</v>
      </c>
      <c r="K1" s="119" t="s">
        <v>161</v>
      </c>
      <c r="L1" s="119" t="s">
        <v>162</v>
      </c>
      <c r="M1" s="119" t="s">
        <v>163</v>
      </c>
      <c r="N1" s="119" t="s">
        <v>164</v>
      </c>
      <c r="O1" s="119" t="s">
        <v>165</v>
      </c>
      <c r="P1" s="119" t="s">
        <v>166</v>
      </c>
      <c r="Q1" s="119" t="s">
        <v>167</v>
      </c>
      <c r="R1" s="119" t="s">
        <v>168</v>
      </c>
    </row>
    <row r="2" spans="1:18" x14ac:dyDescent="0.15">
      <c r="A2" s="101">
        <v>20015</v>
      </c>
      <c r="B2" s="102">
        <v>1</v>
      </c>
      <c r="C2" s="103" t="str">
        <f>A2&amp; "_"&amp;B2</f>
        <v>20015_1</v>
      </c>
      <c r="D2" s="104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2">
        <v>1</v>
      </c>
      <c r="F2" s="105" t="s">
        <v>169</v>
      </c>
      <c r="G2" s="114">
        <v>1800</v>
      </c>
      <c r="H2" s="105" t="s">
        <v>89</v>
      </c>
      <c r="I2" s="105">
        <v>1</v>
      </c>
      <c r="J2" s="105">
        <v>1</v>
      </c>
      <c r="K2" s="105">
        <v>0</v>
      </c>
      <c r="L2" s="105">
        <v>0</v>
      </c>
      <c r="M2" s="105">
        <v>0</v>
      </c>
      <c r="N2" s="105">
        <v>0</v>
      </c>
      <c r="O2" s="105">
        <v>1</v>
      </c>
      <c r="P2" s="134">
        <v>200</v>
      </c>
      <c r="Q2" s="105" t="s">
        <v>170</v>
      </c>
      <c r="R2" s="106" t="s">
        <v>171</v>
      </c>
    </row>
    <row r="3" spans="1:18" x14ac:dyDescent="0.15">
      <c r="A3" s="120">
        <v>20015</v>
      </c>
      <c r="B3" s="57">
        <v>1</v>
      </c>
      <c r="C3" s="71" t="str">
        <f t="shared" ref="C3:C32" si="0">A3&amp; "_"&amp;B3</f>
        <v>20015_1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107" t="s">
        <v>236</v>
      </c>
      <c r="G3" s="115">
        <v>20</v>
      </c>
      <c r="H3" s="107" t="s">
        <v>89</v>
      </c>
      <c r="I3" s="107">
        <v>1</v>
      </c>
      <c r="J3" s="107">
        <v>1</v>
      </c>
      <c r="K3" s="107">
        <v>0</v>
      </c>
      <c r="L3" s="107">
        <v>0</v>
      </c>
      <c r="M3" s="107">
        <v>0</v>
      </c>
      <c r="N3" s="107">
        <v>0</v>
      </c>
      <c r="O3" s="107">
        <v>1</v>
      </c>
      <c r="P3" s="81">
        <v>200</v>
      </c>
      <c r="Q3" s="107" t="s">
        <v>170</v>
      </c>
      <c r="R3" s="108" t="s">
        <v>171</v>
      </c>
    </row>
    <row r="4" spans="1:18" x14ac:dyDescent="0.15">
      <c r="A4" s="120">
        <v>20015</v>
      </c>
      <c r="B4" s="57">
        <v>1</v>
      </c>
      <c r="C4" s="71" t="str">
        <f t="shared" si="0"/>
        <v>20015_1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107" t="s">
        <v>237</v>
      </c>
      <c r="G4" s="116">
        <v>332</v>
      </c>
      <c r="H4" s="107">
        <v>1</v>
      </c>
      <c r="I4" s="107">
        <v>1</v>
      </c>
      <c r="J4" s="107">
        <v>1</v>
      </c>
      <c r="K4" s="107">
        <v>0</v>
      </c>
      <c r="L4" s="107">
        <v>0</v>
      </c>
      <c r="M4" s="107">
        <v>0</v>
      </c>
      <c r="N4" s="107">
        <v>0</v>
      </c>
      <c r="O4" s="107">
        <v>1</v>
      </c>
      <c r="P4" s="81">
        <v>98</v>
      </c>
      <c r="Q4" s="107" t="s">
        <v>170</v>
      </c>
      <c r="R4" s="108" t="s">
        <v>171</v>
      </c>
    </row>
    <row r="5" spans="1:18" x14ac:dyDescent="0.15">
      <c r="A5" s="120">
        <v>20015</v>
      </c>
      <c r="B5" s="57">
        <v>1</v>
      </c>
      <c r="C5" s="71" t="str">
        <f t="shared" si="0"/>
        <v>20015_1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107" t="s">
        <v>237</v>
      </c>
      <c r="G5" s="116">
        <v>333</v>
      </c>
      <c r="H5" s="107">
        <v>1</v>
      </c>
      <c r="I5" s="107">
        <v>1</v>
      </c>
      <c r="J5" s="107">
        <v>1</v>
      </c>
      <c r="K5" s="107">
        <v>0</v>
      </c>
      <c r="L5" s="107">
        <v>0</v>
      </c>
      <c r="M5" s="107">
        <v>0</v>
      </c>
      <c r="N5" s="107">
        <v>0</v>
      </c>
      <c r="O5" s="107">
        <v>1</v>
      </c>
      <c r="P5" s="81">
        <v>42</v>
      </c>
      <c r="Q5" s="107" t="s">
        <v>170</v>
      </c>
      <c r="R5" s="108" t="s">
        <v>171</v>
      </c>
    </row>
    <row r="6" spans="1:18" x14ac:dyDescent="0.15">
      <c r="A6" s="120">
        <v>20015</v>
      </c>
      <c r="B6" s="57">
        <v>1</v>
      </c>
      <c r="C6" s="71" t="str">
        <f t="shared" si="0"/>
        <v>20015_1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107" t="s">
        <v>237</v>
      </c>
      <c r="G6" s="115">
        <v>121</v>
      </c>
      <c r="H6" s="107">
        <v>1</v>
      </c>
      <c r="I6" s="107">
        <v>1</v>
      </c>
      <c r="J6" s="107">
        <v>1</v>
      </c>
      <c r="K6" s="107">
        <v>0</v>
      </c>
      <c r="L6" s="107">
        <v>0</v>
      </c>
      <c r="M6" s="107">
        <v>0</v>
      </c>
      <c r="N6" s="107">
        <v>0</v>
      </c>
      <c r="O6" s="107">
        <v>1</v>
      </c>
      <c r="P6" s="81">
        <v>50</v>
      </c>
      <c r="Q6" s="107" t="s">
        <v>170</v>
      </c>
      <c r="R6" s="108" t="s">
        <v>171</v>
      </c>
    </row>
    <row r="7" spans="1:18" x14ac:dyDescent="0.15">
      <c r="A7" s="120">
        <v>20015</v>
      </c>
      <c r="B7" s="57">
        <v>1</v>
      </c>
      <c r="C7" s="71" t="str">
        <f t="shared" si="0"/>
        <v>20015_1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107" t="s">
        <v>237</v>
      </c>
      <c r="G7" s="115">
        <v>122</v>
      </c>
      <c r="H7" s="107">
        <v>1</v>
      </c>
      <c r="I7" s="107">
        <v>1</v>
      </c>
      <c r="J7" s="107">
        <v>1</v>
      </c>
      <c r="K7" s="107">
        <v>0</v>
      </c>
      <c r="L7" s="107">
        <v>0</v>
      </c>
      <c r="M7" s="107">
        <v>0</v>
      </c>
      <c r="N7" s="107">
        <v>0</v>
      </c>
      <c r="O7" s="107">
        <v>1</v>
      </c>
      <c r="P7" s="81">
        <v>50</v>
      </c>
      <c r="Q7" s="107" t="s">
        <v>170</v>
      </c>
      <c r="R7" s="108" t="s">
        <v>171</v>
      </c>
    </row>
    <row r="8" spans="1:18" x14ac:dyDescent="0.15">
      <c r="A8" s="120">
        <v>20015</v>
      </c>
      <c r="B8" s="57">
        <v>1</v>
      </c>
      <c r="C8" s="71" t="str">
        <f t="shared" si="0"/>
        <v>20015_1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107" t="s">
        <v>237</v>
      </c>
      <c r="G8" s="115">
        <v>123</v>
      </c>
      <c r="H8" s="107">
        <v>1</v>
      </c>
      <c r="I8" s="107">
        <v>1</v>
      </c>
      <c r="J8" s="107">
        <v>1</v>
      </c>
      <c r="K8" s="107">
        <v>0</v>
      </c>
      <c r="L8" s="107">
        <v>0</v>
      </c>
      <c r="M8" s="107">
        <v>0</v>
      </c>
      <c r="N8" s="107">
        <v>0</v>
      </c>
      <c r="O8" s="107">
        <v>1</v>
      </c>
      <c r="P8" s="81">
        <v>50</v>
      </c>
      <c r="Q8" s="107" t="s">
        <v>170</v>
      </c>
      <c r="R8" s="108" t="s">
        <v>171</v>
      </c>
    </row>
    <row r="9" spans="1:18" x14ac:dyDescent="0.15">
      <c r="A9" s="120">
        <v>20015</v>
      </c>
      <c r="B9" s="57">
        <v>1</v>
      </c>
      <c r="C9" s="71" t="str">
        <f t="shared" si="0"/>
        <v>20015_1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107" t="s">
        <v>237</v>
      </c>
      <c r="G9" s="115">
        <v>125</v>
      </c>
      <c r="H9" s="107">
        <v>1</v>
      </c>
      <c r="I9" s="107">
        <v>1</v>
      </c>
      <c r="J9" s="107">
        <v>1</v>
      </c>
      <c r="K9" s="107">
        <v>0</v>
      </c>
      <c r="L9" s="107">
        <v>0</v>
      </c>
      <c r="M9" s="107">
        <v>0</v>
      </c>
      <c r="N9" s="107">
        <v>0</v>
      </c>
      <c r="O9" s="107">
        <v>1</v>
      </c>
      <c r="P9" s="81">
        <v>10</v>
      </c>
      <c r="Q9" s="107" t="s">
        <v>170</v>
      </c>
      <c r="R9" s="108" t="s">
        <v>171</v>
      </c>
    </row>
    <row r="10" spans="1:18" x14ac:dyDescent="0.15">
      <c r="A10" s="120">
        <v>20015</v>
      </c>
      <c r="B10" s="57">
        <v>1</v>
      </c>
      <c r="C10" s="71" t="str">
        <f t="shared" si="0"/>
        <v>20015_1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107" t="s">
        <v>237</v>
      </c>
      <c r="G10" s="117">
        <v>856</v>
      </c>
      <c r="H10" s="107">
        <v>1</v>
      </c>
      <c r="I10" s="107">
        <v>1</v>
      </c>
      <c r="J10" s="107">
        <v>1</v>
      </c>
      <c r="K10" s="107">
        <v>0</v>
      </c>
      <c r="L10" s="107">
        <v>0</v>
      </c>
      <c r="M10" s="107">
        <v>0</v>
      </c>
      <c r="N10" s="107">
        <v>0</v>
      </c>
      <c r="O10" s="107">
        <v>1</v>
      </c>
      <c r="P10" s="81">
        <v>200</v>
      </c>
      <c r="Q10" s="107" t="s">
        <v>170</v>
      </c>
      <c r="R10" s="108" t="s">
        <v>171</v>
      </c>
    </row>
    <row r="11" spans="1:18" ht="16" thickBot="1" x14ac:dyDescent="0.2">
      <c r="A11" s="121">
        <v>20015</v>
      </c>
      <c r="B11" s="109">
        <v>1</v>
      </c>
      <c r="C11" s="110" t="str">
        <f t="shared" si="0"/>
        <v>20015_1</v>
      </c>
      <c r="D11" s="1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09">
        <v>10</v>
      </c>
      <c r="F11" s="112" t="s">
        <v>237</v>
      </c>
      <c r="G11" s="118">
        <v>348</v>
      </c>
      <c r="H11" s="112">
        <v>1</v>
      </c>
      <c r="I11" s="112">
        <v>1</v>
      </c>
      <c r="J11" s="112">
        <v>1</v>
      </c>
      <c r="K11" s="112">
        <v>0</v>
      </c>
      <c r="L11" s="112">
        <v>0</v>
      </c>
      <c r="M11" s="112">
        <v>0</v>
      </c>
      <c r="N11" s="112">
        <v>0</v>
      </c>
      <c r="O11" s="112">
        <v>1</v>
      </c>
      <c r="P11" s="135">
        <v>100</v>
      </c>
      <c r="Q11" s="112" t="s">
        <v>170</v>
      </c>
      <c r="R11" s="113" t="s">
        <v>171</v>
      </c>
    </row>
    <row r="12" spans="1:18" x14ac:dyDescent="0.15">
      <c r="A12" s="101">
        <v>20015</v>
      </c>
      <c r="B12" s="102">
        <v>2</v>
      </c>
      <c r="C12" s="103" t="str">
        <f t="shared" si="0"/>
        <v>20015_2</v>
      </c>
      <c r="D12" s="104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2">
        <v>11</v>
      </c>
      <c r="F12" s="105" t="s">
        <v>169</v>
      </c>
      <c r="G12" s="114">
        <v>3300</v>
      </c>
      <c r="H12" s="105" t="s">
        <v>238</v>
      </c>
      <c r="I12" s="105">
        <v>1</v>
      </c>
      <c r="J12" s="105">
        <v>1</v>
      </c>
      <c r="K12" s="105">
        <v>0</v>
      </c>
      <c r="L12" s="105">
        <v>0</v>
      </c>
      <c r="M12" s="105">
        <v>0</v>
      </c>
      <c r="N12" s="105">
        <v>0</v>
      </c>
      <c r="O12" s="105">
        <v>1</v>
      </c>
      <c r="P12" s="134">
        <v>200</v>
      </c>
      <c r="Q12" s="105" t="s">
        <v>170</v>
      </c>
      <c r="R12" s="106" t="s">
        <v>171</v>
      </c>
    </row>
    <row r="13" spans="1:18" x14ac:dyDescent="0.15">
      <c r="A13" s="120">
        <v>20015</v>
      </c>
      <c r="B13" s="57">
        <v>2</v>
      </c>
      <c r="C13" s="71" t="str">
        <f t="shared" si="0"/>
        <v>20015_2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107" t="s">
        <v>239</v>
      </c>
      <c r="G13" s="115">
        <v>20</v>
      </c>
      <c r="H13" s="107" t="s">
        <v>238</v>
      </c>
      <c r="I13" s="107">
        <v>1</v>
      </c>
      <c r="J13" s="107">
        <v>1</v>
      </c>
      <c r="K13" s="107">
        <v>0</v>
      </c>
      <c r="L13" s="107">
        <v>0</v>
      </c>
      <c r="M13" s="107">
        <v>0</v>
      </c>
      <c r="N13" s="107">
        <v>0</v>
      </c>
      <c r="O13" s="107">
        <v>1</v>
      </c>
      <c r="P13" s="81">
        <v>150</v>
      </c>
      <c r="Q13" s="107" t="s">
        <v>170</v>
      </c>
      <c r="R13" s="108" t="s">
        <v>171</v>
      </c>
    </row>
    <row r="14" spans="1:18" x14ac:dyDescent="0.15">
      <c r="A14" s="120">
        <v>20015</v>
      </c>
      <c r="B14" s="57">
        <v>2</v>
      </c>
      <c r="C14" s="71" t="str">
        <f t="shared" si="0"/>
        <v>20015_2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107" t="s">
        <v>240</v>
      </c>
      <c r="G14" s="116">
        <v>332</v>
      </c>
      <c r="H14" s="107">
        <v>1</v>
      </c>
      <c r="I14" s="107">
        <v>1</v>
      </c>
      <c r="J14" s="107">
        <v>1</v>
      </c>
      <c r="K14" s="107">
        <v>0</v>
      </c>
      <c r="L14" s="107">
        <v>0</v>
      </c>
      <c r="M14" s="107">
        <v>0</v>
      </c>
      <c r="N14" s="107">
        <v>0</v>
      </c>
      <c r="O14" s="107">
        <v>1</v>
      </c>
      <c r="P14" s="81">
        <v>70</v>
      </c>
      <c r="Q14" s="107" t="s">
        <v>170</v>
      </c>
      <c r="R14" s="108" t="s">
        <v>171</v>
      </c>
    </row>
    <row r="15" spans="1:18" x14ac:dyDescent="0.15">
      <c r="A15" s="120">
        <v>20015</v>
      </c>
      <c r="B15" s="57">
        <v>2</v>
      </c>
      <c r="C15" s="71" t="str">
        <f t="shared" si="0"/>
        <v>20015_2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107" t="s">
        <v>240</v>
      </c>
      <c r="G15" s="116">
        <v>333</v>
      </c>
      <c r="H15" s="107">
        <v>1</v>
      </c>
      <c r="I15" s="107">
        <v>1</v>
      </c>
      <c r="J15" s="107">
        <v>1</v>
      </c>
      <c r="K15" s="107">
        <v>0</v>
      </c>
      <c r="L15" s="107">
        <v>0</v>
      </c>
      <c r="M15" s="107">
        <v>0</v>
      </c>
      <c r="N15" s="107">
        <v>0</v>
      </c>
      <c r="O15" s="107">
        <v>1</v>
      </c>
      <c r="P15" s="81">
        <v>70</v>
      </c>
      <c r="Q15" s="107" t="s">
        <v>170</v>
      </c>
      <c r="R15" s="108" t="s">
        <v>171</v>
      </c>
    </row>
    <row r="16" spans="1:18" x14ac:dyDescent="0.15">
      <c r="A16" s="120">
        <v>20015</v>
      </c>
      <c r="B16" s="57">
        <v>2</v>
      </c>
      <c r="C16" s="71" t="str">
        <f t="shared" si="0"/>
        <v>20015_2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107" t="s">
        <v>240</v>
      </c>
      <c r="G16" s="115">
        <v>121</v>
      </c>
      <c r="H16" s="107">
        <v>1</v>
      </c>
      <c r="I16" s="107">
        <v>1</v>
      </c>
      <c r="J16" s="107">
        <v>1</v>
      </c>
      <c r="K16" s="107">
        <v>0</v>
      </c>
      <c r="L16" s="107">
        <v>0</v>
      </c>
      <c r="M16" s="107">
        <v>0</v>
      </c>
      <c r="N16" s="107">
        <v>0</v>
      </c>
      <c r="O16" s="107">
        <v>1</v>
      </c>
      <c r="P16" s="81">
        <v>50</v>
      </c>
      <c r="Q16" s="107" t="s">
        <v>170</v>
      </c>
      <c r="R16" s="108" t="s">
        <v>171</v>
      </c>
    </row>
    <row r="17" spans="1:18" x14ac:dyDescent="0.15">
      <c r="A17" s="120">
        <v>20015</v>
      </c>
      <c r="B17" s="57">
        <v>2</v>
      </c>
      <c r="C17" s="71" t="str">
        <f t="shared" si="0"/>
        <v>20015_2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107" t="s">
        <v>240</v>
      </c>
      <c r="G17" s="115">
        <v>122</v>
      </c>
      <c r="H17" s="107">
        <v>1</v>
      </c>
      <c r="I17" s="107">
        <v>1</v>
      </c>
      <c r="J17" s="107">
        <v>1</v>
      </c>
      <c r="K17" s="107">
        <v>0</v>
      </c>
      <c r="L17" s="107">
        <v>0</v>
      </c>
      <c r="M17" s="107">
        <v>0</v>
      </c>
      <c r="N17" s="107">
        <v>0</v>
      </c>
      <c r="O17" s="107">
        <v>1</v>
      </c>
      <c r="P17" s="81">
        <v>50</v>
      </c>
      <c r="Q17" s="107" t="s">
        <v>170</v>
      </c>
      <c r="R17" s="108" t="s">
        <v>171</v>
      </c>
    </row>
    <row r="18" spans="1:18" x14ac:dyDescent="0.15">
      <c r="A18" s="120">
        <v>20015</v>
      </c>
      <c r="B18" s="57">
        <v>2</v>
      </c>
      <c r="C18" s="71" t="str">
        <f t="shared" si="0"/>
        <v>20015_2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107" t="s">
        <v>240</v>
      </c>
      <c r="G18" s="115">
        <v>123</v>
      </c>
      <c r="H18" s="107">
        <v>1</v>
      </c>
      <c r="I18" s="107">
        <v>1</v>
      </c>
      <c r="J18" s="107">
        <v>1</v>
      </c>
      <c r="K18" s="107">
        <v>0</v>
      </c>
      <c r="L18" s="107">
        <v>0</v>
      </c>
      <c r="M18" s="107">
        <v>0</v>
      </c>
      <c r="N18" s="107">
        <v>0</v>
      </c>
      <c r="O18" s="107">
        <v>1</v>
      </c>
      <c r="P18" s="81">
        <v>50</v>
      </c>
      <c r="Q18" s="107" t="s">
        <v>170</v>
      </c>
      <c r="R18" s="108" t="s">
        <v>171</v>
      </c>
    </row>
    <row r="19" spans="1:18" x14ac:dyDescent="0.15">
      <c r="A19" s="120">
        <v>20015</v>
      </c>
      <c r="B19" s="57">
        <v>2</v>
      </c>
      <c r="C19" s="71" t="str">
        <f t="shared" si="0"/>
        <v>20015_2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107" t="s">
        <v>240</v>
      </c>
      <c r="G19" s="115">
        <v>125</v>
      </c>
      <c r="H19" s="107">
        <v>1</v>
      </c>
      <c r="I19" s="107">
        <v>1</v>
      </c>
      <c r="J19" s="107">
        <v>1</v>
      </c>
      <c r="K19" s="107">
        <v>0</v>
      </c>
      <c r="L19" s="107">
        <v>0</v>
      </c>
      <c r="M19" s="107">
        <v>0</v>
      </c>
      <c r="N19" s="107">
        <v>0</v>
      </c>
      <c r="O19" s="107">
        <v>1</v>
      </c>
      <c r="P19" s="81">
        <v>10</v>
      </c>
      <c r="Q19" s="107" t="s">
        <v>170</v>
      </c>
      <c r="R19" s="108" t="s">
        <v>171</v>
      </c>
    </row>
    <row r="20" spans="1:18" x14ac:dyDescent="0.15">
      <c r="A20" s="120">
        <v>20015</v>
      </c>
      <c r="B20" s="57">
        <v>2</v>
      </c>
      <c r="C20" s="71" t="str">
        <f t="shared" si="0"/>
        <v>20015_2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107" t="s">
        <v>240</v>
      </c>
      <c r="G20" s="117">
        <v>856</v>
      </c>
      <c r="H20" s="107">
        <v>1</v>
      </c>
      <c r="I20" s="107">
        <v>1</v>
      </c>
      <c r="J20" s="107">
        <v>1</v>
      </c>
      <c r="K20" s="107">
        <v>0</v>
      </c>
      <c r="L20" s="107">
        <v>0</v>
      </c>
      <c r="M20" s="107">
        <v>0</v>
      </c>
      <c r="N20" s="107">
        <v>0</v>
      </c>
      <c r="O20" s="107">
        <v>1</v>
      </c>
      <c r="P20" s="81">
        <v>250</v>
      </c>
      <c r="Q20" s="107" t="s">
        <v>170</v>
      </c>
      <c r="R20" s="108" t="s">
        <v>171</v>
      </c>
    </row>
    <row r="21" spans="1:18" ht="16" thickBot="1" x14ac:dyDescent="0.2">
      <c r="A21" s="121">
        <v>20015</v>
      </c>
      <c r="B21" s="109">
        <v>2</v>
      </c>
      <c r="C21" s="110" t="str">
        <f t="shared" si="0"/>
        <v>20015_2</v>
      </c>
      <c r="D21" s="1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09">
        <v>20</v>
      </c>
      <c r="F21" s="112" t="s">
        <v>241</v>
      </c>
      <c r="G21" s="118">
        <v>348</v>
      </c>
      <c r="H21" s="112">
        <v>1</v>
      </c>
      <c r="I21" s="112">
        <v>1</v>
      </c>
      <c r="J21" s="112">
        <v>1</v>
      </c>
      <c r="K21" s="112">
        <v>0</v>
      </c>
      <c r="L21" s="112">
        <v>0</v>
      </c>
      <c r="M21" s="112">
        <v>0</v>
      </c>
      <c r="N21" s="112">
        <v>0</v>
      </c>
      <c r="O21" s="112">
        <v>1</v>
      </c>
      <c r="P21" s="135">
        <v>100</v>
      </c>
      <c r="Q21" s="112" t="s">
        <v>170</v>
      </c>
      <c r="R21" s="113" t="s">
        <v>171</v>
      </c>
    </row>
    <row r="22" spans="1:18" x14ac:dyDescent="0.15">
      <c r="A22" s="101">
        <v>20015</v>
      </c>
      <c r="B22" s="102">
        <v>3</v>
      </c>
      <c r="C22" s="103" t="str">
        <f t="shared" si="0"/>
        <v>20015_3</v>
      </c>
      <c r="D22" s="104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02">
        <v>21</v>
      </c>
      <c r="F22" s="105" t="s">
        <v>169</v>
      </c>
      <c r="G22" s="114">
        <v>5100</v>
      </c>
      <c r="H22" s="105" t="s">
        <v>242</v>
      </c>
      <c r="I22" s="105">
        <v>1</v>
      </c>
      <c r="J22" s="105">
        <v>1</v>
      </c>
      <c r="K22" s="105">
        <v>0</v>
      </c>
      <c r="L22" s="105">
        <v>0</v>
      </c>
      <c r="M22" s="105">
        <v>0</v>
      </c>
      <c r="N22" s="105">
        <v>0</v>
      </c>
      <c r="O22" s="105">
        <v>1</v>
      </c>
      <c r="P22" s="134">
        <v>100</v>
      </c>
      <c r="Q22" s="105" t="s">
        <v>170</v>
      </c>
      <c r="R22" s="106" t="s">
        <v>171</v>
      </c>
    </row>
    <row r="23" spans="1:18" x14ac:dyDescent="0.15">
      <c r="A23" s="120">
        <v>20015</v>
      </c>
      <c r="B23" s="57">
        <v>3</v>
      </c>
      <c r="C23" s="71" t="str">
        <f t="shared" si="0"/>
        <v>20015_3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22</v>
      </c>
      <c r="F23" s="107" t="s">
        <v>236</v>
      </c>
      <c r="G23" s="115">
        <v>25</v>
      </c>
      <c r="H23" s="107" t="s">
        <v>89</v>
      </c>
      <c r="I23" s="107">
        <v>1</v>
      </c>
      <c r="J23" s="107">
        <v>1</v>
      </c>
      <c r="K23" s="107">
        <v>0</v>
      </c>
      <c r="L23" s="107">
        <v>0</v>
      </c>
      <c r="M23" s="107">
        <v>0</v>
      </c>
      <c r="N23" s="107">
        <v>0</v>
      </c>
      <c r="O23" s="107">
        <v>1</v>
      </c>
      <c r="P23" s="81">
        <v>100</v>
      </c>
      <c r="Q23" s="107" t="s">
        <v>170</v>
      </c>
      <c r="R23" s="108" t="s">
        <v>171</v>
      </c>
    </row>
    <row r="24" spans="1:18" x14ac:dyDescent="0.15">
      <c r="A24" s="120">
        <v>20015</v>
      </c>
      <c r="B24" s="57">
        <v>3</v>
      </c>
      <c r="C24" s="71" t="str">
        <f t="shared" si="0"/>
        <v>20015_3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107" t="s">
        <v>237</v>
      </c>
      <c r="G24" s="116">
        <v>332</v>
      </c>
      <c r="H24" s="107">
        <v>1</v>
      </c>
      <c r="I24" s="107">
        <v>1</v>
      </c>
      <c r="J24" s="107">
        <v>1</v>
      </c>
      <c r="K24" s="107">
        <v>0</v>
      </c>
      <c r="L24" s="107">
        <v>0</v>
      </c>
      <c r="M24" s="107">
        <v>0</v>
      </c>
      <c r="N24" s="107">
        <v>0</v>
      </c>
      <c r="O24" s="107">
        <v>1</v>
      </c>
      <c r="P24" s="81">
        <v>56</v>
      </c>
      <c r="Q24" s="107" t="s">
        <v>170</v>
      </c>
      <c r="R24" s="108" t="s">
        <v>171</v>
      </c>
    </row>
    <row r="25" spans="1:18" x14ac:dyDescent="0.15">
      <c r="A25" s="120">
        <v>20015</v>
      </c>
      <c r="B25" s="57">
        <v>3</v>
      </c>
      <c r="C25" s="71" t="str">
        <f t="shared" si="0"/>
        <v>20015_3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107" t="s">
        <v>237</v>
      </c>
      <c r="G25" s="116">
        <v>333</v>
      </c>
      <c r="H25" s="107">
        <v>1</v>
      </c>
      <c r="I25" s="107">
        <v>1</v>
      </c>
      <c r="J25" s="107">
        <v>1</v>
      </c>
      <c r="K25" s="107">
        <v>0</v>
      </c>
      <c r="L25" s="107">
        <v>0</v>
      </c>
      <c r="M25" s="107">
        <v>0</v>
      </c>
      <c r="N25" s="107">
        <v>0</v>
      </c>
      <c r="O25" s="107">
        <v>1</v>
      </c>
      <c r="P25" s="81">
        <v>56</v>
      </c>
      <c r="Q25" s="107" t="s">
        <v>170</v>
      </c>
      <c r="R25" s="108" t="s">
        <v>171</v>
      </c>
    </row>
    <row r="26" spans="1:18" x14ac:dyDescent="0.15">
      <c r="A26" s="120">
        <v>20015</v>
      </c>
      <c r="B26" s="57">
        <v>3</v>
      </c>
      <c r="C26" s="71" t="str">
        <f t="shared" si="0"/>
        <v>20015_3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107" t="s">
        <v>237</v>
      </c>
      <c r="G26" s="116">
        <v>334</v>
      </c>
      <c r="H26" s="107">
        <v>1</v>
      </c>
      <c r="I26" s="107">
        <v>1</v>
      </c>
      <c r="J26" s="107">
        <v>1</v>
      </c>
      <c r="K26" s="107">
        <v>0</v>
      </c>
      <c r="L26" s="107">
        <v>0</v>
      </c>
      <c r="M26" s="107">
        <v>0</v>
      </c>
      <c r="N26" s="107">
        <v>0</v>
      </c>
      <c r="O26" s="107">
        <v>1</v>
      </c>
      <c r="P26" s="81">
        <v>28</v>
      </c>
      <c r="Q26" s="107" t="s">
        <v>170</v>
      </c>
      <c r="R26" s="108" t="s">
        <v>171</v>
      </c>
    </row>
    <row r="27" spans="1:18" x14ac:dyDescent="0.15">
      <c r="A27" s="120">
        <v>20015</v>
      </c>
      <c r="B27" s="57">
        <v>3</v>
      </c>
      <c r="C27" s="71" t="str">
        <f t="shared" si="0"/>
        <v>20015_3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107" t="s">
        <v>243</v>
      </c>
      <c r="G27" s="115">
        <v>121</v>
      </c>
      <c r="H27" s="107">
        <v>1</v>
      </c>
      <c r="I27" s="107">
        <v>1</v>
      </c>
      <c r="J27" s="107">
        <v>1</v>
      </c>
      <c r="K27" s="107">
        <v>0</v>
      </c>
      <c r="L27" s="107">
        <v>0</v>
      </c>
      <c r="M27" s="107">
        <v>0</v>
      </c>
      <c r="N27" s="107">
        <v>0</v>
      </c>
      <c r="O27" s="107">
        <v>1</v>
      </c>
      <c r="P27" s="81">
        <v>50</v>
      </c>
      <c r="Q27" s="107" t="s">
        <v>170</v>
      </c>
      <c r="R27" s="108" t="s">
        <v>171</v>
      </c>
    </row>
    <row r="28" spans="1:18" x14ac:dyDescent="0.15">
      <c r="A28" s="120">
        <v>20015</v>
      </c>
      <c r="B28" s="57">
        <v>3</v>
      </c>
      <c r="C28" s="71" t="str">
        <f t="shared" si="0"/>
        <v>20015_3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107" t="s">
        <v>244</v>
      </c>
      <c r="G28" s="115">
        <v>122</v>
      </c>
      <c r="H28" s="107">
        <v>1</v>
      </c>
      <c r="I28" s="107">
        <v>1</v>
      </c>
      <c r="J28" s="107">
        <v>1</v>
      </c>
      <c r="K28" s="107">
        <v>0</v>
      </c>
      <c r="L28" s="107">
        <v>0</v>
      </c>
      <c r="M28" s="107">
        <v>0</v>
      </c>
      <c r="N28" s="107">
        <v>0</v>
      </c>
      <c r="O28" s="107">
        <v>1</v>
      </c>
      <c r="P28" s="81">
        <v>50</v>
      </c>
      <c r="Q28" s="107" t="s">
        <v>170</v>
      </c>
      <c r="R28" s="108" t="s">
        <v>171</v>
      </c>
    </row>
    <row r="29" spans="1:18" x14ac:dyDescent="0.15">
      <c r="A29" s="120">
        <v>20015</v>
      </c>
      <c r="B29" s="57">
        <v>3</v>
      </c>
      <c r="C29" s="71" t="str">
        <f t="shared" si="0"/>
        <v>20015_3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107" t="s">
        <v>245</v>
      </c>
      <c r="G29" s="115">
        <v>123</v>
      </c>
      <c r="H29" s="107">
        <v>1</v>
      </c>
      <c r="I29" s="107">
        <v>1</v>
      </c>
      <c r="J29" s="107">
        <v>1</v>
      </c>
      <c r="K29" s="107">
        <v>0</v>
      </c>
      <c r="L29" s="107">
        <v>0</v>
      </c>
      <c r="M29" s="107">
        <v>0</v>
      </c>
      <c r="N29" s="107">
        <v>0</v>
      </c>
      <c r="O29" s="107">
        <v>1</v>
      </c>
      <c r="P29" s="81">
        <v>50</v>
      </c>
      <c r="Q29" s="107" t="s">
        <v>170</v>
      </c>
      <c r="R29" s="108" t="s">
        <v>171</v>
      </c>
    </row>
    <row r="30" spans="1:18" x14ac:dyDescent="0.15">
      <c r="A30" s="120">
        <v>20015</v>
      </c>
      <c r="B30" s="57">
        <v>3</v>
      </c>
      <c r="C30" s="71" t="str">
        <f t="shared" si="0"/>
        <v>20015_3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107" t="s">
        <v>246</v>
      </c>
      <c r="G30" s="115">
        <v>125</v>
      </c>
      <c r="H30" s="107">
        <v>1</v>
      </c>
      <c r="I30" s="107">
        <v>1</v>
      </c>
      <c r="J30" s="107">
        <v>1</v>
      </c>
      <c r="K30" s="107">
        <v>0</v>
      </c>
      <c r="L30" s="107">
        <v>0</v>
      </c>
      <c r="M30" s="107">
        <v>0</v>
      </c>
      <c r="N30" s="107">
        <v>0</v>
      </c>
      <c r="O30" s="107">
        <v>1</v>
      </c>
      <c r="P30" s="81">
        <v>10</v>
      </c>
      <c r="Q30" s="107" t="s">
        <v>170</v>
      </c>
      <c r="R30" s="108" t="s">
        <v>171</v>
      </c>
    </row>
    <row r="31" spans="1:18" x14ac:dyDescent="0.15">
      <c r="A31" s="120">
        <v>20015</v>
      </c>
      <c r="B31" s="57">
        <v>3</v>
      </c>
      <c r="C31" s="71" t="str">
        <f t="shared" si="0"/>
        <v>20015_3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107" t="s">
        <v>243</v>
      </c>
      <c r="G31" s="117">
        <v>856</v>
      </c>
      <c r="H31" s="107">
        <v>1</v>
      </c>
      <c r="I31" s="107">
        <v>1</v>
      </c>
      <c r="J31" s="107">
        <v>1</v>
      </c>
      <c r="K31" s="107">
        <v>0</v>
      </c>
      <c r="L31" s="107">
        <v>0</v>
      </c>
      <c r="M31" s="107">
        <v>0</v>
      </c>
      <c r="N31" s="107">
        <v>0</v>
      </c>
      <c r="O31" s="107">
        <v>1</v>
      </c>
      <c r="P31" s="81">
        <v>400</v>
      </c>
      <c r="Q31" s="107" t="s">
        <v>170</v>
      </c>
      <c r="R31" s="108" t="s">
        <v>171</v>
      </c>
    </row>
    <row r="32" spans="1:18" ht="16" thickBot="1" x14ac:dyDescent="0.2">
      <c r="A32" s="121">
        <v>20015</v>
      </c>
      <c r="B32" s="109">
        <v>3</v>
      </c>
      <c r="C32" s="110" t="str">
        <f t="shared" si="0"/>
        <v>20015_3</v>
      </c>
      <c r="D32" s="1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09">
        <v>31</v>
      </c>
      <c r="F32" s="112" t="s">
        <v>243</v>
      </c>
      <c r="G32" s="118">
        <v>348</v>
      </c>
      <c r="H32" s="112">
        <v>1</v>
      </c>
      <c r="I32" s="112">
        <v>1</v>
      </c>
      <c r="J32" s="112">
        <v>1</v>
      </c>
      <c r="K32" s="112">
        <v>0</v>
      </c>
      <c r="L32" s="112">
        <v>0</v>
      </c>
      <c r="M32" s="112">
        <v>0</v>
      </c>
      <c r="N32" s="112">
        <v>0</v>
      </c>
      <c r="O32" s="112">
        <v>1</v>
      </c>
      <c r="P32" s="135">
        <v>100</v>
      </c>
      <c r="Q32" s="112" t="s">
        <v>170</v>
      </c>
      <c r="R32" s="113" t="s">
        <v>171</v>
      </c>
    </row>
  </sheetData>
  <phoneticPr fontId="5"/>
  <dataValidations count="1">
    <dataValidation type="list" allowBlank="1" showInputMessage="1" showErrorMessage="1" sqref="F2:F3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94" sqref="H94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2" t="s">
        <v>189</v>
      </c>
      <c r="C1" s="77" t="s">
        <v>190</v>
      </c>
      <c r="D1" s="77" t="s">
        <v>33</v>
      </c>
      <c r="E1" s="72" t="s">
        <v>191</v>
      </c>
      <c r="F1" s="77" t="s">
        <v>192</v>
      </c>
      <c r="G1" s="77" t="s">
        <v>33</v>
      </c>
      <c r="H1" s="72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  <row r="2" spans="1:13" x14ac:dyDescent="0.15">
      <c r="A2" s="81" t="s">
        <v>201</v>
      </c>
      <c r="B2" s="82">
        <f>floors!$C$2</f>
        <v>20015</v>
      </c>
      <c r="C2" s="83" t="str">
        <f ca="1">VLOOKUP($B2,OFFSET([2]quests!$A$1,0,0,COUNTA([2]quests!$A:$A),MATCH(C$1,[2]quests!$1:$1,0)-MATCH($B$1,[2]quests!$1:$1,0)+1),MATCH(C$1,[2]quests!$1:$1,0)-MATCH($B$1,[2]quests!$1:$1,0)+1,FALSE)</f>
        <v>妄執とり憑く美貌の妃</v>
      </c>
      <c r="D2" s="83" t="str">
        <f ca="1">VLOOKUP($B2,OFFSET([2]quests!$A$1,0,0,COUNTA([2]quests!$A:$A),MATCH(D$1,[2]quests!$1:$1,0)-MATCH($B$1,[2]quests!$1:$1,0)+1),MATCH(D$1,[2]quests!$1:$1,0)-MATCH($B$1,[2]quests!$1:$1,0)+1,FALSE)</f>
        <v>おとぎ話シリーズ3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おとぎ話シリーズ3</v>
      </c>
      <c r="H2" s="85">
        <v>0</v>
      </c>
      <c r="I2">
        <v>1</v>
      </c>
      <c r="J2" s="84" t="s">
        <v>198</v>
      </c>
      <c r="K2" s="93" t="str">
        <f>VLOOKUP(I2,[7]stage_hints!$A:$C,3,FALSE)</f>
        <v>長くつなげて大ダメージ</v>
      </c>
      <c r="L2" s="94" t="str">
        <f>VLOOKUP(I2,[7]stage_hints!$A:$D,4,FALSE)</f>
        <v>パネルを長くつなげるほど_x000D_大ダメージを与えることができます</v>
      </c>
      <c r="M2" s="57" t="s">
        <v>211</v>
      </c>
    </row>
    <row r="3" spans="1:13" x14ac:dyDescent="0.15">
      <c r="A3" s="81" t="s">
        <v>201</v>
      </c>
      <c r="B3" s="82">
        <f>floors!$C$2</f>
        <v>20015</v>
      </c>
      <c r="C3" s="83" t="str">
        <f ca="1">VLOOKUP($B3,OFFSET([2]quests!$A$1,0,0,COUNTA([2]quests!$A:$A),MATCH(C$1,[2]quests!$1:$1,0)-MATCH($B$1,[2]quests!$1:$1,0)+1),MATCH(C$1,[2]quests!$1:$1,0)-MATCH($B$1,[2]quests!$1:$1,0)+1,FALSE)</f>
        <v>妄執とり憑く美貌の妃</v>
      </c>
      <c r="D3" s="83" t="str">
        <f ca="1">VLOOKUP($B3,OFFSET([2]quests!$A$1,0,0,COUNTA([2]quests!$A:$A),MATCH(D$1,[2]quests!$1:$1,0)-MATCH($B$1,[2]quests!$1:$1,0)+1),MATCH(D$1,[2]quests!$1:$1,0)-MATCH($B$1,[2]quests!$1:$1,0)+1,FALSE)</f>
        <v>おとぎ話シリーズ3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おとぎ話シリーズ3</v>
      </c>
      <c r="H3" s="85">
        <v>0</v>
      </c>
      <c r="I3">
        <v>2</v>
      </c>
      <c r="J3" s="84" t="s">
        <v>198</v>
      </c>
      <c r="K3" s="93" t="str">
        <f>VLOOKUP(I3,[7]stage_hints!$A:$C,3,FALSE)</f>
        <v>属性の相性</v>
      </c>
      <c r="L3" s="94" t="str">
        <f>VLOOKUP(I3,[7]stage_hints!$A:$D,4,FALSE)</f>
        <v>赤＞青　青＞黄　黄＞緑　緑＞赤_x000D_敵属性に最適なパーティがオススメです</v>
      </c>
      <c r="M3" s="57" t="s">
        <v>211</v>
      </c>
    </row>
    <row r="4" spans="1:13" x14ac:dyDescent="0.15">
      <c r="A4" s="81" t="s">
        <v>201</v>
      </c>
      <c r="B4" s="82">
        <f>floors!$C$2</f>
        <v>20015</v>
      </c>
      <c r="C4" s="83" t="str">
        <f ca="1">VLOOKUP($B4,OFFSET([2]quests!$A$1,0,0,COUNTA([2]quests!$A:$A),MATCH(C$1,[2]quests!$1:$1,0)-MATCH($B$1,[2]quests!$1:$1,0)+1),MATCH(C$1,[2]quests!$1:$1,0)-MATCH($B$1,[2]quests!$1:$1,0)+1,FALSE)</f>
        <v>妄執とり憑く美貌の妃</v>
      </c>
      <c r="D4" s="83" t="str">
        <f ca="1">VLOOKUP($B4,OFFSET([2]quests!$A$1,0,0,COUNTA([2]quests!$A:$A),MATCH(D$1,[2]quests!$1:$1,0)-MATCH($B$1,[2]quests!$1:$1,0)+1),MATCH(D$1,[2]quests!$1:$1,0)-MATCH($B$1,[2]quests!$1:$1,0)+1,FALSE)</f>
        <v>おとぎ話シリーズ3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おとぎ話シリーズ3</v>
      </c>
      <c r="H4" s="85">
        <v>0</v>
      </c>
      <c r="I4">
        <v>3</v>
      </c>
      <c r="J4" s="84" t="s">
        <v>198</v>
      </c>
      <c r="K4" s="93" t="str">
        <f>VLOOKUP(I4,[7]stage_hints!$A:$C,3,FALSE)</f>
        <v>ターゲット</v>
      </c>
      <c r="L4" s="94" t="str">
        <f>VLOOKUP(I4,[7]stage_hints!$A:$D,4,FALSE)</f>
        <v>敵ユニットをタップすると_x000D_その敵を狙い撃ちできます</v>
      </c>
      <c r="M4" s="57" t="s">
        <v>211</v>
      </c>
    </row>
    <row r="5" spans="1:13" x14ac:dyDescent="0.15">
      <c r="A5" s="81" t="s">
        <v>201</v>
      </c>
      <c r="B5" s="82">
        <f>floors!$C$2</f>
        <v>20015</v>
      </c>
      <c r="C5" s="83" t="str">
        <f ca="1">VLOOKUP($B5,OFFSET([2]quests!$A$1,0,0,COUNTA([2]quests!$A:$A),MATCH(C$1,[2]quests!$1:$1,0)-MATCH($B$1,[2]quests!$1:$1,0)+1),MATCH(C$1,[2]quests!$1:$1,0)-MATCH($B$1,[2]quests!$1:$1,0)+1,FALSE)</f>
        <v>妄執とり憑く美貌の妃</v>
      </c>
      <c r="D5" s="83" t="str">
        <f ca="1">VLOOKUP($B5,OFFSET([2]quests!$A$1,0,0,COUNTA([2]quests!$A:$A),MATCH(D$1,[2]quests!$1:$1,0)-MATCH($B$1,[2]quests!$1:$1,0)+1),MATCH(D$1,[2]quests!$1:$1,0)-MATCH($B$1,[2]quests!$1:$1,0)+1,FALSE)</f>
        <v>おとぎ話シリーズ3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おとぎ話シリーズ3</v>
      </c>
      <c r="H5" s="85">
        <v>0</v>
      </c>
      <c r="I5">
        <v>5</v>
      </c>
      <c r="J5" s="84" t="s">
        <v>198</v>
      </c>
      <c r="K5" s="93" t="str">
        <f>VLOOKUP(I5,[7]stage_hints!$A:$C,3,FALSE)</f>
        <v>ユニット強化でレベルアップ</v>
      </c>
      <c r="L5" s="94" t="str">
        <f>VLOOKUP(I5,[7]stage_hints!$A:$D,4,FALSE)</f>
        <v>「ユニット強化」でレベルアップすると_x000D_勝てない敵にも勝てるようになります</v>
      </c>
      <c r="M5" s="57" t="s">
        <v>211</v>
      </c>
    </row>
    <row r="6" spans="1:13" x14ac:dyDescent="0.15">
      <c r="A6" s="81" t="s">
        <v>201</v>
      </c>
      <c r="B6" s="82">
        <f>floors!$C$2</f>
        <v>20015</v>
      </c>
      <c r="C6" s="83" t="str">
        <f ca="1">VLOOKUP($B6,OFFSET([2]quests!$A$1,0,0,COUNTA([2]quests!$A:$A),MATCH(C$1,[2]quests!$1:$1,0)-MATCH($B$1,[2]quests!$1:$1,0)+1),MATCH(C$1,[2]quests!$1:$1,0)-MATCH($B$1,[2]quests!$1:$1,0)+1,FALSE)</f>
        <v>妄執とり憑く美貌の妃</v>
      </c>
      <c r="D6" s="83" t="str">
        <f ca="1">VLOOKUP($B6,OFFSET([2]quests!$A$1,0,0,COUNTA([2]quests!$A:$A),MATCH(D$1,[2]quests!$1:$1,0)-MATCH($B$1,[2]quests!$1:$1,0)+1),MATCH(D$1,[2]quests!$1:$1,0)-MATCH($B$1,[2]quests!$1:$1,0)+1,FALSE)</f>
        <v>おとぎ話シリーズ3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おとぎ話シリーズ3</v>
      </c>
      <c r="H6" s="85">
        <v>0</v>
      </c>
      <c r="I6">
        <v>6</v>
      </c>
      <c r="J6" s="84" t="s">
        <v>198</v>
      </c>
      <c r="K6" s="93" t="str">
        <f>VLOOKUP(I6,[7]stage_hints!$A:$C,3,FALSE)</f>
        <v>ユニット強化の属性ボーナス</v>
      </c>
      <c r="L6" s="94" t="str">
        <f>VLOOKUP(I6,[7]stage_hints!$A:$D,4,FALSE)</f>
        <v>同属性ユニットを強化素材にすると_x000D_経験値が多くもらえます</v>
      </c>
      <c r="M6" s="57" t="s">
        <v>211</v>
      </c>
    </row>
    <row r="7" spans="1:13" x14ac:dyDescent="0.15">
      <c r="A7" s="81" t="s">
        <v>201</v>
      </c>
      <c r="B7" s="82">
        <f>floors!$C$2</f>
        <v>20015</v>
      </c>
      <c r="C7" s="83" t="str">
        <f ca="1">VLOOKUP($B7,OFFSET([2]quests!$A$1,0,0,COUNTA([2]quests!$A:$A),MATCH(C$1,[2]quests!$1:$1,0)-MATCH($B$1,[2]quests!$1:$1,0)+1),MATCH(C$1,[2]quests!$1:$1,0)-MATCH($B$1,[2]quests!$1:$1,0)+1,FALSE)</f>
        <v>妄執とり憑く美貌の妃</v>
      </c>
      <c r="D7" s="83" t="str">
        <f ca="1">VLOOKUP($B7,OFFSET([2]quests!$A$1,0,0,COUNTA([2]quests!$A:$A),MATCH(D$1,[2]quests!$1:$1,0)-MATCH($B$1,[2]quests!$1:$1,0)+1),MATCH(D$1,[2]quests!$1:$1,0)-MATCH($B$1,[2]quests!$1:$1,0)+1,FALSE)</f>
        <v>おとぎ話シリーズ3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おとぎ話シリーズ3</v>
      </c>
      <c r="H7" s="85">
        <v>0</v>
      </c>
      <c r="I7">
        <v>7</v>
      </c>
      <c r="J7" s="84" t="s">
        <v>198</v>
      </c>
      <c r="K7" s="93" t="str">
        <f>VLOOKUP(I7,[7]stage_hints!$A:$C,3,FALSE)</f>
        <v>メタルダックで経験値を獲得</v>
      </c>
      <c r="L7" s="94" t="str">
        <f>VLOOKUP(I7,[7]stage_hints!$A:$D,4,FALSE)</f>
        <v>「メタルなアヒル」を強化素材にすると_x000D_大量の経験値がもらえます</v>
      </c>
      <c r="M7" s="57" t="s">
        <v>211</v>
      </c>
    </row>
    <row r="8" spans="1:13" x14ac:dyDescent="0.15">
      <c r="A8" s="81" t="s">
        <v>201</v>
      </c>
      <c r="B8" s="82">
        <f>floors!$C$2</f>
        <v>20015</v>
      </c>
      <c r="C8" s="83" t="str">
        <f ca="1">VLOOKUP($B8,OFFSET([2]quests!$A$1,0,0,COUNTA([2]quests!$A:$A),MATCH(C$1,[2]quests!$1:$1,0)-MATCH($B$1,[2]quests!$1:$1,0)+1),MATCH(C$1,[2]quests!$1:$1,0)-MATCH($B$1,[2]quests!$1:$1,0)+1,FALSE)</f>
        <v>妄執とり憑く美貌の妃</v>
      </c>
      <c r="D8" s="83" t="str">
        <f ca="1">VLOOKUP($B8,OFFSET([2]quests!$A$1,0,0,COUNTA([2]quests!$A:$A),MATCH(D$1,[2]quests!$1:$1,0)-MATCH($B$1,[2]quests!$1:$1,0)+1),MATCH(D$1,[2]quests!$1:$1,0)-MATCH($B$1,[2]quests!$1:$1,0)+1,FALSE)</f>
        <v>おとぎ話シリーズ3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おとぎ話シリーズ3</v>
      </c>
      <c r="H8" s="85">
        <v>0</v>
      </c>
      <c r="I8">
        <v>8</v>
      </c>
      <c r="J8" s="84" t="s">
        <v>198</v>
      </c>
      <c r="K8" s="93" t="str">
        <f>VLOOKUP(I8,[7]stage_hints!$A:$C,3,FALSE)</f>
        <v>ゲリラクエストは要チェック</v>
      </c>
      <c r="L8" s="94" t="str">
        <f>VLOOKUP(I8,[7]stage_hints!$A:$D,4,FALSE)</f>
        <v>時間限定の「アヒル捕獲作戦」では_x000D_経験値素材ユニットが多く手に入ります</v>
      </c>
      <c r="M8" s="57" t="s">
        <v>211</v>
      </c>
    </row>
    <row r="9" spans="1:13" x14ac:dyDescent="0.15">
      <c r="A9" s="81" t="s">
        <v>201</v>
      </c>
      <c r="B9" s="82">
        <f>floors!$C$2</f>
        <v>20015</v>
      </c>
      <c r="C9" s="83" t="str">
        <f ca="1">VLOOKUP($B9,OFFSET([2]quests!$A$1,0,0,COUNTA([2]quests!$A:$A),MATCH(C$1,[2]quests!$1:$1,0)-MATCH($B$1,[2]quests!$1:$1,0)+1),MATCH(C$1,[2]quests!$1:$1,0)-MATCH($B$1,[2]quests!$1:$1,0)+1,FALSE)</f>
        <v>妄執とり憑く美貌の妃</v>
      </c>
      <c r="D9" s="83" t="str">
        <f ca="1">VLOOKUP($B9,OFFSET([2]quests!$A$1,0,0,COUNTA([2]quests!$A:$A),MATCH(D$1,[2]quests!$1:$1,0)-MATCH($B$1,[2]quests!$1:$1,0)+1),MATCH(D$1,[2]quests!$1:$1,0)-MATCH($B$1,[2]quests!$1:$1,0)+1,FALSE)</f>
        <v>おとぎ話シリーズ3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おとぎ話シリーズ3</v>
      </c>
      <c r="H9" s="85">
        <v>0</v>
      </c>
      <c r="I9">
        <v>9</v>
      </c>
      <c r="J9" s="84" t="s">
        <v>198</v>
      </c>
      <c r="K9" s="93" t="str">
        <f>VLOOKUP(I9,[7]stage_hints!$A:$C,3,FALSE)</f>
        <v>ゴールドダックでビットを獲得</v>
      </c>
      <c r="L9" s="94" t="str">
        <f>VLOOKUP(I9,[7]stage_hints!$A:$D,4,FALSE)</f>
        <v>「ゴールドなアヒル」を売却すると_x000D_大量のビットがもらえます</v>
      </c>
      <c r="M9" s="57" t="s">
        <v>211</v>
      </c>
    </row>
    <row r="10" spans="1:13" x14ac:dyDescent="0.15">
      <c r="A10" s="81" t="s">
        <v>201</v>
      </c>
      <c r="B10" s="82">
        <f>floors!$C$2</f>
        <v>20015</v>
      </c>
      <c r="C10" s="83" t="str">
        <f ca="1">VLOOKUP($B10,OFFSET([2]quests!$A$1,0,0,COUNTA([2]quests!$A:$A),MATCH(C$1,[2]quests!$1:$1,0)-MATCH($B$1,[2]quests!$1:$1,0)+1),MATCH(C$1,[2]quests!$1:$1,0)-MATCH($B$1,[2]quests!$1:$1,0)+1,FALSE)</f>
        <v>妄執とり憑く美貌の妃</v>
      </c>
      <c r="D10" s="83" t="str">
        <f ca="1">VLOOKUP($B10,OFFSET([2]quests!$A$1,0,0,COUNTA([2]quests!$A:$A),MATCH(D$1,[2]quests!$1:$1,0)-MATCH($B$1,[2]quests!$1:$1,0)+1),MATCH(D$1,[2]quests!$1:$1,0)-MATCH($B$1,[2]quests!$1:$1,0)+1,FALSE)</f>
        <v>おとぎ話シリーズ3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おとぎ話シリーズ3</v>
      </c>
      <c r="H10" s="85">
        <v>0</v>
      </c>
      <c r="I10">
        <v>10</v>
      </c>
      <c r="J10" s="84" t="s">
        <v>198</v>
      </c>
      <c r="K10" s="93" t="str">
        <f>VLOOKUP(I10,[7]stage_hints!$A:$C,3,FALSE)</f>
        <v>土日に大量のビットを獲得</v>
      </c>
      <c r="L10" s="94" t="str">
        <f>VLOOKUP(I10,[7]stage_hints!$A:$D,4,FALSE)</f>
        <v>土日限定の「ゴールドカジノ」では_x000D_売却素材ユニットが多く手に入ります</v>
      </c>
      <c r="M10" s="57" t="s">
        <v>211</v>
      </c>
    </row>
    <row r="11" spans="1:13" x14ac:dyDescent="0.15">
      <c r="A11" s="81" t="s">
        <v>201</v>
      </c>
      <c r="B11" s="82">
        <f>floors!$C$2</f>
        <v>20015</v>
      </c>
      <c r="C11" s="83" t="str">
        <f ca="1">VLOOKUP($B11,OFFSET([2]quests!$A$1,0,0,COUNTA([2]quests!$A:$A),MATCH(C$1,[2]quests!$1:$1,0)-MATCH($B$1,[2]quests!$1:$1,0)+1),MATCH(C$1,[2]quests!$1:$1,0)-MATCH($B$1,[2]quests!$1:$1,0)+1,FALSE)</f>
        <v>妄執とり憑く美貌の妃</v>
      </c>
      <c r="D11" s="83" t="str">
        <f ca="1">VLOOKUP($B11,OFFSET([2]quests!$A$1,0,0,COUNTA([2]quests!$A:$A),MATCH(D$1,[2]quests!$1:$1,0)-MATCH($B$1,[2]quests!$1:$1,0)+1),MATCH(D$1,[2]quests!$1:$1,0)-MATCH($B$1,[2]quests!$1:$1,0)+1,FALSE)</f>
        <v>おとぎ話シリーズ3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おとぎ話シリーズ3</v>
      </c>
      <c r="H11" s="85">
        <v>0</v>
      </c>
      <c r="I11">
        <v>11</v>
      </c>
      <c r="J11" s="84" t="s">
        <v>198</v>
      </c>
      <c r="K11" s="93" t="str">
        <f>VLOOKUP(I11,[7]stage_hints!$A:$C,3,FALSE)</f>
        <v>ランク解放クエスト</v>
      </c>
      <c r="L11" s="94" t="str">
        <f>VLOOKUP(I11,[7]stage_hints!$A:$D,4,FALSE)</f>
        <v>一定ランクに到達すると_x000D_報酬付きのランク開放クエストが現れます</v>
      </c>
      <c r="M11" s="57" t="s">
        <v>211</v>
      </c>
    </row>
    <row r="12" spans="1:13" x14ac:dyDescent="0.15">
      <c r="A12" s="81" t="s">
        <v>201</v>
      </c>
      <c r="B12" s="82">
        <f>floors!$C$2</f>
        <v>20015</v>
      </c>
      <c r="C12" s="83" t="str">
        <f ca="1">VLOOKUP($B12,OFFSET([2]quests!$A$1,0,0,COUNTA([2]quests!$A:$A),MATCH(C$1,[2]quests!$1:$1,0)-MATCH($B$1,[2]quests!$1:$1,0)+1),MATCH(C$1,[2]quests!$1:$1,0)-MATCH($B$1,[2]quests!$1:$1,0)+1,FALSE)</f>
        <v>妄執とり憑く美貌の妃</v>
      </c>
      <c r="D12" s="83" t="str">
        <f ca="1">VLOOKUP($B12,OFFSET([2]quests!$A$1,0,0,COUNTA([2]quests!$A:$A),MATCH(D$1,[2]quests!$1:$1,0)-MATCH($B$1,[2]quests!$1:$1,0)+1),MATCH(D$1,[2]quests!$1:$1,0)-MATCH($B$1,[2]quests!$1:$1,0)+1,FALSE)</f>
        <v>おとぎ話シリーズ3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おとぎ話シリーズ3</v>
      </c>
      <c r="H12" s="85">
        <v>0</v>
      </c>
      <c r="I12">
        <v>12</v>
      </c>
      <c r="J12" s="84" t="s">
        <v>198</v>
      </c>
      <c r="K12" s="93" t="str">
        <f>VLOOKUP(I12,[7]stage_hints!$A:$C,3,FALSE)</f>
        <v>ユニットのお気に入り登録</v>
      </c>
      <c r="L12" s="94" t="str">
        <f>VLOOKUP(I12,[7]stage_hints!$A:$D,4,FALSE)</f>
        <v>大事なユニットを誤って消さないように_x000D_フォルダから「お気に入り登録」しましょう</v>
      </c>
      <c r="M12" s="57" t="s">
        <v>211</v>
      </c>
    </row>
    <row r="13" spans="1:13" x14ac:dyDescent="0.15">
      <c r="A13" s="81" t="s">
        <v>201</v>
      </c>
      <c r="B13" s="82">
        <f>floors!$C$2</f>
        <v>20015</v>
      </c>
      <c r="C13" s="83" t="str">
        <f ca="1">VLOOKUP($B13,OFFSET([2]quests!$A$1,0,0,COUNTA([2]quests!$A:$A),MATCH(C$1,[2]quests!$1:$1,0)-MATCH($B$1,[2]quests!$1:$1,0)+1),MATCH(C$1,[2]quests!$1:$1,0)-MATCH($B$1,[2]quests!$1:$1,0)+1,FALSE)</f>
        <v>妄執とり憑く美貌の妃</v>
      </c>
      <c r="D13" s="83" t="str">
        <f ca="1">VLOOKUP($B13,OFFSET([2]quests!$A$1,0,0,COUNTA([2]quests!$A:$A),MATCH(D$1,[2]quests!$1:$1,0)-MATCH($B$1,[2]quests!$1:$1,0)+1),MATCH(D$1,[2]quests!$1:$1,0)-MATCH($B$1,[2]quests!$1:$1,0)+1,FALSE)</f>
        <v>おとぎ話シリーズ3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おとぎ話シリーズ3</v>
      </c>
      <c r="H13" s="85">
        <v>0</v>
      </c>
      <c r="I13">
        <v>13</v>
      </c>
      <c r="J13" s="84" t="s">
        <v>198</v>
      </c>
      <c r="K13" s="93" t="str">
        <f>VLOOKUP(I13,[7]stage_hints!$A:$C,3,FALSE)</f>
        <v>ユニットの覚醒</v>
      </c>
      <c r="L13" s="94" t="str">
        <f>VLOOKUP(I13,[7]stage_hints!$A:$D,4,FALSE)</f>
        <v>ユニットを覚醒させると_x000D_比べものにならない強さが手に入ります</v>
      </c>
      <c r="M13" s="57" t="s">
        <v>211</v>
      </c>
    </row>
    <row r="14" spans="1:13" x14ac:dyDescent="0.15">
      <c r="A14" s="81" t="s">
        <v>201</v>
      </c>
      <c r="B14" s="82">
        <f>floors!$C$2</f>
        <v>20015</v>
      </c>
      <c r="C14" s="83" t="str">
        <f ca="1">VLOOKUP($B14,OFFSET([2]quests!$A$1,0,0,COUNTA([2]quests!$A:$A),MATCH(C$1,[2]quests!$1:$1,0)-MATCH($B$1,[2]quests!$1:$1,0)+1),MATCH(C$1,[2]quests!$1:$1,0)-MATCH($B$1,[2]quests!$1:$1,0)+1,FALSE)</f>
        <v>妄執とり憑く美貌の妃</v>
      </c>
      <c r="D14" s="83" t="str">
        <f ca="1">VLOOKUP($B14,OFFSET([2]quests!$A$1,0,0,COUNTA([2]quests!$A:$A),MATCH(D$1,[2]quests!$1:$1,0)-MATCH($B$1,[2]quests!$1:$1,0)+1),MATCH(D$1,[2]quests!$1:$1,0)-MATCH($B$1,[2]quests!$1:$1,0)+1,FALSE)</f>
        <v>おとぎ話シリーズ3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おとぎ話シリーズ3</v>
      </c>
      <c r="H14" s="85">
        <v>0</v>
      </c>
      <c r="I14">
        <v>14</v>
      </c>
      <c r="J14" s="84" t="s">
        <v>198</v>
      </c>
      <c r="K14" s="93" t="str">
        <f>VLOOKUP(I14,[7]stage_hints!$A:$C,3,FALSE)</f>
        <v>覚醒するにはレベルを最大に</v>
      </c>
      <c r="L14" s="94" t="str">
        <f>VLOOKUP(I14,[7]stage_hints!$A:$D,4,FALSE)</f>
        <v>覚醒するにはユニットのレベルを_x000D_最大まで上げる必要があります</v>
      </c>
      <c r="M14" s="57" t="s">
        <v>211</v>
      </c>
    </row>
    <row r="15" spans="1:13" x14ac:dyDescent="0.15">
      <c r="A15" s="81" t="s">
        <v>201</v>
      </c>
      <c r="B15" s="82">
        <f>floors!$C$2</f>
        <v>20015</v>
      </c>
      <c r="C15" s="83" t="str">
        <f ca="1">VLOOKUP($B15,OFFSET([2]quests!$A$1,0,0,COUNTA([2]quests!$A:$A),MATCH(C$1,[2]quests!$1:$1,0)-MATCH($B$1,[2]quests!$1:$1,0)+1),MATCH(C$1,[2]quests!$1:$1,0)-MATCH($B$1,[2]quests!$1:$1,0)+1,FALSE)</f>
        <v>妄執とり憑く美貌の妃</v>
      </c>
      <c r="D15" s="83" t="str">
        <f ca="1">VLOOKUP($B15,OFFSET([2]quests!$A$1,0,0,COUNTA([2]quests!$A:$A),MATCH(D$1,[2]quests!$1:$1,0)-MATCH($B$1,[2]quests!$1:$1,0)+1),MATCH(D$1,[2]quests!$1:$1,0)-MATCH($B$1,[2]quests!$1:$1,0)+1,FALSE)</f>
        <v>おとぎ話シリーズ3</v>
      </c>
      <c r="E15" s="87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おとぎ話シリーズ3</v>
      </c>
      <c r="H15" s="85">
        <v>0</v>
      </c>
      <c r="I15">
        <v>15</v>
      </c>
      <c r="J15" s="84" t="s">
        <v>198</v>
      </c>
      <c r="K15" s="93" t="str">
        <f>VLOOKUP(I15,[7]stage_hints!$A:$C,3,FALSE)</f>
        <v>覚醒素材を獲得</v>
      </c>
      <c r="L15" s="94" t="str">
        <f>VLOOKUP(I15,[7]stage_hints!$A:$D,4,FALSE)</f>
        <v>「曜日クエスト」では_x000D_ユニットの覚醒に必要な素材が手に入ります</v>
      </c>
      <c r="M15" s="57" t="s">
        <v>211</v>
      </c>
    </row>
    <row r="16" spans="1:13" x14ac:dyDescent="0.15">
      <c r="A16" s="81" t="s">
        <v>201</v>
      </c>
      <c r="B16" s="82">
        <f>floors!$C$2</f>
        <v>20015</v>
      </c>
      <c r="C16" s="83" t="str">
        <f ca="1">VLOOKUP($B16,OFFSET([2]quests!$A$1,0,0,COUNTA([2]quests!$A:$A),MATCH(C$1,[2]quests!$1:$1,0)-MATCH($B$1,[2]quests!$1:$1,0)+1),MATCH(C$1,[2]quests!$1:$1,0)-MATCH($B$1,[2]quests!$1:$1,0)+1,FALSE)</f>
        <v>妄執とり憑く美貌の妃</v>
      </c>
      <c r="D16" s="83" t="str">
        <f ca="1">VLOOKUP($B16,OFFSET([2]quests!$A$1,0,0,COUNTA([2]quests!$A:$A),MATCH(D$1,[2]quests!$1:$1,0)-MATCH($B$1,[2]quests!$1:$1,0)+1),MATCH(D$1,[2]quests!$1:$1,0)-MATCH($B$1,[2]quests!$1:$1,0)+1,FALSE)</f>
        <v>おとぎ話シリーズ3</v>
      </c>
      <c r="E16" s="87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おとぎ話シリーズ3</v>
      </c>
      <c r="H16" s="85">
        <v>0</v>
      </c>
      <c r="I16">
        <v>16</v>
      </c>
      <c r="J16" s="84" t="s">
        <v>198</v>
      </c>
      <c r="K16" s="93" t="str">
        <f>VLOOKUP(I16,[7]stage_hints!$A:$C,3,FALSE)</f>
        <v>マルチプレイのメリット（その1）</v>
      </c>
      <c r="L16" s="94" t="str">
        <f>VLOOKUP(I16,[7]stage_hints!$A:$D,4,FALSE)</f>
        <v>他のプレイヤーとマルチプレイで遊ぶと_x000D_ポリゴンがもらえます（100人まで）</v>
      </c>
      <c r="M16" s="57" t="s">
        <v>211</v>
      </c>
    </row>
    <row r="17" spans="1:13" x14ac:dyDescent="0.15">
      <c r="A17" s="81" t="s">
        <v>201</v>
      </c>
      <c r="B17" s="82">
        <f>floors!$C$2</f>
        <v>20015</v>
      </c>
      <c r="C17" s="83" t="str">
        <f ca="1">VLOOKUP($B17,OFFSET([2]quests!$A$1,0,0,COUNTA([2]quests!$A:$A),MATCH(C$1,[2]quests!$1:$1,0)-MATCH($B$1,[2]quests!$1:$1,0)+1),MATCH(C$1,[2]quests!$1:$1,0)-MATCH($B$1,[2]quests!$1:$1,0)+1,FALSE)</f>
        <v>妄執とり憑く美貌の妃</v>
      </c>
      <c r="D17" s="83" t="str">
        <f ca="1">VLOOKUP($B17,OFFSET([2]quests!$A$1,0,0,COUNTA([2]quests!$A:$A),MATCH(D$1,[2]quests!$1:$1,0)-MATCH($B$1,[2]quests!$1:$1,0)+1),MATCH(D$1,[2]quests!$1:$1,0)-MATCH($B$1,[2]quests!$1:$1,0)+1,FALSE)</f>
        <v>おとぎ話シリーズ3</v>
      </c>
      <c r="E17" s="87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おとぎ話シリーズ3</v>
      </c>
      <c r="H17" s="85">
        <v>0</v>
      </c>
      <c r="I17">
        <v>17</v>
      </c>
      <c r="J17" s="84" t="s">
        <v>198</v>
      </c>
      <c r="K17" s="93" t="str">
        <f>VLOOKUP(I17,[7]stage_hints!$A:$C,3,FALSE)</f>
        <v>リンクガチャ</v>
      </c>
      <c r="L17" s="94" t="str">
        <f>VLOOKUP(I17,[7]stage_hints!$A:$D,4,FALSE)</f>
        <v>無料のリンクガチャを回して_x000D_経験値素材や売却素材を獲得しましょう</v>
      </c>
      <c r="M17" s="57" t="s">
        <v>211</v>
      </c>
    </row>
    <row r="18" spans="1:13" x14ac:dyDescent="0.15">
      <c r="A18" s="81" t="s">
        <v>201</v>
      </c>
      <c r="B18" s="82">
        <f>floors!$C$2</f>
        <v>20015</v>
      </c>
      <c r="C18" s="83" t="str">
        <f ca="1">VLOOKUP($B18,OFFSET([2]quests!$A$1,0,0,COUNTA([2]quests!$A:$A),MATCH(C$1,[2]quests!$1:$1,0)-MATCH($B$1,[2]quests!$1:$1,0)+1),MATCH(C$1,[2]quests!$1:$1,0)-MATCH($B$1,[2]quests!$1:$1,0)+1,FALSE)</f>
        <v>妄執とり憑く美貌の妃</v>
      </c>
      <c r="D18" s="83" t="str">
        <f ca="1">VLOOKUP($B18,OFFSET([2]quests!$A$1,0,0,COUNTA([2]quests!$A:$A),MATCH(D$1,[2]quests!$1:$1,0)-MATCH($B$1,[2]quests!$1:$1,0)+1),MATCH(D$1,[2]quests!$1:$1,0)-MATCH($B$1,[2]quests!$1:$1,0)+1,FALSE)</f>
        <v>おとぎ話シリーズ3</v>
      </c>
      <c r="E18" s="87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おとぎ話シリーズ3</v>
      </c>
      <c r="H18" s="85">
        <v>0</v>
      </c>
      <c r="I18">
        <v>18</v>
      </c>
      <c r="J18" s="84" t="s">
        <v>198</v>
      </c>
      <c r="K18" s="93" t="str">
        <f>VLOOKUP(I18,[7]stage_hints!$A:$C,3,FALSE)</f>
        <v>マルチプレイのメリット（その2）</v>
      </c>
      <c r="L18" s="94" t="str">
        <f>VLOOKUP(I18,[7]stage_hints!$A:$D,4,FALSE)</f>
        <v>マルチプレイならリンクが2倍もらえます_x000D_リンクガチャをたくさん回しましょう</v>
      </c>
      <c r="M18" s="57" t="s">
        <v>211</v>
      </c>
    </row>
    <row r="19" spans="1:13" x14ac:dyDescent="0.15">
      <c r="A19" s="81" t="s">
        <v>201</v>
      </c>
      <c r="B19" s="82">
        <f>floors!$C$2</f>
        <v>20015</v>
      </c>
      <c r="C19" s="83" t="str">
        <f ca="1">VLOOKUP($B19,OFFSET([2]quests!$A$1,0,0,COUNTA([2]quests!$A:$A),MATCH(C$1,[2]quests!$1:$1,0)-MATCH($B$1,[2]quests!$1:$1,0)+1),MATCH(C$1,[2]quests!$1:$1,0)-MATCH($B$1,[2]quests!$1:$1,0)+1,FALSE)</f>
        <v>妄執とり憑く美貌の妃</v>
      </c>
      <c r="D19" s="83" t="str">
        <f ca="1">VLOOKUP($B19,OFFSET([2]quests!$A$1,0,0,COUNTA([2]quests!$A:$A),MATCH(D$1,[2]quests!$1:$1,0)-MATCH($B$1,[2]quests!$1:$1,0)+1),MATCH(D$1,[2]quests!$1:$1,0)-MATCH($B$1,[2]quests!$1:$1,0)+1,FALSE)</f>
        <v>おとぎ話シリーズ3</v>
      </c>
      <c r="E19" s="87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おとぎ話シリーズ3</v>
      </c>
      <c r="H19" s="85">
        <v>0</v>
      </c>
      <c r="I19">
        <v>19</v>
      </c>
      <c r="J19" s="84" t="s">
        <v>198</v>
      </c>
      <c r="K19" s="93" t="str">
        <f>VLOOKUP(I19,[7]stage_hints!$A:$C,3,FALSE)</f>
        <v>ソロ専用タワーオブザクイーン</v>
      </c>
      <c r="L19" s="94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211</v>
      </c>
    </row>
    <row r="20" spans="1:13" x14ac:dyDescent="0.15">
      <c r="A20" s="81" t="s">
        <v>201</v>
      </c>
      <c r="B20" s="82">
        <f>floors!$C$2</f>
        <v>20015</v>
      </c>
      <c r="C20" s="83" t="str">
        <f ca="1">VLOOKUP($B20,OFFSET([2]quests!$A$1,0,0,COUNTA([2]quests!$A:$A),MATCH(C$1,[2]quests!$1:$1,0)-MATCH($B$1,[2]quests!$1:$1,0)+1),MATCH(C$1,[2]quests!$1:$1,0)-MATCH($B$1,[2]quests!$1:$1,0)+1,FALSE)</f>
        <v>妄執とり憑く美貌の妃</v>
      </c>
      <c r="D20" s="83" t="str">
        <f ca="1">VLOOKUP($B20,OFFSET([2]quests!$A$1,0,0,COUNTA([2]quests!$A:$A),MATCH(D$1,[2]quests!$1:$1,0)-MATCH($B$1,[2]quests!$1:$1,0)+1),MATCH(D$1,[2]quests!$1:$1,0)-MATCH($B$1,[2]quests!$1:$1,0)+1,FALSE)</f>
        <v>おとぎ話シリーズ3</v>
      </c>
      <c r="E20" s="87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おとぎ話シリーズ3</v>
      </c>
      <c r="H20" s="85">
        <v>0</v>
      </c>
      <c r="I20">
        <v>20</v>
      </c>
      <c r="J20" s="84" t="s">
        <v>198</v>
      </c>
      <c r="K20" s="93" t="str">
        <f>VLOOKUP(I20,[7]stage_hints!$A:$C,3,FALSE)</f>
        <v>マルチプレイのメリット（その3）</v>
      </c>
      <c r="L20" s="94" t="str">
        <f>VLOOKUP(I20,[7]stage_hints!$A:$D,4,FALSE)</f>
        <v>マルチプレイへの参加はエナジー消費ゼロ_x000D_いつでも好きなだけ遊ぶことができます</v>
      </c>
      <c r="M20" s="57" t="s">
        <v>211</v>
      </c>
    </row>
    <row r="21" spans="1:13" x14ac:dyDescent="0.15">
      <c r="A21" s="81" t="s">
        <v>201</v>
      </c>
      <c r="B21" s="82">
        <f>floors!$C$2</f>
        <v>20015</v>
      </c>
      <c r="C21" s="83" t="str">
        <f ca="1">VLOOKUP($B21,OFFSET([2]quests!$A$1,0,0,COUNTA([2]quests!$A:$A),MATCH(C$1,[2]quests!$1:$1,0)-MATCH($B$1,[2]quests!$1:$1,0)+1),MATCH(C$1,[2]quests!$1:$1,0)-MATCH($B$1,[2]quests!$1:$1,0)+1,FALSE)</f>
        <v>妄執とり憑く美貌の妃</v>
      </c>
      <c r="D21" s="83" t="str">
        <f ca="1">VLOOKUP($B21,OFFSET([2]quests!$A$1,0,0,COUNTA([2]quests!$A:$A),MATCH(D$1,[2]quests!$1:$1,0)-MATCH($B$1,[2]quests!$1:$1,0)+1),MATCH(D$1,[2]quests!$1:$1,0)-MATCH($B$1,[2]quests!$1:$1,0)+1,FALSE)</f>
        <v>おとぎ話シリーズ3</v>
      </c>
      <c r="E21" s="87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おとぎ話シリーズ3</v>
      </c>
      <c r="H21" s="85">
        <v>0</v>
      </c>
      <c r="I21">
        <v>21</v>
      </c>
      <c r="J21" s="84" t="s">
        <v>198</v>
      </c>
      <c r="K21" s="93" t="str">
        <f>VLOOKUP(I21,[7]stage_hints!$A:$C,3,FALSE)</f>
        <v>スキルを有効に</v>
      </c>
      <c r="L21" s="94" t="str">
        <f>VLOOKUP(I21,[7]stage_hints!$A:$D,4,FALSE)</f>
        <v>ターン経過でユニットのスキルが使えます_x000D_強力スキルでバトルを有利に進めましょう</v>
      </c>
      <c r="M21" s="57" t="s">
        <v>211</v>
      </c>
    </row>
    <row r="22" spans="1:13" x14ac:dyDescent="0.15">
      <c r="A22" s="81" t="s">
        <v>201</v>
      </c>
      <c r="B22" s="82">
        <f>floors!$C$2</f>
        <v>20015</v>
      </c>
      <c r="C22" s="83" t="str">
        <f ca="1">VLOOKUP($B22,OFFSET([2]quests!$A$1,0,0,COUNTA([2]quests!$A:$A),MATCH(C$1,[2]quests!$1:$1,0)-MATCH($B$1,[2]quests!$1:$1,0)+1),MATCH(C$1,[2]quests!$1:$1,0)-MATCH($B$1,[2]quests!$1:$1,0)+1,FALSE)</f>
        <v>妄執とり憑く美貌の妃</v>
      </c>
      <c r="D22" s="83" t="str">
        <f ca="1">VLOOKUP($B22,OFFSET([2]quests!$A$1,0,0,COUNTA([2]quests!$A:$A),MATCH(D$1,[2]quests!$1:$1,0)-MATCH($B$1,[2]quests!$1:$1,0)+1),MATCH(D$1,[2]quests!$1:$1,0)-MATCH($B$1,[2]quests!$1:$1,0)+1,FALSE)</f>
        <v>おとぎ話シリーズ3</v>
      </c>
      <c r="E22" s="87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おとぎ話シリーズ3</v>
      </c>
      <c r="H22" s="85">
        <v>0</v>
      </c>
      <c r="I22">
        <v>22</v>
      </c>
      <c r="J22" s="84" t="s">
        <v>198</v>
      </c>
      <c r="K22" s="93" t="str">
        <f>VLOOKUP(I22,[7]stage_hints!$A:$C,3,FALSE)</f>
        <v>フィーバーで一発逆転（その1）</v>
      </c>
      <c r="L22" s="94" t="str">
        <f>VLOOKUP(I22,[7]stage_hints!$A:$D,4,FALSE)</f>
        <v>フィーバーは攻撃と回復を兼ね備えます_x000D_ピンチからの一発逆転を狙いましょう</v>
      </c>
      <c r="M22" s="57" t="s">
        <v>211</v>
      </c>
    </row>
    <row r="23" spans="1:13" x14ac:dyDescent="0.15">
      <c r="A23" s="81" t="s">
        <v>201</v>
      </c>
      <c r="B23" s="82">
        <f>floors!$C$2</f>
        <v>20015</v>
      </c>
      <c r="C23" s="83" t="str">
        <f ca="1">VLOOKUP($B23,OFFSET([2]quests!$A$1,0,0,COUNTA([2]quests!$A:$A),MATCH(C$1,[2]quests!$1:$1,0)-MATCH($B$1,[2]quests!$1:$1,0)+1),MATCH(C$1,[2]quests!$1:$1,0)-MATCH($B$1,[2]quests!$1:$1,0)+1,FALSE)</f>
        <v>妄執とり憑く美貌の妃</v>
      </c>
      <c r="D23" s="83" t="str">
        <f ca="1">VLOOKUP($B23,OFFSET([2]quests!$A$1,0,0,COUNTA([2]quests!$A:$A),MATCH(D$1,[2]quests!$1:$1,0)-MATCH($B$1,[2]quests!$1:$1,0)+1),MATCH(D$1,[2]quests!$1:$1,0)-MATCH($B$1,[2]quests!$1:$1,0)+1,FALSE)</f>
        <v>おとぎ話シリーズ3</v>
      </c>
      <c r="E23" s="87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おとぎ話シリーズ3</v>
      </c>
      <c r="H23" s="85">
        <v>0</v>
      </c>
      <c r="I23">
        <v>23</v>
      </c>
      <c r="J23" s="84" t="s">
        <v>198</v>
      </c>
      <c r="K23" s="93" t="str">
        <f>VLOOKUP(I23,[7]stage_hints!$A:$C,3,FALSE)</f>
        <v>フィーバーで一発逆転（その2）</v>
      </c>
      <c r="L23" s="94" t="str">
        <f>VLOOKUP(I23,[7]stage_hints!$A:$D,4,FALSE)</f>
        <v>フィーバー中は虹色のボムパネルを狙って_x000D_画面上のパネルを一気に破壊しましょう</v>
      </c>
      <c r="M23" s="57" t="s">
        <v>211</v>
      </c>
    </row>
    <row r="24" spans="1:13" x14ac:dyDescent="0.15">
      <c r="A24" s="81" t="s">
        <v>201</v>
      </c>
      <c r="B24" s="82">
        <f>floors!$C$2</f>
        <v>20015</v>
      </c>
      <c r="C24" s="83" t="str">
        <f ca="1">VLOOKUP($B24,OFFSET([2]quests!$A$1,0,0,COUNTA([2]quests!$A:$A),MATCH(C$1,[2]quests!$1:$1,0)-MATCH($B$1,[2]quests!$1:$1,0)+1),MATCH(C$1,[2]quests!$1:$1,0)-MATCH($B$1,[2]quests!$1:$1,0)+1,FALSE)</f>
        <v>妄執とり憑く美貌の妃</v>
      </c>
      <c r="D24" s="83" t="str">
        <f ca="1">VLOOKUP($B24,OFFSET([2]quests!$A$1,0,0,COUNTA([2]quests!$A:$A),MATCH(D$1,[2]quests!$1:$1,0)-MATCH($B$1,[2]quests!$1:$1,0)+1),MATCH(D$1,[2]quests!$1:$1,0)-MATCH($B$1,[2]quests!$1:$1,0)+1,FALSE)</f>
        <v>おとぎ話シリーズ3</v>
      </c>
      <c r="E24" s="87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おとぎ話シリーズ3</v>
      </c>
      <c r="H24" s="85">
        <v>0</v>
      </c>
      <c r="I24">
        <v>24</v>
      </c>
      <c r="J24" s="84" t="s">
        <v>198</v>
      </c>
      <c r="K24" s="93" t="str">
        <f>VLOOKUP(I24,[7]stage_hints!$A:$C,3,FALSE)</f>
        <v>果実を使って限界突破</v>
      </c>
      <c r="L24" s="94" t="str">
        <f>VLOOKUP(I24,[7]stage_hints!$A:$D,4,FALSE)</f>
        <v>攻めの果実 癒しの果実_x000D_生命の果実をユニット強化に使うと_x000D_ステータスが限界突破します（計99個迄）</v>
      </c>
      <c r="M24" s="57" t="s">
        <v>211</v>
      </c>
    </row>
    <row r="25" spans="1:13" x14ac:dyDescent="0.15">
      <c r="A25" s="81" t="s">
        <v>201</v>
      </c>
      <c r="B25" s="82">
        <f>floors!$C$2</f>
        <v>20015</v>
      </c>
      <c r="C25" s="83" t="str">
        <f ca="1">VLOOKUP($B25,OFFSET([2]quests!$A$1,0,0,COUNTA([2]quests!$A:$A),MATCH(C$1,[2]quests!$1:$1,0)-MATCH($B$1,[2]quests!$1:$1,0)+1),MATCH(C$1,[2]quests!$1:$1,0)-MATCH($B$1,[2]quests!$1:$1,0)+1,FALSE)</f>
        <v>妄執とり憑く美貌の妃</v>
      </c>
      <c r="D25" s="83" t="str">
        <f ca="1">VLOOKUP($B25,OFFSET([2]quests!$A$1,0,0,COUNTA([2]quests!$A:$A),MATCH(D$1,[2]quests!$1:$1,0)-MATCH($B$1,[2]quests!$1:$1,0)+1),MATCH(D$1,[2]quests!$1:$1,0)-MATCH($B$1,[2]quests!$1:$1,0)+1,FALSE)</f>
        <v>おとぎ話シリーズ3</v>
      </c>
      <c r="E25" s="87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おとぎ話シリーズ3</v>
      </c>
      <c r="H25" s="85">
        <v>0</v>
      </c>
      <c r="I25">
        <v>25</v>
      </c>
      <c r="J25" s="84" t="s">
        <v>198</v>
      </c>
      <c r="K25" s="93" t="str">
        <f>VLOOKUP(I25,[7]stage_hints!$A:$C,3,FALSE)</f>
        <v>スキルレベルアップ</v>
      </c>
      <c r="L25" s="94" t="str">
        <f>VLOOKUP(I25,[7]stage_hints!$A:$D,4,FALSE)</f>
        <v>「秘術の果実」を強化に使うと_x000D_スキルレベルを上げることができます</v>
      </c>
      <c r="M25" s="57" t="s">
        <v>211</v>
      </c>
    </row>
    <row r="26" spans="1:13" x14ac:dyDescent="0.15">
      <c r="A26" s="81" t="s">
        <v>201</v>
      </c>
      <c r="B26" s="82">
        <f>floors!$C$2</f>
        <v>20015</v>
      </c>
      <c r="C26" s="83" t="str">
        <f ca="1">VLOOKUP($B26,OFFSET([2]quests!$A$1,0,0,COUNTA([2]quests!$A:$A),MATCH(C$1,[2]quests!$1:$1,0)-MATCH($B$1,[2]quests!$1:$1,0)+1),MATCH(C$1,[2]quests!$1:$1,0)-MATCH($B$1,[2]quests!$1:$1,0)+1,FALSE)</f>
        <v>妄執とり憑く美貌の妃</v>
      </c>
      <c r="D26" s="83" t="str">
        <f ca="1">VLOOKUP($B26,OFFSET([2]quests!$A$1,0,0,COUNTA([2]quests!$A:$A),MATCH(D$1,[2]quests!$1:$1,0)-MATCH($B$1,[2]quests!$1:$1,0)+1),MATCH(D$1,[2]quests!$1:$1,0)-MATCH($B$1,[2]quests!$1:$1,0)+1,FALSE)</f>
        <v>おとぎ話シリーズ3</v>
      </c>
      <c r="E26" s="87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おとぎ話シリーズ3</v>
      </c>
      <c r="H26" s="85">
        <v>0</v>
      </c>
      <c r="I26">
        <v>26</v>
      </c>
      <c r="J26" s="84" t="s">
        <v>198</v>
      </c>
      <c r="K26" s="93" t="str">
        <f>VLOOKUP(I26,[7]stage_hints!$A:$C,3,FALSE)</f>
        <v>スキルレベルの効果</v>
      </c>
      <c r="L26" s="94" t="str">
        <f>VLOOKUP(I26,[7]stage_hints!$A:$D,4,FALSE)</f>
        <v>スキルレベルが上がると_x000D_短いターンでスキルを使うことができます</v>
      </c>
      <c r="M26" s="57" t="s">
        <v>211</v>
      </c>
    </row>
    <row r="27" spans="1:13" x14ac:dyDescent="0.15">
      <c r="A27" s="81" t="s">
        <v>201</v>
      </c>
      <c r="B27" s="82">
        <f>floors!$C$2</f>
        <v>20015</v>
      </c>
      <c r="C27" s="83" t="str">
        <f ca="1">VLOOKUP($B27,OFFSET([2]quests!$A$1,0,0,COUNTA([2]quests!$A:$A),MATCH(C$1,[2]quests!$1:$1,0)-MATCH($B$1,[2]quests!$1:$1,0)+1),MATCH(C$1,[2]quests!$1:$1,0)-MATCH($B$1,[2]quests!$1:$1,0)+1,FALSE)</f>
        <v>妄執とり憑く美貌の妃</v>
      </c>
      <c r="D27" s="83" t="str">
        <f ca="1">VLOOKUP($B27,OFFSET([2]quests!$A$1,0,0,COUNTA([2]quests!$A:$A),MATCH(D$1,[2]quests!$1:$1,0)-MATCH($B$1,[2]quests!$1:$1,0)+1),MATCH(D$1,[2]quests!$1:$1,0)-MATCH($B$1,[2]quests!$1:$1,0)+1,FALSE)</f>
        <v>おとぎ話シリーズ3</v>
      </c>
      <c r="E27" s="87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おとぎ話シリーズ3</v>
      </c>
      <c r="H27" s="85">
        <v>0</v>
      </c>
      <c r="I27">
        <v>39</v>
      </c>
      <c r="J27" s="84" t="s">
        <v>198</v>
      </c>
      <c r="K27" s="93" t="str">
        <f>VLOOKUP(I27,[7]stage_hints!$A:$C,3,FALSE)</f>
        <v>システム適合者を確認</v>
      </c>
      <c r="L27" s="94" t="str">
        <f>VLOOKUP(I27,[7]stage_hints!$A:$D,4,FALSE)</f>
        <v>ALICEが 「アナタ」を呼んでいます</v>
      </c>
      <c r="M27" s="57" t="s">
        <v>211</v>
      </c>
    </row>
    <row r="28" spans="1:13" x14ac:dyDescent="0.15">
      <c r="A28" s="81" t="s">
        <v>201</v>
      </c>
      <c r="B28" s="82">
        <f>floors!$C$2</f>
        <v>20015</v>
      </c>
      <c r="C28" s="83" t="str">
        <f ca="1">VLOOKUP($B28,OFFSET([2]quests!$A$1,0,0,COUNTA([2]quests!$A:$A),MATCH(C$1,[2]quests!$1:$1,0)-MATCH($B$1,[2]quests!$1:$1,0)+1),MATCH(C$1,[2]quests!$1:$1,0)-MATCH($B$1,[2]quests!$1:$1,0)+1,FALSE)</f>
        <v>妄執とり憑く美貌の妃</v>
      </c>
      <c r="D28" s="83" t="str">
        <f ca="1">VLOOKUP($B28,OFFSET([2]quests!$A$1,0,0,COUNTA([2]quests!$A:$A),MATCH(D$1,[2]quests!$1:$1,0)-MATCH($B$1,[2]quests!$1:$1,0)+1),MATCH(D$1,[2]quests!$1:$1,0)-MATCH($B$1,[2]quests!$1:$1,0)+1,FALSE)</f>
        <v>おとぎ話シリーズ3</v>
      </c>
      <c r="E28" s="87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おとぎ話シリーズ3</v>
      </c>
      <c r="H28" s="85">
        <v>0</v>
      </c>
      <c r="I28">
        <v>3</v>
      </c>
      <c r="J28" s="84" t="s">
        <v>198</v>
      </c>
      <c r="K28" s="93" t="str">
        <f>VLOOKUP(I28,[7]stage_hints!$A:$C,3,FALSE)</f>
        <v>ターゲット</v>
      </c>
      <c r="L28" s="94" t="str">
        <f>VLOOKUP(I28,[7]stage_hints!$A:$D,4,FALSE)</f>
        <v>敵ユニットをタップすると_x000D_その敵を狙い撃ちできます</v>
      </c>
      <c r="M28" s="57" t="s">
        <v>211</v>
      </c>
    </row>
    <row r="29" spans="1:13" x14ac:dyDescent="0.15">
      <c r="A29" s="81" t="s">
        <v>201</v>
      </c>
      <c r="B29" s="82">
        <f>floors!$C$2</f>
        <v>20015</v>
      </c>
      <c r="C29" s="83" t="str">
        <f ca="1">VLOOKUP($B29,OFFSET([2]quests!$A$1,0,0,COUNTA([2]quests!$A:$A),MATCH(C$1,[2]quests!$1:$1,0)-MATCH($B$1,[2]quests!$1:$1,0)+1),MATCH(C$1,[2]quests!$1:$1,0)-MATCH($B$1,[2]quests!$1:$1,0)+1,FALSE)</f>
        <v>妄執とり憑く美貌の妃</v>
      </c>
      <c r="D29" s="83" t="str">
        <f ca="1">VLOOKUP($B29,OFFSET([2]quests!$A$1,0,0,COUNTA([2]quests!$A:$A),MATCH(D$1,[2]quests!$1:$1,0)-MATCH($B$1,[2]quests!$1:$1,0)+1),MATCH(D$1,[2]quests!$1:$1,0)-MATCH($B$1,[2]quests!$1:$1,0)+1,FALSE)</f>
        <v>おとぎ話シリーズ3</v>
      </c>
      <c r="E29" s="87">
        <v>2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おとぎ話シリーズ3</v>
      </c>
      <c r="H29" s="85">
        <v>0</v>
      </c>
      <c r="I29">
        <v>6</v>
      </c>
      <c r="J29" s="84" t="s">
        <v>198</v>
      </c>
      <c r="K29" s="93" t="str">
        <f>VLOOKUP(I29,[7]stage_hints!$A:$C,3,FALSE)</f>
        <v>ユニット強化の属性ボーナス</v>
      </c>
      <c r="L29" s="94" t="str">
        <f>VLOOKUP(I29,[7]stage_hints!$A:$D,4,FALSE)</f>
        <v>同属性ユニットを強化素材にすると_x000D_経験値が多くもらえます</v>
      </c>
      <c r="M29" s="57" t="s">
        <v>211</v>
      </c>
    </row>
    <row r="30" spans="1:13" x14ac:dyDescent="0.15">
      <c r="A30" s="81" t="s">
        <v>201</v>
      </c>
      <c r="B30" s="82">
        <f>floors!$C$2</f>
        <v>20015</v>
      </c>
      <c r="C30" s="83" t="str">
        <f ca="1">VLOOKUP($B30,OFFSET([2]quests!$A$1,0,0,COUNTA([2]quests!$A:$A),MATCH(C$1,[2]quests!$1:$1,0)-MATCH($B$1,[2]quests!$1:$1,0)+1),MATCH(C$1,[2]quests!$1:$1,0)-MATCH($B$1,[2]quests!$1:$1,0)+1,FALSE)</f>
        <v>妄執とり憑く美貌の妃</v>
      </c>
      <c r="D30" s="83" t="str">
        <f ca="1">VLOOKUP($B30,OFFSET([2]quests!$A$1,0,0,COUNTA([2]quests!$A:$A),MATCH(D$1,[2]quests!$1:$1,0)-MATCH($B$1,[2]quests!$1:$1,0)+1),MATCH(D$1,[2]quests!$1:$1,0)-MATCH($B$1,[2]quests!$1:$1,0)+1,FALSE)</f>
        <v>おとぎ話シリーズ3</v>
      </c>
      <c r="E30" s="87">
        <v>2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おとぎ話シリーズ3</v>
      </c>
      <c r="H30" s="85">
        <v>0</v>
      </c>
      <c r="I30">
        <v>7</v>
      </c>
      <c r="J30" s="84" t="s">
        <v>198</v>
      </c>
      <c r="K30" s="93" t="str">
        <f>VLOOKUP(I30,[7]stage_hints!$A:$C,3,FALSE)</f>
        <v>メタルダックで経験値を獲得</v>
      </c>
      <c r="L30" s="94" t="str">
        <f>VLOOKUP(I30,[7]stage_hints!$A:$D,4,FALSE)</f>
        <v>「メタルなアヒル」を強化素材にすると_x000D_大量の経験値がもらえます</v>
      </c>
      <c r="M30" s="57" t="s">
        <v>211</v>
      </c>
    </row>
    <row r="31" spans="1:13" x14ac:dyDescent="0.15">
      <c r="A31" s="81" t="s">
        <v>201</v>
      </c>
      <c r="B31" s="82">
        <f>floors!$C$2</f>
        <v>20015</v>
      </c>
      <c r="C31" s="83" t="str">
        <f ca="1">VLOOKUP($B31,OFFSET([2]quests!$A$1,0,0,COUNTA([2]quests!$A:$A),MATCH(C$1,[2]quests!$1:$1,0)-MATCH($B$1,[2]quests!$1:$1,0)+1),MATCH(C$1,[2]quests!$1:$1,0)-MATCH($B$1,[2]quests!$1:$1,0)+1,FALSE)</f>
        <v>妄執とり憑く美貌の妃</v>
      </c>
      <c r="D31" s="83" t="str">
        <f ca="1">VLOOKUP($B31,OFFSET([2]quests!$A$1,0,0,COUNTA([2]quests!$A:$A),MATCH(D$1,[2]quests!$1:$1,0)-MATCH($B$1,[2]quests!$1:$1,0)+1),MATCH(D$1,[2]quests!$1:$1,0)-MATCH($B$1,[2]quests!$1:$1,0)+1,FALSE)</f>
        <v>おとぎ話シリーズ3</v>
      </c>
      <c r="E31" s="87">
        <v>2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おとぎ話シリーズ3</v>
      </c>
      <c r="H31" s="85">
        <v>0</v>
      </c>
      <c r="I31">
        <v>8</v>
      </c>
      <c r="J31" s="84" t="s">
        <v>198</v>
      </c>
      <c r="K31" s="93" t="str">
        <f>VLOOKUP(I31,[7]stage_hints!$A:$C,3,FALSE)</f>
        <v>ゲリラクエストは要チェック</v>
      </c>
      <c r="L31" s="94" t="str">
        <f>VLOOKUP(I31,[7]stage_hints!$A:$D,4,FALSE)</f>
        <v>時間限定の「アヒル捕獲作戦」では_x000D_経験値素材ユニットが多く手に入ります</v>
      </c>
      <c r="M31" s="57" t="s">
        <v>211</v>
      </c>
    </row>
    <row r="32" spans="1:13" x14ac:dyDescent="0.15">
      <c r="A32" s="81" t="s">
        <v>201</v>
      </c>
      <c r="B32" s="82">
        <f>floors!$C$2</f>
        <v>20015</v>
      </c>
      <c r="C32" s="83" t="str">
        <f ca="1">VLOOKUP($B32,OFFSET([2]quests!$A$1,0,0,COUNTA([2]quests!$A:$A),MATCH(C$1,[2]quests!$1:$1,0)-MATCH($B$1,[2]quests!$1:$1,0)+1),MATCH(C$1,[2]quests!$1:$1,0)-MATCH($B$1,[2]quests!$1:$1,0)+1,FALSE)</f>
        <v>妄執とり憑く美貌の妃</v>
      </c>
      <c r="D32" s="83" t="str">
        <f ca="1">VLOOKUP($B32,OFFSET([2]quests!$A$1,0,0,COUNTA([2]quests!$A:$A),MATCH(D$1,[2]quests!$1:$1,0)-MATCH($B$1,[2]quests!$1:$1,0)+1),MATCH(D$1,[2]quests!$1:$1,0)-MATCH($B$1,[2]quests!$1:$1,0)+1,FALSE)</f>
        <v>おとぎ話シリーズ3</v>
      </c>
      <c r="E32" s="87">
        <v>2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おとぎ話シリーズ3</v>
      </c>
      <c r="H32" s="85">
        <v>0</v>
      </c>
      <c r="I32">
        <v>9</v>
      </c>
      <c r="J32" s="84" t="s">
        <v>198</v>
      </c>
      <c r="K32" s="93" t="str">
        <f>VLOOKUP(I32,[7]stage_hints!$A:$C,3,FALSE)</f>
        <v>ゴールドダックでビットを獲得</v>
      </c>
      <c r="L32" s="94" t="str">
        <f>VLOOKUP(I32,[7]stage_hints!$A:$D,4,FALSE)</f>
        <v>「ゴールドなアヒル」を売却すると_x000D_大量のビットがもらえます</v>
      </c>
      <c r="M32" s="57" t="s">
        <v>211</v>
      </c>
    </row>
    <row r="33" spans="1:13" x14ac:dyDescent="0.15">
      <c r="A33" s="81" t="s">
        <v>201</v>
      </c>
      <c r="B33" s="82">
        <f>floors!$C$2</f>
        <v>20015</v>
      </c>
      <c r="C33" s="83" t="str">
        <f ca="1">VLOOKUP($B33,OFFSET([2]quests!$A$1,0,0,COUNTA([2]quests!$A:$A),MATCH(C$1,[2]quests!$1:$1,0)-MATCH($B$1,[2]quests!$1:$1,0)+1),MATCH(C$1,[2]quests!$1:$1,0)-MATCH($B$1,[2]quests!$1:$1,0)+1,FALSE)</f>
        <v>妄執とり憑く美貌の妃</v>
      </c>
      <c r="D33" s="83" t="str">
        <f ca="1">VLOOKUP($B33,OFFSET([2]quests!$A$1,0,0,COUNTA([2]quests!$A:$A),MATCH(D$1,[2]quests!$1:$1,0)-MATCH($B$1,[2]quests!$1:$1,0)+1),MATCH(D$1,[2]quests!$1:$1,0)-MATCH($B$1,[2]quests!$1:$1,0)+1,FALSE)</f>
        <v>おとぎ話シリーズ3</v>
      </c>
      <c r="E33" s="87">
        <v>2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おとぎ話シリーズ3</v>
      </c>
      <c r="H33" s="85">
        <v>0</v>
      </c>
      <c r="I33">
        <v>10</v>
      </c>
      <c r="J33" s="84" t="s">
        <v>198</v>
      </c>
      <c r="K33" s="93" t="str">
        <f>VLOOKUP(I33,[7]stage_hints!$A:$C,3,FALSE)</f>
        <v>土日に大量のビットを獲得</v>
      </c>
      <c r="L33" s="94" t="str">
        <f>VLOOKUP(I33,[7]stage_hints!$A:$D,4,FALSE)</f>
        <v>土日限定の「ゴールドカジノ」では_x000D_売却素材ユニットが多く手に入ります</v>
      </c>
      <c r="M33" s="57" t="s">
        <v>211</v>
      </c>
    </row>
    <row r="34" spans="1:13" x14ac:dyDescent="0.15">
      <c r="A34" s="81" t="s">
        <v>201</v>
      </c>
      <c r="B34" s="82">
        <f>floors!$C$2</f>
        <v>20015</v>
      </c>
      <c r="C34" s="83" t="str">
        <f ca="1">VLOOKUP($B34,OFFSET([2]quests!$A$1,0,0,COUNTA([2]quests!$A:$A),MATCH(C$1,[2]quests!$1:$1,0)-MATCH($B$1,[2]quests!$1:$1,0)+1),MATCH(C$1,[2]quests!$1:$1,0)-MATCH($B$1,[2]quests!$1:$1,0)+1,FALSE)</f>
        <v>妄執とり憑く美貌の妃</v>
      </c>
      <c r="D34" s="83" t="str">
        <f ca="1">VLOOKUP($B34,OFFSET([2]quests!$A$1,0,0,COUNTA([2]quests!$A:$A),MATCH(D$1,[2]quests!$1:$1,0)-MATCH($B$1,[2]quests!$1:$1,0)+1),MATCH(D$1,[2]quests!$1:$1,0)-MATCH($B$1,[2]quests!$1:$1,0)+1,FALSE)</f>
        <v>おとぎ話シリーズ3</v>
      </c>
      <c r="E34" s="87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おとぎ話シリーズ3</v>
      </c>
      <c r="H34" s="85">
        <v>0</v>
      </c>
      <c r="I34">
        <v>11</v>
      </c>
      <c r="J34" s="84" t="s">
        <v>198</v>
      </c>
      <c r="K34" s="93" t="str">
        <f>VLOOKUP(I34,[7]stage_hints!$A:$C,3,FALSE)</f>
        <v>ランク解放クエスト</v>
      </c>
      <c r="L34" s="94" t="str">
        <f>VLOOKUP(I34,[7]stage_hints!$A:$D,4,FALSE)</f>
        <v>一定ランクに到達すると_x000D_報酬付きのランク開放クエストが現れます</v>
      </c>
      <c r="M34" s="57" t="s">
        <v>211</v>
      </c>
    </row>
    <row r="35" spans="1:13" x14ac:dyDescent="0.15">
      <c r="A35" s="81" t="s">
        <v>201</v>
      </c>
      <c r="B35" s="82">
        <f>floors!$C$2</f>
        <v>20015</v>
      </c>
      <c r="C35" s="83" t="str">
        <f ca="1">VLOOKUP($B35,OFFSET([2]quests!$A$1,0,0,COUNTA([2]quests!$A:$A),MATCH(C$1,[2]quests!$1:$1,0)-MATCH($B$1,[2]quests!$1:$1,0)+1),MATCH(C$1,[2]quests!$1:$1,0)-MATCH($B$1,[2]quests!$1:$1,0)+1,FALSE)</f>
        <v>妄執とり憑く美貌の妃</v>
      </c>
      <c r="D35" s="83" t="str">
        <f ca="1">VLOOKUP($B35,OFFSET([2]quests!$A$1,0,0,COUNTA([2]quests!$A:$A),MATCH(D$1,[2]quests!$1:$1,0)-MATCH($B$1,[2]quests!$1:$1,0)+1),MATCH(D$1,[2]quests!$1:$1,0)-MATCH($B$1,[2]quests!$1:$1,0)+1,FALSE)</f>
        <v>おとぎ話シリーズ3</v>
      </c>
      <c r="E35" s="87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おとぎ話シリーズ3</v>
      </c>
      <c r="H35" s="85">
        <v>0</v>
      </c>
      <c r="I35">
        <v>12</v>
      </c>
      <c r="J35" s="84" t="s">
        <v>198</v>
      </c>
      <c r="K35" s="93" t="str">
        <f>VLOOKUP(I35,[7]stage_hints!$A:$C,3,FALSE)</f>
        <v>ユニットのお気に入り登録</v>
      </c>
      <c r="L35" s="94" t="str">
        <f>VLOOKUP(I35,[7]stage_hints!$A:$D,4,FALSE)</f>
        <v>大事なユニットを誤って消さないように_x000D_フォルダから「お気に入り登録」しましょう</v>
      </c>
      <c r="M35" s="57" t="s">
        <v>211</v>
      </c>
    </row>
    <row r="36" spans="1:13" x14ac:dyDescent="0.15">
      <c r="A36" s="81" t="s">
        <v>201</v>
      </c>
      <c r="B36" s="82">
        <f>floors!$C$2</f>
        <v>20015</v>
      </c>
      <c r="C36" s="83" t="str">
        <f ca="1">VLOOKUP($B36,OFFSET([2]quests!$A$1,0,0,COUNTA([2]quests!$A:$A),MATCH(C$1,[2]quests!$1:$1,0)-MATCH($B$1,[2]quests!$1:$1,0)+1),MATCH(C$1,[2]quests!$1:$1,0)-MATCH($B$1,[2]quests!$1:$1,0)+1,FALSE)</f>
        <v>妄執とり憑く美貌の妃</v>
      </c>
      <c r="D36" s="83" t="str">
        <f ca="1">VLOOKUP($B36,OFFSET([2]quests!$A$1,0,0,COUNTA([2]quests!$A:$A),MATCH(D$1,[2]quests!$1:$1,0)-MATCH($B$1,[2]quests!$1:$1,0)+1),MATCH(D$1,[2]quests!$1:$1,0)-MATCH($B$1,[2]quests!$1:$1,0)+1,FALSE)</f>
        <v>おとぎ話シリーズ3</v>
      </c>
      <c r="E36" s="87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おとぎ話シリーズ3</v>
      </c>
      <c r="H36" s="85">
        <v>0</v>
      </c>
      <c r="I36">
        <v>13</v>
      </c>
      <c r="J36" s="84" t="s">
        <v>198</v>
      </c>
      <c r="K36" s="93" t="str">
        <f>VLOOKUP(I36,[7]stage_hints!$A:$C,3,FALSE)</f>
        <v>ユニットの覚醒</v>
      </c>
      <c r="L36" s="94" t="str">
        <f>VLOOKUP(I36,[7]stage_hints!$A:$D,4,FALSE)</f>
        <v>ユニットを覚醒させると_x000D_比べものにならない強さが手に入ります</v>
      </c>
      <c r="M36" s="57" t="s">
        <v>211</v>
      </c>
    </row>
    <row r="37" spans="1:13" x14ac:dyDescent="0.15">
      <c r="A37" s="81" t="s">
        <v>201</v>
      </c>
      <c r="B37" s="82">
        <f>floors!$C$2</f>
        <v>20015</v>
      </c>
      <c r="C37" s="83" t="str">
        <f ca="1">VLOOKUP($B37,OFFSET([2]quests!$A$1,0,0,COUNTA([2]quests!$A:$A),MATCH(C$1,[2]quests!$1:$1,0)-MATCH($B$1,[2]quests!$1:$1,0)+1),MATCH(C$1,[2]quests!$1:$1,0)-MATCH($B$1,[2]quests!$1:$1,0)+1,FALSE)</f>
        <v>妄執とり憑く美貌の妃</v>
      </c>
      <c r="D37" s="83" t="str">
        <f ca="1">VLOOKUP($B37,OFFSET([2]quests!$A$1,0,0,COUNTA([2]quests!$A:$A),MATCH(D$1,[2]quests!$1:$1,0)-MATCH($B$1,[2]quests!$1:$1,0)+1),MATCH(D$1,[2]quests!$1:$1,0)-MATCH($B$1,[2]quests!$1:$1,0)+1,FALSE)</f>
        <v>おとぎ話シリーズ3</v>
      </c>
      <c r="E37" s="87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おとぎ話シリーズ3</v>
      </c>
      <c r="H37" s="85">
        <v>0</v>
      </c>
      <c r="I37">
        <v>14</v>
      </c>
      <c r="J37" s="84" t="s">
        <v>198</v>
      </c>
      <c r="K37" s="93" t="str">
        <f>VLOOKUP(I37,[7]stage_hints!$A:$C,3,FALSE)</f>
        <v>覚醒するにはレベルを最大に</v>
      </c>
      <c r="L37" s="94" t="str">
        <f>VLOOKUP(I37,[7]stage_hints!$A:$D,4,FALSE)</f>
        <v>覚醒するにはユニットのレベルを_x000D_最大まで上げる必要があります</v>
      </c>
      <c r="M37" s="57" t="s">
        <v>211</v>
      </c>
    </row>
    <row r="38" spans="1:13" x14ac:dyDescent="0.15">
      <c r="A38" s="81" t="s">
        <v>201</v>
      </c>
      <c r="B38" s="82">
        <f>floors!$C$2</f>
        <v>20015</v>
      </c>
      <c r="C38" s="83" t="str">
        <f ca="1">VLOOKUP($B38,OFFSET([2]quests!$A$1,0,0,COUNTA([2]quests!$A:$A),MATCH(C$1,[2]quests!$1:$1,0)-MATCH($B$1,[2]quests!$1:$1,0)+1),MATCH(C$1,[2]quests!$1:$1,0)-MATCH($B$1,[2]quests!$1:$1,0)+1,FALSE)</f>
        <v>妄執とり憑く美貌の妃</v>
      </c>
      <c r="D38" s="83" t="str">
        <f ca="1">VLOOKUP($B38,OFFSET([2]quests!$A$1,0,0,COUNTA([2]quests!$A:$A),MATCH(D$1,[2]quests!$1:$1,0)-MATCH($B$1,[2]quests!$1:$1,0)+1),MATCH(D$1,[2]quests!$1:$1,0)-MATCH($B$1,[2]quests!$1:$1,0)+1,FALSE)</f>
        <v>おとぎ話シリーズ3</v>
      </c>
      <c r="E38" s="87">
        <v>2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おとぎ話シリーズ3</v>
      </c>
      <c r="H38" s="85">
        <v>0</v>
      </c>
      <c r="I38">
        <v>15</v>
      </c>
      <c r="J38" s="84" t="s">
        <v>198</v>
      </c>
      <c r="K38" s="93" t="str">
        <f>VLOOKUP(I38,[7]stage_hints!$A:$C,3,FALSE)</f>
        <v>覚醒素材を獲得</v>
      </c>
      <c r="L38" s="94" t="str">
        <f>VLOOKUP(I38,[7]stage_hints!$A:$D,4,FALSE)</f>
        <v>「曜日クエスト」では_x000D_ユニットの覚醒に必要な素材が手に入ります</v>
      </c>
      <c r="M38" s="57" t="s">
        <v>211</v>
      </c>
    </row>
    <row r="39" spans="1:13" x14ac:dyDescent="0.15">
      <c r="A39" s="81" t="s">
        <v>201</v>
      </c>
      <c r="B39" s="82">
        <f>floors!$C$2</f>
        <v>20015</v>
      </c>
      <c r="C39" s="83" t="str">
        <f ca="1">VLOOKUP($B39,OFFSET([2]quests!$A$1,0,0,COUNTA([2]quests!$A:$A),MATCH(C$1,[2]quests!$1:$1,0)-MATCH($B$1,[2]quests!$1:$1,0)+1),MATCH(C$1,[2]quests!$1:$1,0)-MATCH($B$1,[2]quests!$1:$1,0)+1,FALSE)</f>
        <v>妄執とり憑く美貌の妃</v>
      </c>
      <c r="D39" s="83" t="str">
        <f ca="1">VLOOKUP($B39,OFFSET([2]quests!$A$1,0,0,COUNTA([2]quests!$A:$A),MATCH(D$1,[2]quests!$1:$1,0)-MATCH($B$1,[2]quests!$1:$1,0)+1),MATCH(D$1,[2]quests!$1:$1,0)-MATCH($B$1,[2]quests!$1:$1,0)+1,FALSE)</f>
        <v>おとぎ話シリーズ3</v>
      </c>
      <c r="E39" s="87">
        <v>2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おとぎ話シリーズ3</v>
      </c>
      <c r="H39" s="85">
        <v>0</v>
      </c>
      <c r="I39">
        <v>16</v>
      </c>
      <c r="J39" s="84" t="s">
        <v>198</v>
      </c>
      <c r="K39" s="93" t="str">
        <f>VLOOKUP(I39,[7]stage_hints!$A:$C,3,FALSE)</f>
        <v>マルチプレイのメリット（その1）</v>
      </c>
      <c r="L39" s="94" t="str">
        <f>VLOOKUP(I39,[7]stage_hints!$A:$D,4,FALSE)</f>
        <v>他のプレイヤーとマルチプレイで遊ぶと_x000D_ポリゴンがもらえます（100人まで）</v>
      </c>
      <c r="M39" s="57" t="s">
        <v>211</v>
      </c>
    </row>
    <row r="40" spans="1:13" x14ac:dyDescent="0.15">
      <c r="A40" s="81" t="s">
        <v>201</v>
      </c>
      <c r="B40" s="82">
        <f>floors!$C$2</f>
        <v>20015</v>
      </c>
      <c r="C40" s="83" t="str">
        <f ca="1">VLOOKUP($B40,OFFSET([2]quests!$A$1,0,0,COUNTA([2]quests!$A:$A),MATCH(C$1,[2]quests!$1:$1,0)-MATCH($B$1,[2]quests!$1:$1,0)+1),MATCH(C$1,[2]quests!$1:$1,0)-MATCH($B$1,[2]quests!$1:$1,0)+1,FALSE)</f>
        <v>妄執とり憑く美貌の妃</v>
      </c>
      <c r="D40" s="83" t="str">
        <f ca="1">VLOOKUP($B40,OFFSET([2]quests!$A$1,0,0,COUNTA([2]quests!$A:$A),MATCH(D$1,[2]quests!$1:$1,0)-MATCH($B$1,[2]quests!$1:$1,0)+1),MATCH(D$1,[2]quests!$1:$1,0)-MATCH($B$1,[2]quests!$1:$1,0)+1,FALSE)</f>
        <v>おとぎ話シリーズ3</v>
      </c>
      <c r="E40" s="87">
        <v>2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おとぎ話シリーズ3</v>
      </c>
      <c r="H40" s="85">
        <v>0</v>
      </c>
      <c r="I40">
        <v>17</v>
      </c>
      <c r="J40" s="84" t="s">
        <v>198</v>
      </c>
      <c r="K40" s="93" t="str">
        <f>VLOOKUP(I40,[7]stage_hints!$A:$C,3,FALSE)</f>
        <v>リンクガチャ</v>
      </c>
      <c r="L40" s="94" t="str">
        <f>VLOOKUP(I40,[7]stage_hints!$A:$D,4,FALSE)</f>
        <v>無料のリンクガチャを回して_x000D_経験値素材や売却素材を獲得しましょう</v>
      </c>
      <c r="M40" s="57" t="s">
        <v>211</v>
      </c>
    </row>
    <row r="41" spans="1:13" x14ac:dyDescent="0.15">
      <c r="A41" s="81" t="s">
        <v>201</v>
      </c>
      <c r="B41" s="82">
        <f>floors!$C$2</f>
        <v>20015</v>
      </c>
      <c r="C41" s="83" t="str">
        <f ca="1">VLOOKUP($B41,OFFSET([2]quests!$A$1,0,0,COUNTA([2]quests!$A:$A),MATCH(C$1,[2]quests!$1:$1,0)-MATCH($B$1,[2]quests!$1:$1,0)+1),MATCH(C$1,[2]quests!$1:$1,0)-MATCH($B$1,[2]quests!$1:$1,0)+1,FALSE)</f>
        <v>妄執とり憑く美貌の妃</v>
      </c>
      <c r="D41" s="83" t="str">
        <f ca="1">VLOOKUP($B41,OFFSET([2]quests!$A$1,0,0,COUNTA([2]quests!$A:$A),MATCH(D$1,[2]quests!$1:$1,0)-MATCH($B$1,[2]quests!$1:$1,0)+1),MATCH(D$1,[2]quests!$1:$1,0)-MATCH($B$1,[2]quests!$1:$1,0)+1,FALSE)</f>
        <v>おとぎ話シリーズ3</v>
      </c>
      <c r="E41" s="87">
        <v>2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おとぎ話シリーズ3</v>
      </c>
      <c r="H41" s="85">
        <v>0</v>
      </c>
      <c r="I41">
        <v>18</v>
      </c>
      <c r="J41" s="84" t="s">
        <v>198</v>
      </c>
      <c r="K41" s="93" t="str">
        <f>VLOOKUP(I41,[7]stage_hints!$A:$C,3,FALSE)</f>
        <v>マルチプレイのメリット（その2）</v>
      </c>
      <c r="L41" s="94" t="str">
        <f>VLOOKUP(I41,[7]stage_hints!$A:$D,4,FALSE)</f>
        <v>マルチプレイならリンクが2倍もらえます_x000D_リンクガチャをたくさん回しましょう</v>
      </c>
      <c r="M41" s="57" t="s">
        <v>211</v>
      </c>
    </row>
    <row r="42" spans="1:13" x14ac:dyDescent="0.15">
      <c r="A42" s="81" t="s">
        <v>201</v>
      </c>
      <c r="B42" s="82">
        <f>floors!$C$2</f>
        <v>20015</v>
      </c>
      <c r="C42" s="83" t="str">
        <f ca="1">VLOOKUP($B42,OFFSET([2]quests!$A$1,0,0,COUNTA([2]quests!$A:$A),MATCH(C$1,[2]quests!$1:$1,0)-MATCH($B$1,[2]quests!$1:$1,0)+1),MATCH(C$1,[2]quests!$1:$1,0)-MATCH($B$1,[2]quests!$1:$1,0)+1,FALSE)</f>
        <v>妄執とり憑く美貌の妃</v>
      </c>
      <c r="D42" s="83" t="str">
        <f ca="1">VLOOKUP($B42,OFFSET([2]quests!$A$1,0,0,COUNTA([2]quests!$A:$A),MATCH(D$1,[2]quests!$1:$1,0)-MATCH($B$1,[2]quests!$1:$1,0)+1),MATCH(D$1,[2]quests!$1:$1,0)-MATCH($B$1,[2]quests!$1:$1,0)+1,FALSE)</f>
        <v>おとぎ話シリーズ3</v>
      </c>
      <c r="E42" s="87">
        <v>2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おとぎ話シリーズ3</v>
      </c>
      <c r="H42" s="85">
        <v>0</v>
      </c>
      <c r="I42">
        <v>19</v>
      </c>
      <c r="J42" s="84" t="s">
        <v>198</v>
      </c>
      <c r="K42" s="93" t="str">
        <f>VLOOKUP(I42,[7]stage_hints!$A:$C,3,FALSE)</f>
        <v>ソロ専用タワーオブザクイーン</v>
      </c>
      <c r="L42" s="94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211</v>
      </c>
    </row>
    <row r="43" spans="1:13" x14ac:dyDescent="0.15">
      <c r="A43" s="81" t="s">
        <v>201</v>
      </c>
      <c r="B43" s="82">
        <f>floors!$C$2</f>
        <v>20015</v>
      </c>
      <c r="C43" s="83" t="str">
        <f ca="1">VLOOKUP($B43,OFFSET([2]quests!$A$1,0,0,COUNTA([2]quests!$A:$A),MATCH(C$1,[2]quests!$1:$1,0)-MATCH($B$1,[2]quests!$1:$1,0)+1),MATCH(C$1,[2]quests!$1:$1,0)-MATCH($B$1,[2]quests!$1:$1,0)+1,FALSE)</f>
        <v>妄執とり憑く美貌の妃</v>
      </c>
      <c r="D43" s="83" t="str">
        <f ca="1">VLOOKUP($B43,OFFSET([2]quests!$A$1,0,0,COUNTA([2]quests!$A:$A),MATCH(D$1,[2]quests!$1:$1,0)-MATCH($B$1,[2]quests!$1:$1,0)+1),MATCH(D$1,[2]quests!$1:$1,0)-MATCH($B$1,[2]quests!$1:$1,0)+1,FALSE)</f>
        <v>おとぎ話シリーズ3</v>
      </c>
      <c r="E43" s="87">
        <v>2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おとぎ話シリーズ3</v>
      </c>
      <c r="H43" s="85">
        <v>0</v>
      </c>
      <c r="I43">
        <v>20</v>
      </c>
      <c r="J43" s="84" t="s">
        <v>198</v>
      </c>
      <c r="K43" s="93" t="str">
        <f>VLOOKUP(I43,[7]stage_hints!$A:$C,3,FALSE)</f>
        <v>マルチプレイのメリット（その3）</v>
      </c>
      <c r="L43" s="94" t="str">
        <f>VLOOKUP(I43,[7]stage_hints!$A:$D,4,FALSE)</f>
        <v>マルチプレイへの参加はエナジー消費ゼロ_x000D_いつでも好きなだけ遊ぶことができます</v>
      </c>
      <c r="M43" s="57" t="s">
        <v>211</v>
      </c>
    </row>
    <row r="44" spans="1:13" x14ac:dyDescent="0.15">
      <c r="A44" s="81" t="s">
        <v>201</v>
      </c>
      <c r="B44" s="82">
        <f>floors!$C$2</f>
        <v>20015</v>
      </c>
      <c r="C44" s="83" t="str">
        <f ca="1">VLOOKUP($B44,OFFSET([2]quests!$A$1,0,0,COUNTA([2]quests!$A:$A),MATCH(C$1,[2]quests!$1:$1,0)-MATCH($B$1,[2]quests!$1:$1,0)+1),MATCH(C$1,[2]quests!$1:$1,0)-MATCH($B$1,[2]quests!$1:$1,0)+1,FALSE)</f>
        <v>妄執とり憑く美貌の妃</v>
      </c>
      <c r="D44" s="83" t="str">
        <f ca="1">VLOOKUP($B44,OFFSET([2]quests!$A$1,0,0,COUNTA([2]quests!$A:$A),MATCH(D$1,[2]quests!$1:$1,0)-MATCH($B$1,[2]quests!$1:$1,0)+1),MATCH(D$1,[2]quests!$1:$1,0)-MATCH($B$1,[2]quests!$1:$1,0)+1,FALSE)</f>
        <v>おとぎ話シリーズ3</v>
      </c>
      <c r="E44" s="87">
        <v>2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おとぎ話シリーズ3</v>
      </c>
      <c r="H44" s="85">
        <v>0</v>
      </c>
      <c r="I44">
        <v>21</v>
      </c>
      <c r="J44" s="84" t="s">
        <v>198</v>
      </c>
      <c r="K44" s="93" t="str">
        <f>VLOOKUP(I44,[7]stage_hints!$A:$C,3,FALSE)</f>
        <v>スキルを有効に</v>
      </c>
      <c r="L44" s="94" t="str">
        <f>VLOOKUP(I44,[7]stage_hints!$A:$D,4,FALSE)</f>
        <v>ターン経過でユニットのスキルが使えます_x000D_強力スキルでバトルを有利に進めましょう</v>
      </c>
      <c r="M44" s="57" t="s">
        <v>211</v>
      </c>
    </row>
    <row r="45" spans="1:13" x14ac:dyDescent="0.15">
      <c r="A45" s="81" t="s">
        <v>201</v>
      </c>
      <c r="B45" s="82">
        <f>floors!$C$2</f>
        <v>20015</v>
      </c>
      <c r="C45" s="83" t="str">
        <f ca="1">VLOOKUP($B45,OFFSET([2]quests!$A$1,0,0,COUNTA([2]quests!$A:$A),MATCH(C$1,[2]quests!$1:$1,0)-MATCH($B$1,[2]quests!$1:$1,0)+1),MATCH(C$1,[2]quests!$1:$1,0)-MATCH($B$1,[2]quests!$1:$1,0)+1,FALSE)</f>
        <v>妄執とり憑く美貌の妃</v>
      </c>
      <c r="D45" s="83" t="str">
        <f ca="1">VLOOKUP($B45,OFFSET([2]quests!$A$1,0,0,COUNTA([2]quests!$A:$A),MATCH(D$1,[2]quests!$1:$1,0)-MATCH($B$1,[2]quests!$1:$1,0)+1),MATCH(D$1,[2]quests!$1:$1,0)-MATCH($B$1,[2]quests!$1:$1,0)+1,FALSE)</f>
        <v>おとぎ話シリーズ3</v>
      </c>
      <c r="E45" s="87">
        <v>2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おとぎ話シリーズ3</v>
      </c>
      <c r="H45" s="85">
        <v>0</v>
      </c>
      <c r="I45">
        <v>22</v>
      </c>
      <c r="J45" s="84" t="s">
        <v>198</v>
      </c>
      <c r="K45" s="93" t="str">
        <f>VLOOKUP(I45,[7]stage_hints!$A:$C,3,FALSE)</f>
        <v>フィーバーで一発逆転（その1）</v>
      </c>
      <c r="L45" s="94" t="str">
        <f>VLOOKUP(I45,[7]stage_hints!$A:$D,4,FALSE)</f>
        <v>フィーバーは攻撃と回復を兼ね備えます_x000D_ピンチからの一発逆転を狙いましょう</v>
      </c>
      <c r="M45" s="57" t="s">
        <v>211</v>
      </c>
    </row>
    <row r="46" spans="1:13" x14ac:dyDescent="0.15">
      <c r="A46" s="81" t="s">
        <v>201</v>
      </c>
      <c r="B46" s="82">
        <f>floors!$C$2</f>
        <v>20015</v>
      </c>
      <c r="C46" s="83" t="str">
        <f ca="1">VLOOKUP($B46,OFFSET([2]quests!$A$1,0,0,COUNTA([2]quests!$A:$A),MATCH(C$1,[2]quests!$1:$1,0)-MATCH($B$1,[2]quests!$1:$1,0)+1),MATCH(C$1,[2]quests!$1:$1,0)-MATCH($B$1,[2]quests!$1:$1,0)+1,FALSE)</f>
        <v>妄執とり憑く美貌の妃</v>
      </c>
      <c r="D46" s="83" t="str">
        <f ca="1">VLOOKUP($B46,OFFSET([2]quests!$A$1,0,0,COUNTA([2]quests!$A:$A),MATCH(D$1,[2]quests!$1:$1,0)-MATCH($B$1,[2]quests!$1:$1,0)+1),MATCH(D$1,[2]quests!$1:$1,0)-MATCH($B$1,[2]quests!$1:$1,0)+1,FALSE)</f>
        <v>おとぎ話シリーズ3</v>
      </c>
      <c r="E46" s="87">
        <v>2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おとぎ話シリーズ3</v>
      </c>
      <c r="H46" s="85">
        <v>0</v>
      </c>
      <c r="I46">
        <v>23</v>
      </c>
      <c r="J46" s="84" t="s">
        <v>198</v>
      </c>
      <c r="K46" s="93" t="str">
        <f>VLOOKUP(I46,[7]stage_hints!$A:$C,3,FALSE)</f>
        <v>フィーバーで一発逆転（その2）</v>
      </c>
      <c r="L46" s="94" t="str">
        <f>VLOOKUP(I46,[7]stage_hints!$A:$D,4,FALSE)</f>
        <v>フィーバー中は虹色のボムパネルを狙って_x000D_画面上のパネルを一気に破壊しましょう</v>
      </c>
      <c r="M46" s="57" t="s">
        <v>211</v>
      </c>
    </row>
    <row r="47" spans="1:13" x14ac:dyDescent="0.15">
      <c r="A47" s="81" t="s">
        <v>201</v>
      </c>
      <c r="B47" s="82">
        <f>floors!$C$2</f>
        <v>20015</v>
      </c>
      <c r="C47" s="83" t="str">
        <f ca="1">VLOOKUP($B47,OFFSET([2]quests!$A$1,0,0,COUNTA([2]quests!$A:$A),MATCH(C$1,[2]quests!$1:$1,0)-MATCH($B$1,[2]quests!$1:$1,0)+1),MATCH(C$1,[2]quests!$1:$1,0)-MATCH($B$1,[2]quests!$1:$1,0)+1,FALSE)</f>
        <v>妄執とり憑く美貌の妃</v>
      </c>
      <c r="D47" s="83" t="str">
        <f ca="1">VLOOKUP($B47,OFFSET([2]quests!$A$1,0,0,COUNTA([2]quests!$A:$A),MATCH(D$1,[2]quests!$1:$1,0)-MATCH($B$1,[2]quests!$1:$1,0)+1),MATCH(D$1,[2]quests!$1:$1,0)-MATCH($B$1,[2]quests!$1:$1,0)+1,FALSE)</f>
        <v>おとぎ話シリーズ3</v>
      </c>
      <c r="E47" s="87">
        <v>2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おとぎ話シリーズ3</v>
      </c>
      <c r="H47" s="85">
        <v>0</v>
      </c>
      <c r="I47">
        <v>24</v>
      </c>
      <c r="J47" s="84" t="s">
        <v>198</v>
      </c>
      <c r="K47" s="93" t="str">
        <f>VLOOKUP(I47,[7]stage_hints!$A:$C,3,FALSE)</f>
        <v>果実を使って限界突破</v>
      </c>
      <c r="L47" s="94" t="str">
        <f>VLOOKUP(I47,[7]stage_hints!$A:$D,4,FALSE)</f>
        <v>攻めの果実 癒しの果実_x000D_生命の果実をユニット強化に使うと_x000D_ステータスが限界突破します（計99個迄）</v>
      </c>
      <c r="M47" s="57" t="s">
        <v>211</v>
      </c>
    </row>
    <row r="48" spans="1:13" x14ac:dyDescent="0.15">
      <c r="A48" s="81" t="s">
        <v>201</v>
      </c>
      <c r="B48" s="82">
        <f>floors!$C$2</f>
        <v>20015</v>
      </c>
      <c r="C48" s="83" t="str">
        <f ca="1">VLOOKUP($B48,OFFSET([2]quests!$A$1,0,0,COUNTA([2]quests!$A:$A),MATCH(C$1,[2]quests!$1:$1,0)-MATCH($B$1,[2]quests!$1:$1,0)+1),MATCH(C$1,[2]quests!$1:$1,0)-MATCH($B$1,[2]quests!$1:$1,0)+1,FALSE)</f>
        <v>妄執とり憑く美貌の妃</v>
      </c>
      <c r="D48" s="83" t="str">
        <f ca="1">VLOOKUP($B48,OFFSET([2]quests!$A$1,0,0,COUNTA([2]quests!$A:$A),MATCH(D$1,[2]quests!$1:$1,0)-MATCH($B$1,[2]quests!$1:$1,0)+1),MATCH(D$1,[2]quests!$1:$1,0)-MATCH($B$1,[2]quests!$1:$1,0)+1,FALSE)</f>
        <v>おとぎ話シリーズ3</v>
      </c>
      <c r="E48" s="87">
        <v>2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おとぎ話シリーズ3</v>
      </c>
      <c r="H48" s="85">
        <v>0</v>
      </c>
      <c r="I48">
        <v>25</v>
      </c>
      <c r="J48" s="84" t="s">
        <v>198</v>
      </c>
      <c r="K48" s="93" t="str">
        <f>VLOOKUP(I48,[7]stage_hints!$A:$C,3,FALSE)</f>
        <v>スキルレベルアップ</v>
      </c>
      <c r="L48" s="94" t="str">
        <f>VLOOKUP(I48,[7]stage_hints!$A:$D,4,FALSE)</f>
        <v>「秘術の果実」を強化に使うと_x000D_スキルレベルを上げることができます</v>
      </c>
      <c r="M48" s="57" t="s">
        <v>211</v>
      </c>
    </row>
    <row r="49" spans="1:13" x14ac:dyDescent="0.15">
      <c r="A49" s="81" t="s">
        <v>201</v>
      </c>
      <c r="B49" s="82">
        <f>floors!$C$2</f>
        <v>20015</v>
      </c>
      <c r="C49" s="83" t="str">
        <f ca="1">VLOOKUP($B49,OFFSET([2]quests!$A$1,0,0,COUNTA([2]quests!$A:$A),MATCH(C$1,[2]quests!$1:$1,0)-MATCH($B$1,[2]quests!$1:$1,0)+1),MATCH(C$1,[2]quests!$1:$1,0)-MATCH($B$1,[2]quests!$1:$1,0)+1,FALSE)</f>
        <v>妄執とり憑く美貌の妃</v>
      </c>
      <c r="D49" s="83" t="str">
        <f ca="1">VLOOKUP($B49,OFFSET([2]quests!$A$1,0,0,COUNTA([2]quests!$A:$A),MATCH(D$1,[2]quests!$1:$1,0)-MATCH($B$1,[2]quests!$1:$1,0)+1),MATCH(D$1,[2]quests!$1:$1,0)-MATCH($B$1,[2]quests!$1:$1,0)+1,FALSE)</f>
        <v>おとぎ話シリーズ3</v>
      </c>
      <c r="E49" s="87">
        <v>2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おとぎ話シリーズ3</v>
      </c>
      <c r="H49" s="85">
        <v>0</v>
      </c>
      <c r="I49">
        <v>26</v>
      </c>
      <c r="J49" s="84" t="s">
        <v>198</v>
      </c>
      <c r="K49" s="93" t="str">
        <f>VLOOKUP(I49,[7]stage_hints!$A:$C,3,FALSE)</f>
        <v>スキルレベルの効果</v>
      </c>
      <c r="L49" s="94" t="str">
        <f>VLOOKUP(I49,[7]stage_hints!$A:$D,4,FALSE)</f>
        <v>スキルレベルが上がると_x000D_短いターンでスキルを使うことができます</v>
      </c>
      <c r="M49" s="57" t="s">
        <v>211</v>
      </c>
    </row>
    <row r="50" spans="1:13" x14ac:dyDescent="0.15">
      <c r="A50" s="81" t="s">
        <v>201</v>
      </c>
      <c r="B50" s="82">
        <f>floors!$C$2</f>
        <v>20015</v>
      </c>
      <c r="C50" s="83" t="str">
        <f ca="1">VLOOKUP($B50,OFFSET([2]quests!$A$1,0,0,COUNTA([2]quests!$A:$A),MATCH(C$1,[2]quests!$1:$1,0)-MATCH($B$1,[2]quests!$1:$1,0)+1),MATCH(C$1,[2]quests!$1:$1,0)-MATCH($B$1,[2]quests!$1:$1,0)+1,FALSE)</f>
        <v>妄執とり憑く美貌の妃</v>
      </c>
      <c r="D50" s="83" t="str">
        <f ca="1">VLOOKUP($B50,OFFSET([2]quests!$A$1,0,0,COUNTA([2]quests!$A:$A),MATCH(D$1,[2]quests!$1:$1,0)-MATCH($B$1,[2]quests!$1:$1,0)+1),MATCH(D$1,[2]quests!$1:$1,0)-MATCH($B$1,[2]quests!$1:$1,0)+1,FALSE)</f>
        <v>おとぎ話シリーズ3</v>
      </c>
      <c r="E50" s="87">
        <v>2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おとぎ話シリーズ3</v>
      </c>
      <c r="H50" s="85">
        <v>0</v>
      </c>
      <c r="I50">
        <v>27</v>
      </c>
      <c r="J50" s="84" t="s">
        <v>198</v>
      </c>
      <c r="K50" s="93" t="str">
        <f>VLOOKUP(I50,[7]stage_hints!$A:$C,3,FALSE)</f>
        <v>ホーム画面からデッキを編成</v>
      </c>
      <c r="L50" s="94" t="str">
        <f>VLOOKUP(I50,[7]stage_hints!$A:$D,4,FALSE)</f>
        <v>ホーム画面でユニットを長押しすると_x000D_すぐにパーティ編成に移動できます</v>
      </c>
      <c r="M50" s="57" t="s">
        <v>211</v>
      </c>
    </row>
    <row r="51" spans="1:13" x14ac:dyDescent="0.15">
      <c r="A51" s="81" t="s">
        <v>201</v>
      </c>
      <c r="B51" s="82">
        <f>floors!$C$2</f>
        <v>20015</v>
      </c>
      <c r="C51" s="83" t="str">
        <f ca="1">VLOOKUP($B51,OFFSET([2]quests!$A$1,0,0,COUNTA([2]quests!$A:$A),MATCH(C$1,[2]quests!$1:$1,0)-MATCH($B$1,[2]quests!$1:$1,0)+1),MATCH(C$1,[2]quests!$1:$1,0)-MATCH($B$1,[2]quests!$1:$1,0)+1,FALSE)</f>
        <v>妄執とり憑く美貌の妃</v>
      </c>
      <c r="D51" s="83" t="str">
        <f ca="1">VLOOKUP($B51,OFFSET([2]quests!$A$1,0,0,COUNTA([2]quests!$A:$A),MATCH(D$1,[2]quests!$1:$1,0)-MATCH($B$1,[2]quests!$1:$1,0)+1),MATCH(D$1,[2]quests!$1:$1,0)-MATCH($B$1,[2]quests!$1:$1,0)+1,FALSE)</f>
        <v>おとぎ話シリーズ3</v>
      </c>
      <c r="E51" s="87">
        <v>2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おとぎ話シリーズ3</v>
      </c>
      <c r="H51" s="85">
        <v>0</v>
      </c>
      <c r="I51">
        <v>28</v>
      </c>
      <c r="J51" s="84" t="s">
        <v>198</v>
      </c>
      <c r="K51" s="93" t="str">
        <f>VLOOKUP(I51,[7]stage_hints!$A:$C,3,FALSE)</f>
        <v>ステータス情報は長押しで</v>
      </c>
      <c r="L51" s="94" t="str">
        <f>VLOOKUP(I51,[7]stage_hints!$A:$D,4,FALSE)</f>
        <v>ユニットのアイコンを長押しすると_x000D_ステータス情報を確認することができます</v>
      </c>
      <c r="M51" s="57" t="s">
        <v>211</v>
      </c>
    </row>
    <row r="52" spans="1:13" x14ac:dyDescent="0.15">
      <c r="A52" s="81" t="s">
        <v>201</v>
      </c>
      <c r="B52" s="82">
        <f>floors!$C$2</f>
        <v>20015</v>
      </c>
      <c r="C52" s="83" t="str">
        <f ca="1">VLOOKUP($B52,OFFSET([2]quests!$A$1,0,0,COUNTA([2]quests!$A:$A),MATCH(C$1,[2]quests!$1:$1,0)-MATCH($B$1,[2]quests!$1:$1,0)+1),MATCH(C$1,[2]quests!$1:$1,0)-MATCH($B$1,[2]quests!$1:$1,0)+1,FALSE)</f>
        <v>妄執とり憑く美貌の妃</v>
      </c>
      <c r="D52" s="83" t="str">
        <f ca="1">VLOOKUP($B52,OFFSET([2]quests!$A$1,0,0,COUNTA([2]quests!$A:$A),MATCH(D$1,[2]quests!$1:$1,0)-MATCH($B$1,[2]quests!$1:$1,0)+1),MATCH(D$1,[2]quests!$1:$1,0)-MATCH($B$1,[2]quests!$1:$1,0)+1,FALSE)</f>
        <v>おとぎ話シリーズ3</v>
      </c>
      <c r="E52" s="87">
        <v>2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おとぎ話シリーズ3</v>
      </c>
      <c r="H52" s="85">
        <v>0</v>
      </c>
      <c r="I52">
        <v>29</v>
      </c>
      <c r="J52" s="84" t="s">
        <v>198</v>
      </c>
      <c r="K52" s="93" t="str">
        <f>VLOOKUP(I52,[7]stage_hints!$A:$C,3,FALSE)</f>
        <v>「バグ」のメリット</v>
      </c>
      <c r="L52" s="94" t="str">
        <f>VLOOKUP(I52,[7]stage_hints!$A:$D,4,FALSE)</f>
        <v>ユニットの「バグ」を増やすと_x000D_報酬をもらえる確率がアップします</v>
      </c>
      <c r="M52" s="57" t="s">
        <v>211</v>
      </c>
    </row>
    <row r="53" spans="1:13" x14ac:dyDescent="0.15">
      <c r="A53" s="81" t="s">
        <v>201</v>
      </c>
      <c r="B53" s="82">
        <f>floors!$C$2</f>
        <v>20015</v>
      </c>
      <c r="C53" s="83" t="str">
        <f ca="1">VLOOKUP($B53,OFFSET([2]quests!$A$1,0,0,COUNTA([2]quests!$A:$A),MATCH(C$1,[2]quests!$1:$1,0)-MATCH($B$1,[2]quests!$1:$1,0)+1),MATCH(C$1,[2]quests!$1:$1,0)-MATCH($B$1,[2]quests!$1:$1,0)+1,FALSE)</f>
        <v>妄執とり憑く美貌の妃</v>
      </c>
      <c r="D53" s="83" t="str">
        <f ca="1">VLOOKUP($B53,OFFSET([2]quests!$A$1,0,0,COUNTA([2]quests!$A:$A),MATCH(D$1,[2]quests!$1:$1,0)-MATCH($B$1,[2]quests!$1:$1,0)+1),MATCH(D$1,[2]quests!$1:$1,0)-MATCH($B$1,[2]quests!$1:$1,0)+1,FALSE)</f>
        <v>おとぎ話シリーズ3</v>
      </c>
      <c r="E53" s="87">
        <v>2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おとぎ話シリーズ3</v>
      </c>
      <c r="H53" s="85">
        <v>0</v>
      </c>
      <c r="I53">
        <v>30</v>
      </c>
      <c r="J53" s="84" t="s">
        <v>198</v>
      </c>
      <c r="K53" s="93" t="str">
        <f>VLOOKUP(I53,[7]stage_hints!$A:$C,3,FALSE)</f>
        <v>「バグ」の増やし方</v>
      </c>
      <c r="L53" s="94" t="str">
        <f>VLOOKUP(I53,[7]stage_hints!$A:$D,4,FALSE)</f>
        <v>同じユニット同士を強化で合成すると_x000D_「バグ」を増やすことができます</v>
      </c>
      <c r="M53" s="57" t="s">
        <v>211</v>
      </c>
    </row>
    <row r="54" spans="1:13" x14ac:dyDescent="0.15">
      <c r="A54" s="81" t="s">
        <v>201</v>
      </c>
      <c r="B54" s="82">
        <f>floors!$C$2</f>
        <v>20015</v>
      </c>
      <c r="C54" s="83" t="str">
        <f ca="1">VLOOKUP($B54,OFFSET([2]quests!$A$1,0,0,COUNTA([2]quests!$A:$A),MATCH(C$1,[2]quests!$1:$1,0)-MATCH($B$1,[2]quests!$1:$1,0)+1),MATCH(C$1,[2]quests!$1:$1,0)-MATCH($B$1,[2]quests!$1:$1,0)+1,FALSE)</f>
        <v>妄執とり憑く美貌の妃</v>
      </c>
      <c r="D54" s="83" t="str">
        <f ca="1">VLOOKUP($B54,OFFSET([2]quests!$A$1,0,0,COUNTA([2]quests!$A:$A),MATCH(D$1,[2]quests!$1:$1,0)-MATCH($B$1,[2]quests!$1:$1,0)+1),MATCH(D$1,[2]quests!$1:$1,0)-MATCH($B$1,[2]quests!$1:$1,0)+1,FALSE)</f>
        <v>おとぎ話シリーズ3</v>
      </c>
      <c r="E54" s="87">
        <v>2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おとぎ話シリーズ3</v>
      </c>
      <c r="H54" s="85">
        <v>0</v>
      </c>
      <c r="I54">
        <v>31</v>
      </c>
      <c r="J54" s="84" t="s">
        <v>198</v>
      </c>
      <c r="K54" s="93" t="str">
        <f>VLOOKUP(I54,[7]stage_hints!$A:$C,3,FALSE)</f>
        <v>イベントはお知らせでチェック</v>
      </c>
      <c r="L54" s="94" t="str">
        <f>VLOOKUP(I54,[7]stage_hints!$A:$D,4,FALSE)</f>
        <v>イベント限定ユニットを取り忘れないように_x000D_お知らせをこまめにチェックしましょう</v>
      </c>
      <c r="M54" s="57" t="s">
        <v>211</v>
      </c>
    </row>
    <row r="55" spans="1:13" x14ac:dyDescent="0.15">
      <c r="A55" s="81" t="s">
        <v>201</v>
      </c>
      <c r="B55" s="82">
        <f>floors!$C$2</f>
        <v>20015</v>
      </c>
      <c r="C55" s="83" t="str">
        <f ca="1">VLOOKUP($B55,OFFSET([2]quests!$A$1,0,0,COUNTA([2]quests!$A:$A),MATCH(C$1,[2]quests!$1:$1,0)-MATCH($B$1,[2]quests!$1:$1,0)+1),MATCH(C$1,[2]quests!$1:$1,0)-MATCH($B$1,[2]quests!$1:$1,0)+1,FALSE)</f>
        <v>妄執とり憑く美貌の妃</v>
      </c>
      <c r="D55" s="83" t="str">
        <f ca="1">VLOOKUP($B55,OFFSET([2]quests!$A$1,0,0,COUNTA([2]quests!$A:$A),MATCH(D$1,[2]quests!$1:$1,0)-MATCH($B$1,[2]quests!$1:$1,0)+1),MATCH(D$1,[2]quests!$1:$1,0)-MATCH($B$1,[2]quests!$1:$1,0)+1,FALSE)</f>
        <v>おとぎ話シリーズ3</v>
      </c>
      <c r="E55" s="87">
        <v>2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おとぎ話シリーズ3</v>
      </c>
      <c r="H55" s="85">
        <v>0</v>
      </c>
      <c r="I55">
        <v>32</v>
      </c>
      <c r="J55" s="84" t="s">
        <v>198</v>
      </c>
      <c r="K55" s="93" t="str">
        <f>VLOOKUP(I55,[7]stage_hints!$A:$C,3,FALSE)</f>
        <v>敵の連続攻撃には</v>
      </c>
      <c r="L55" s="94" t="str">
        <f>VLOOKUP(I55,[7]stage_hints!$A:$D,4,FALSE)</f>
        <v>カウンタースキルを持つユニットがいれば_x000D_ダメージ回数分の反撃ができます</v>
      </c>
      <c r="M55" s="57" t="s">
        <v>211</v>
      </c>
    </row>
    <row r="56" spans="1:13" x14ac:dyDescent="0.15">
      <c r="A56" s="81" t="s">
        <v>201</v>
      </c>
      <c r="B56" s="82">
        <f>floors!$C$2</f>
        <v>20015</v>
      </c>
      <c r="C56" s="83" t="str">
        <f ca="1">VLOOKUP($B56,OFFSET([2]quests!$A$1,0,0,COUNTA([2]quests!$A:$A),MATCH(C$1,[2]quests!$1:$1,0)-MATCH($B$1,[2]quests!$1:$1,0)+1),MATCH(C$1,[2]quests!$1:$1,0)-MATCH($B$1,[2]quests!$1:$1,0)+1,FALSE)</f>
        <v>妄執とり憑く美貌の妃</v>
      </c>
      <c r="D56" s="83" t="str">
        <f ca="1">VLOOKUP($B56,OFFSET([2]quests!$A$1,0,0,COUNTA([2]quests!$A:$A),MATCH(D$1,[2]quests!$1:$1,0)-MATCH($B$1,[2]quests!$1:$1,0)+1),MATCH(D$1,[2]quests!$1:$1,0)-MATCH($B$1,[2]quests!$1:$1,0)+1,FALSE)</f>
        <v>おとぎ話シリーズ3</v>
      </c>
      <c r="E56" s="87">
        <v>2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おとぎ話シリーズ3</v>
      </c>
      <c r="H56" s="85">
        <v>0</v>
      </c>
      <c r="I56">
        <v>33</v>
      </c>
      <c r="J56" s="84" t="s">
        <v>198</v>
      </c>
      <c r="K56" s="93" t="str">
        <f>VLOOKUP(I56,[7]stage_hints!$A:$C,3,FALSE)</f>
        <v>敵のカウンター攻撃には</v>
      </c>
      <c r="L56" s="94" t="str">
        <f>VLOOKUP(I56,[7]stage_hints!$A:$D,4,FALSE)</f>
        <v>カウンターブレイクスキルを持っていれば_x000D_敵のカウンターを解除して攻撃ができます</v>
      </c>
      <c r="M56" s="57" t="s">
        <v>211</v>
      </c>
    </row>
    <row r="57" spans="1:13" x14ac:dyDescent="0.15">
      <c r="A57" s="81" t="s">
        <v>201</v>
      </c>
      <c r="B57" s="82">
        <f>floors!$C$2</f>
        <v>20015</v>
      </c>
      <c r="C57" s="83" t="str">
        <f ca="1">VLOOKUP($B57,OFFSET([2]quests!$A$1,0,0,COUNTA([2]quests!$A:$A),MATCH(C$1,[2]quests!$1:$1,0)-MATCH($B$1,[2]quests!$1:$1,0)+1),MATCH(C$1,[2]quests!$1:$1,0)-MATCH($B$1,[2]quests!$1:$1,0)+1,FALSE)</f>
        <v>妄執とり憑く美貌の妃</v>
      </c>
      <c r="D57" s="83" t="str">
        <f ca="1">VLOOKUP($B57,OFFSET([2]quests!$A$1,0,0,COUNTA([2]quests!$A:$A),MATCH(D$1,[2]quests!$1:$1,0)-MATCH($B$1,[2]quests!$1:$1,0)+1),MATCH(D$1,[2]quests!$1:$1,0)-MATCH($B$1,[2]quests!$1:$1,0)+1,FALSE)</f>
        <v>おとぎ話シリーズ3</v>
      </c>
      <c r="E57" s="87">
        <v>2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おとぎ話シリーズ3</v>
      </c>
      <c r="H57" s="85">
        <v>0</v>
      </c>
      <c r="I57">
        <v>34</v>
      </c>
      <c r="J57" s="84" t="s">
        <v>198</v>
      </c>
      <c r="K57" s="93" t="str">
        <f>VLOOKUP(I57,[7]stage_hints!$A:$C,3,FALSE)</f>
        <v>ステータスをスキルで下げられたら</v>
      </c>
      <c r="L57" s="94" t="str">
        <f>VLOOKUP(I57,[7]stage_hints!$A:$D,4,FALSE)</f>
        <v>ステータスダウンのスキルを受けたら_x000D_ステータスアップスキルで上書きしましょう</v>
      </c>
      <c r="M57" s="57" t="s">
        <v>211</v>
      </c>
    </row>
    <row r="58" spans="1:13" x14ac:dyDescent="0.15">
      <c r="A58" s="81" t="s">
        <v>201</v>
      </c>
      <c r="B58" s="82">
        <f>floors!$C$2</f>
        <v>20015</v>
      </c>
      <c r="C58" s="83" t="str">
        <f ca="1">VLOOKUP($B58,OFFSET([2]quests!$A$1,0,0,COUNTA([2]quests!$A:$A),MATCH(C$1,[2]quests!$1:$1,0)-MATCH($B$1,[2]quests!$1:$1,0)+1),MATCH(C$1,[2]quests!$1:$1,0)-MATCH($B$1,[2]quests!$1:$1,0)+1,FALSE)</f>
        <v>妄執とり憑く美貌の妃</v>
      </c>
      <c r="D58" s="83" t="str">
        <f ca="1">VLOOKUP($B58,OFFSET([2]quests!$A$1,0,0,COUNTA([2]quests!$A:$A),MATCH(D$1,[2]quests!$1:$1,0)-MATCH($B$1,[2]quests!$1:$1,0)+1),MATCH(D$1,[2]quests!$1:$1,0)-MATCH($B$1,[2]quests!$1:$1,0)+1,FALSE)</f>
        <v>おとぎ話シリーズ3</v>
      </c>
      <c r="E58" s="87">
        <v>2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おとぎ話シリーズ3</v>
      </c>
      <c r="H58" s="85">
        <v>0</v>
      </c>
      <c r="I58">
        <v>35</v>
      </c>
      <c r="J58" s="84" t="s">
        <v>198</v>
      </c>
      <c r="K58" s="93" t="str">
        <f>VLOOKUP(I58,[7]stage_hints!$A:$C,3,FALSE)</f>
        <v>敵のステータスがスキルで上がったら</v>
      </c>
      <c r="L58" s="94" t="str">
        <f>VLOOKUP(I58,[7]stage_hints!$A:$D,4,FALSE)</f>
        <v>敵のステータスがスキルでアップしたときは_x000D_ステータスダウンスキルで上書きしましょう</v>
      </c>
      <c r="M58" s="57" t="s">
        <v>211</v>
      </c>
    </row>
    <row r="59" spans="1:13" x14ac:dyDescent="0.15">
      <c r="A59" s="81" t="s">
        <v>201</v>
      </c>
      <c r="B59" s="82">
        <f>floors!$C$2</f>
        <v>20015</v>
      </c>
      <c r="C59" s="83" t="str">
        <f ca="1">VLOOKUP($B59,OFFSET([2]quests!$A$1,0,0,COUNTA([2]quests!$A:$A),MATCH(C$1,[2]quests!$1:$1,0)-MATCH($B$1,[2]quests!$1:$1,0)+1),MATCH(C$1,[2]quests!$1:$1,0)-MATCH($B$1,[2]quests!$1:$1,0)+1,FALSE)</f>
        <v>妄執とり憑く美貌の妃</v>
      </c>
      <c r="D59" s="83" t="str">
        <f ca="1">VLOOKUP($B59,OFFSET([2]quests!$A$1,0,0,COUNTA([2]quests!$A:$A),MATCH(D$1,[2]quests!$1:$1,0)-MATCH($B$1,[2]quests!$1:$1,0)+1),MATCH(D$1,[2]quests!$1:$1,0)-MATCH($B$1,[2]quests!$1:$1,0)+1,FALSE)</f>
        <v>おとぎ話シリーズ3</v>
      </c>
      <c r="E59" s="87">
        <v>2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おとぎ話シリーズ3</v>
      </c>
      <c r="H59" s="85">
        <v>0</v>
      </c>
      <c r="I59">
        <v>39</v>
      </c>
      <c r="J59" s="84" t="s">
        <v>198</v>
      </c>
      <c r="K59" s="93" t="str">
        <f>VLOOKUP(I59,[7]stage_hints!$A:$C,3,FALSE)</f>
        <v>システム適合者を確認</v>
      </c>
      <c r="L59" s="94" t="str">
        <f>VLOOKUP(I59,[7]stage_hints!$A:$D,4,FALSE)</f>
        <v>ALICEが 「アナタ」を呼んでいます</v>
      </c>
      <c r="M59" s="57" t="s">
        <v>211</v>
      </c>
    </row>
    <row r="60" spans="1:13" x14ac:dyDescent="0.15">
      <c r="A60" s="81" t="s">
        <v>201</v>
      </c>
      <c r="B60" s="82">
        <f>floors!$C$2</f>
        <v>20015</v>
      </c>
      <c r="C60" s="83" t="str">
        <f ca="1">VLOOKUP($B60,OFFSET([2]quests!$A$1,0,0,COUNTA([2]quests!$A:$A),MATCH(C$1,[2]quests!$1:$1,0)-MATCH($B$1,[2]quests!$1:$1,0)+1),MATCH(C$1,[2]quests!$1:$1,0)-MATCH($B$1,[2]quests!$1:$1,0)+1,FALSE)</f>
        <v>妄執とり憑く美貌の妃</v>
      </c>
      <c r="D60" s="83" t="str">
        <f ca="1">VLOOKUP($B60,OFFSET([2]quests!$A$1,0,0,COUNTA([2]quests!$A:$A),MATCH(D$1,[2]quests!$1:$1,0)-MATCH($B$1,[2]quests!$1:$1,0)+1),MATCH(D$1,[2]quests!$1:$1,0)-MATCH($B$1,[2]quests!$1:$1,0)+1,FALSE)</f>
        <v>おとぎ話シリーズ3</v>
      </c>
      <c r="E60" s="87">
        <v>3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おとぎ話シリーズ3</v>
      </c>
      <c r="H60" s="85">
        <v>0</v>
      </c>
      <c r="I60" s="97">
        <v>3</v>
      </c>
      <c r="J60" s="84" t="s">
        <v>198</v>
      </c>
      <c r="K60" s="93" t="str">
        <f>VLOOKUP(I60,[7]stage_hints!$A:$C,3,FALSE)</f>
        <v>ターゲット</v>
      </c>
      <c r="L60" s="94" t="str">
        <f>VLOOKUP(I60,[7]stage_hints!$A:$D,4,FALSE)</f>
        <v>敵ユニットをタップすると_x000D_その敵を狙い撃ちできます</v>
      </c>
      <c r="M60" s="57" t="s">
        <v>211</v>
      </c>
    </row>
    <row r="61" spans="1:13" x14ac:dyDescent="0.15">
      <c r="A61" s="81" t="s">
        <v>201</v>
      </c>
      <c r="B61" s="82">
        <f>floors!$C$2</f>
        <v>20015</v>
      </c>
      <c r="C61" s="83" t="str">
        <f ca="1">VLOOKUP($B61,OFFSET([2]quests!$A$1,0,0,COUNTA([2]quests!$A:$A),MATCH(C$1,[2]quests!$1:$1,0)-MATCH($B$1,[2]quests!$1:$1,0)+1),MATCH(C$1,[2]quests!$1:$1,0)-MATCH($B$1,[2]quests!$1:$1,0)+1,FALSE)</f>
        <v>妄執とり憑く美貌の妃</v>
      </c>
      <c r="D61" s="83" t="str">
        <f ca="1">VLOOKUP($B61,OFFSET([2]quests!$A$1,0,0,COUNTA([2]quests!$A:$A),MATCH(D$1,[2]quests!$1:$1,0)-MATCH($B$1,[2]quests!$1:$1,0)+1),MATCH(D$1,[2]quests!$1:$1,0)-MATCH($B$1,[2]quests!$1:$1,0)+1,FALSE)</f>
        <v>おとぎ話シリーズ3</v>
      </c>
      <c r="E61" s="87">
        <v>3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おとぎ話シリーズ3</v>
      </c>
      <c r="H61" s="85">
        <v>0</v>
      </c>
      <c r="I61" s="97">
        <v>6</v>
      </c>
      <c r="J61" s="84" t="s">
        <v>198</v>
      </c>
      <c r="K61" s="93" t="str">
        <f>VLOOKUP(I61,[7]stage_hints!$A:$C,3,FALSE)</f>
        <v>ユニット強化の属性ボーナス</v>
      </c>
      <c r="L61" s="94" t="str">
        <f>VLOOKUP(I61,[7]stage_hints!$A:$D,4,FALSE)</f>
        <v>同属性ユニットを強化素材にすると_x000D_経験値が多くもらえます</v>
      </c>
      <c r="M61" s="57" t="s">
        <v>211</v>
      </c>
    </row>
    <row r="62" spans="1:13" x14ac:dyDescent="0.15">
      <c r="A62" s="81" t="s">
        <v>201</v>
      </c>
      <c r="B62" s="82">
        <f>floors!$C$2</f>
        <v>20015</v>
      </c>
      <c r="C62" s="83" t="str">
        <f ca="1">VLOOKUP($B62,OFFSET([2]quests!$A$1,0,0,COUNTA([2]quests!$A:$A),MATCH(C$1,[2]quests!$1:$1,0)-MATCH($B$1,[2]quests!$1:$1,0)+1),MATCH(C$1,[2]quests!$1:$1,0)-MATCH($B$1,[2]quests!$1:$1,0)+1,FALSE)</f>
        <v>妄執とり憑く美貌の妃</v>
      </c>
      <c r="D62" s="83" t="str">
        <f ca="1">VLOOKUP($B62,OFFSET([2]quests!$A$1,0,0,COUNTA([2]quests!$A:$A),MATCH(D$1,[2]quests!$1:$1,0)-MATCH($B$1,[2]quests!$1:$1,0)+1),MATCH(D$1,[2]quests!$1:$1,0)-MATCH($B$1,[2]quests!$1:$1,0)+1,FALSE)</f>
        <v>おとぎ話シリーズ3</v>
      </c>
      <c r="E62" s="87">
        <v>3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おとぎ話シリーズ3</v>
      </c>
      <c r="H62" s="85">
        <v>0</v>
      </c>
      <c r="I62" s="97">
        <v>7</v>
      </c>
      <c r="J62" s="84" t="s">
        <v>198</v>
      </c>
      <c r="K62" s="93" t="str">
        <f>VLOOKUP(I62,[7]stage_hints!$A:$C,3,FALSE)</f>
        <v>メタルダックで経験値を獲得</v>
      </c>
      <c r="L62" s="94" t="str">
        <f>VLOOKUP(I62,[7]stage_hints!$A:$D,4,FALSE)</f>
        <v>「メタルなアヒル」を強化素材にすると_x000D_大量の経験値がもらえます</v>
      </c>
      <c r="M62" s="57" t="s">
        <v>211</v>
      </c>
    </row>
    <row r="63" spans="1:13" x14ac:dyDescent="0.15">
      <c r="A63" s="81" t="s">
        <v>201</v>
      </c>
      <c r="B63" s="82">
        <f>floors!$C$2</f>
        <v>20015</v>
      </c>
      <c r="C63" s="83" t="str">
        <f ca="1">VLOOKUP($B63,OFFSET([2]quests!$A$1,0,0,COUNTA([2]quests!$A:$A),MATCH(C$1,[2]quests!$1:$1,0)-MATCH($B$1,[2]quests!$1:$1,0)+1),MATCH(C$1,[2]quests!$1:$1,0)-MATCH($B$1,[2]quests!$1:$1,0)+1,FALSE)</f>
        <v>妄執とり憑く美貌の妃</v>
      </c>
      <c r="D63" s="83" t="str">
        <f ca="1">VLOOKUP($B63,OFFSET([2]quests!$A$1,0,0,COUNTA([2]quests!$A:$A),MATCH(D$1,[2]quests!$1:$1,0)-MATCH($B$1,[2]quests!$1:$1,0)+1),MATCH(D$1,[2]quests!$1:$1,0)-MATCH($B$1,[2]quests!$1:$1,0)+1,FALSE)</f>
        <v>おとぎ話シリーズ3</v>
      </c>
      <c r="E63" s="87">
        <v>3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おとぎ話シリーズ3</v>
      </c>
      <c r="H63" s="85">
        <v>0</v>
      </c>
      <c r="I63" s="97">
        <v>8</v>
      </c>
      <c r="J63" s="84" t="s">
        <v>198</v>
      </c>
      <c r="K63" s="93" t="str">
        <f>VLOOKUP(I63,[7]stage_hints!$A:$C,3,FALSE)</f>
        <v>ゲリラクエストは要チェック</v>
      </c>
      <c r="L63" s="94" t="str">
        <f>VLOOKUP(I63,[7]stage_hints!$A:$D,4,FALSE)</f>
        <v>時間限定の「アヒル捕獲作戦」では_x000D_経験値素材ユニットが多く手に入ります</v>
      </c>
      <c r="M63" s="57" t="s">
        <v>211</v>
      </c>
    </row>
    <row r="64" spans="1:13" x14ac:dyDescent="0.15">
      <c r="A64" s="81" t="s">
        <v>201</v>
      </c>
      <c r="B64" s="82">
        <f>floors!$C$2</f>
        <v>20015</v>
      </c>
      <c r="C64" s="83" t="str">
        <f ca="1">VLOOKUP($B64,OFFSET([2]quests!$A$1,0,0,COUNTA([2]quests!$A:$A),MATCH(C$1,[2]quests!$1:$1,0)-MATCH($B$1,[2]quests!$1:$1,0)+1),MATCH(C$1,[2]quests!$1:$1,0)-MATCH($B$1,[2]quests!$1:$1,0)+1,FALSE)</f>
        <v>妄執とり憑く美貌の妃</v>
      </c>
      <c r="D64" s="83" t="str">
        <f ca="1">VLOOKUP($B64,OFFSET([2]quests!$A$1,0,0,COUNTA([2]quests!$A:$A),MATCH(D$1,[2]quests!$1:$1,0)-MATCH($B$1,[2]quests!$1:$1,0)+1),MATCH(D$1,[2]quests!$1:$1,0)-MATCH($B$1,[2]quests!$1:$1,0)+1,FALSE)</f>
        <v>おとぎ話シリーズ3</v>
      </c>
      <c r="E64" s="87">
        <v>3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おとぎ話シリーズ3</v>
      </c>
      <c r="H64" s="85">
        <v>0</v>
      </c>
      <c r="I64" s="97">
        <v>9</v>
      </c>
      <c r="J64" s="84" t="s">
        <v>198</v>
      </c>
      <c r="K64" s="93" t="str">
        <f>VLOOKUP(I64,[7]stage_hints!$A:$C,3,FALSE)</f>
        <v>ゴールドダックでビットを獲得</v>
      </c>
      <c r="L64" s="94" t="str">
        <f>VLOOKUP(I64,[7]stage_hints!$A:$D,4,FALSE)</f>
        <v>「ゴールドなアヒル」を売却すると_x000D_大量のビットがもらえます</v>
      </c>
      <c r="M64" s="57" t="s">
        <v>211</v>
      </c>
    </row>
    <row r="65" spans="1:13" x14ac:dyDescent="0.15">
      <c r="A65" s="81" t="s">
        <v>201</v>
      </c>
      <c r="B65" s="82">
        <f>floors!$C$2</f>
        <v>20015</v>
      </c>
      <c r="C65" s="83" t="str">
        <f ca="1">VLOOKUP($B65,OFFSET([2]quests!$A$1,0,0,COUNTA([2]quests!$A:$A),MATCH(C$1,[2]quests!$1:$1,0)-MATCH($B$1,[2]quests!$1:$1,0)+1),MATCH(C$1,[2]quests!$1:$1,0)-MATCH($B$1,[2]quests!$1:$1,0)+1,FALSE)</f>
        <v>妄執とり憑く美貌の妃</v>
      </c>
      <c r="D65" s="83" t="str">
        <f ca="1">VLOOKUP($B65,OFFSET([2]quests!$A$1,0,0,COUNTA([2]quests!$A:$A),MATCH(D$1,[2]quests!$1:$1,0)-MATCH($B$1,[2]quests!$1:$1,0)+1),MATCH(D$1,[2]quests!$1:$1,0)-MATCH($B$1,[2]quests!$1:$1,0)+1,FALSE)</f>
        <v>おとぎ話シリーズ3</v>
      </c>
      <c r="E65" s="87">
        <v>3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おとぎ話シリーズ3</v>
      </c>
      <c r="H65" s="85">
        <v>0</v>
      </c>
      <c r="I65" s="97">
        <v>10</v>
      </c>
      <c r="J65" s="84" t="s">
        <v>198</v>
      </c>
      <c r="K65" s="93" t="str">
        <f>VLOOKUP(I65,[7]stage_hints!$A:$C,3,FALSE)</f>
        <v>土日に大量のビットを獲得</v>
      </c>
      <c r="L65" s="94" t="str">
        <f>VLOOKUP(I65,[7]stage_hints!$A:$D,4,FALSE)</f>
        <v>土日限定の「ゴールドカジノ」では_x000D_売却素材ユニットが多く手に入ります</v>
      </c>
      <c r="M65" s="57" t="s">
        <v>211</v>
      </c>
    </row>
    <row r="66" spans="1:13" x14ac:dyDescent="0.15">
      <c r="A66" s="81" t="s">
        <v>201</v>
      </c>
      <c r="B66" s="82">
        <f>floors!$C$2</f>
        <v>20015</v>
      </c>
      <c r="C66" s="83" t="str">
        <f ca="1">VLOOKUP($B66,OFFSET([2]quests!$A$1,0,0,COUNTA([2]quests!$A:$A),MATCH(C$1,[2]quests!$1:$1,0)-MATCH($B$1,[2]quests!$1:$1,0)+1),MATCH(C$1,[2]quests!$1:$1,0)-MATCH($B$1,[2]quests!$1:$1,0)+1,FALSE)</f>
        <v>妄執とり憑く美貌の妃</v>
      </c>
      <c r="D66" s="83" t="str">
        <f ca="1">VLOOKUP($B66,OFFSET([2]quests!$A$1,0,0,COUNTA([2]quests!$A:$A),MATCH(D$1,[2]quests!$1:$1,0)-MATCH($B$1,[2]quests!$1:$1,0)+1),MATCH(D$1,[2]quests!$1:$1,0)-MATCH($B$1,[2]quests!$1:$1,0)+1,FALSE)</f>
        <v>おとぎ話シリーズ3</v>
      </c>
      <c r="E66" s="87">
        <v>3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おとぎ話シリーズ3</v>
      </c>
      <c r="H66" s="85">
        <v>0</v>
      </c>
      <c r="I66" s="97">
        <v>11</v>
      </c>
      <c r="J66" s="84" t="s">
        <v>198</v>
      </c>
      <c r="K66" s="93" t="str">
        <f>VLOOKUP(I66,[7]stage_hints!$A:$C,3,FALSE)</f>
        <v>ランク解放クエスト</v>
      </c>
      <c r="L66" s="94" t="str">
        <f>VLOOKUP(I66,[7]stage_hints!$A:$D,4,FALSE)</f>
        <v>一定ランクに到達すると_x000D_報酬付きのランク開放クエストが現れます</v>
      </c>
      <c r="M66" s="57" t="s">
        <v>211</v>
      </c>
    </row>
    <row r="67" spans="1:13" x14ac:dyDescent="0.15">
      <c r="A67" s="81" t="s">
        <v>201</v>
      </c>
      <c r="B67" s="82">
        <f>floors!$C$2</f>
        <v>20015</v>
      </c>
      <c r="C67" s="83" t="str">
        <f ca="1">VLOOKUP($B67,OFFSET([2]quests!$A$1,0,0,COUNTA([2]quests!$A:$A),MATCH(C$1,[2]quests!$1:$1,0)-MATCH($B$1,[2]quests!$1:$1,0)+1),MATCH(C$1,[2]quests!$1:$1,0)-MATCH($B$1,[2]quests!$1:$1,0)+1,FALSE)</f>
        <v>妄執とり憑く美貌の妃</v>
      </c>
      <c r="D67" s="83" t="str">
        <f ca="1">VLOOKUP($B67,OFFSET([2]quests!$A$1,0,0,COUNTA([2]quests!$A:$A),MATCH(D$1,[2]quests!$1:$1,0)-MATCH($B$1,[2]quests!$1:$1,0)+1),MATCH(D$1,[2]quests!$1:$1,0)-MATCH($B$1,[2]quests!$1:$1,0)+1,FALSE)</f>
        <v>おとぎ話シリーズ3</v>
      </c>
      <c r="E67" s="87">
        <v>3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おとぎ話シリーズ3</v>
      </c>
      <c r="H67" s="85">
        <v>0</v>
      </c>
      <c r="I67" s="97">
        <v>12</v>
      </c>
      <c r="J67" s="84" t="s">
        <v>198</v>
      </c>
      <c r="K67" s="93" t="str">
        <f>VLOOKUP(I67,[7]stage_hints!$A:$C,3,FALSE)</f>
        <v>ユニットのお気に入り登録</v>
      </c>
      <c r="L67" s="94" t="str">
        <f>VLOOKUP(I67,[7]stage_hints!$A:$D,4,FALSE)</f>
        <v>大事なユニットを誤って消さないように_x000D_フォルダから「お気に入り登録」しましょう</v>
      </c>
      <c r="M67" s="57" t="s">
        <v>211</v>
      </c>
    </row>
    <row r="68" spans="1:13" x14ac:dyDescent="0.15">
      <c r="A68" s="81" t="s">
        <v>201</v>
      </c>
      <c r="B68" s="82">
        <f>floors!$C$2</f>
        <v>20015</v>
      </c>
      <c r="C68" s="83" t="str">
        <f ca="1">VLOOKUP($B68,OFFSET([2]quests!$A$1,0,0,COUNTA([2]quests!$A:$A),MATCH(C$1,[2]quests!$1:$1,0)-MATCH($B$1,[2]quests!$1:$1,0)+1),MATCH(C$1,[2]quests!$1:$1,0)-MATCH($B$1,[2]quests!$1:$1,0)+1,FALSE)</f>
        <v>妄執とり憑く美貌の妃</v>
      </c>
      <c r="D68" s="83" t="str">
        <f ca="1">VLOOKUP($B68,OFFSET([2]quests!$A$1,0,0,COUNTA([2]quests!$A:$A),MATCH(D$1,[2]quests!$1:$1,0)-MATCH($B$1,[2]quests!$1:$1,0)+1),MATCH(D$1,[2]quests!$1:$1,0)-MATCH($B$1,[2]quests!$1:$1,0)+1,FALSE)</f>
        <v>おとぎ話シリーズ3</v>
      </c>
      <c r="E68" s="87">
        <v>3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おとぎ話シリーズ3</v>
      </c>
      <c r="H68" s="85">
        <v>0</v>
      </c>
      <c r="I68" s="97">
        <v>13</v>
      </c>
      <c r="J68" s="84" t="s">
        <v>198</v>
      </c>
      <c r="K68" s="93" t="str">
        <f>VLOOKUP(I68,[7]stage_hints!$A:$C,3,FALSE)</f>
        <v>ユニットの覚醒</v>
      </c>
      <c r="L68" s="94" t="str">
        <f>VLOOKUP(I68,[7]stage_hints!$A:$D,4,FALSE)</f>
        <v>ユニットを覚醒させると_x000D_比べものにならない強さが手に入ります</v>
      </c>
      <c r="M68" s="57" t="s">
        <v>211</v>
      </c>
    </row>
    <row r="69" spans="1:13" x14ac:dyDescent="0.15">
      <c r="A69" s="81" t="s">
        <v>201</v>
      </c>
      <c r="B69" s="82">
        <f>floors!$C$2</f>
        <v>20015</v>
      </c>
      <c r="C69" s="83" t="str">
        <f ca="1">VLOOKUP($B69,OFFSET([2]quests!$A$1,0,0,COUNTA([2]quests!$A:$A),MATCH(C$1,[2]quests!$1:$1,0)-MATCH($B$1,[2]quests!$1:$1,0)+1),MATCH(C$1,[2]quests!$1:$1,0)-MATCH($B$1,[2]quests!$1:$1,0)+1,FALSE)</f>
        <v>妄執とり憑く美貌の妃</v>
      </c>
      <c r="D69" s="83" t="str">
        <f ca="1">VLOOKUP($B69,OFFSET([2]quests!$A$1,0,0,COUNTA([2]quests!$A:$A),MATCH(D$1,[2]quests!$1:$1,0)-MATCH($B$1,[2]quests!$1:$1,0)+1),MATCH(D$1,[2]quests!$1:$1,0)-MATCH($B$1,[2]quests!$1:$1,0)+1,FALSE)</f>
        <v>おとぎ話シリーズ3</v>
      </c>
      <c r="E69" s="87">
        <v>3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おとぎ話シリーズ3</v>
      </c>
      <c r="H69" s="85">
        <v>0</v>
      </c>
      <c r="I69" s="97">
        <v>14</v>
      </c>
      <c r="J69" s="84" t="s">
        <v>198</v>
      </c>
      <c r="K69" s="93" t="str">
        <f>VLOOKUP(I69,[7]stage_hints!$A:$C,3,FALSE)</f>
        <v>覚醒するにはレベルを最大に</v>
      </c>
      <c r="L69" s="94" t="str">
        <f>VLOOKUP(I69,[7]stage_hints!$A:$D,4,FALSE)</f>
        <v>覚醒するにはユニットのレベルを_x000D_最大まで上げる必要があります</v>
      </c>
      <c r="M69" s="57" t="s">
        <v>211</v>
      </c>
    </row>
    <row r="70" spans="1:13" x14ac:dyDescent="0.15">
      <c r="A70" s="81" t="s">
        <v>201</v>
      </c>
      <c r="B70" s="82">
        <f>floors!$C$2</f>
        <v>20015</v>
      </c>
      <c r="C70" s="83" t="str">
        <f ca="1">VLOOKUP($B70,OFFSET([2]quests!$A$1,0,0,COUNTA([2]quests!$A:$A),MATCH(C$1,[2]quests!$1:$1,0)-MATCH($B$1,[2]quests!$1:$1,0)+1),MATCH(C$1,[2]quests!$1:$1,0)-MATCH($B$1,[2]quests!$1:$1,0)+1,FALSE)</f>
        <v>妄執とり憑く美貌の妃</v>
      </c>
      <c r="D70" s="83" t="str">
        <f ca="1">VLOOKUP($B70,OFFSET([2]quests!$A$1,0,0,COUNTA([2]quests!$A:$A),MATCH(D$1,[2]quests!$1:$1,0)-MATCH($B$1,[2]quests!$1:$1,0)+1),MATCH(D$1,[2]quests!$1:$1,0)-MATCH($B$1,[2]quests!$1:$1,0)+1,FALSE)</f>
        <v>おとぎ話シリーズ3</v>
      </c>
      <c r="E70" s="87">
        <v>3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おとぎ話シリーズ3</v>
      </c>
      <c r="H70" s="85">
        <v>0</v>
      </c>
      <c r="I70" s="97">
        <v>15</v>
      </c>
      <c r="J70" s="84" t="s">
        <v>198</v>
      </c>
      <c r="K70" s="93" t="str">
        <f>VLOOKUP(I70,[7]stage_hints!$A:$C,3,FALSE)</f>
        <v>覚醒素材を獲得</v>
      </c>
      <c r="L70" s="94" t="str">
        <f>VLOOKUP(I70,[7]stage_hints!$A:$D,4,FALSE)</f>
        <v>「曜日クエスト」では_x000D_ユニットの覚醒に必要な素材が手に入ります</v>
      </c>
      <c r="M70" s="57" t="s">
        <v>211</v>
      </c>
    </row>
    <row r="71" spans="1:13" x14ac:dyDescent="0.15">
      <c r="A71" s="81" t="s">
        <v>201</v>
      </c>
      <c r="B71" s="82">
        <f>floors!$C$2</f>
        <v>20015</v>
      </c>
      <c r="C71" s="83" t="str">
        <f ca="1">VLOOKUP($B71,OFFSET([2]quests!$A$1,0,0,COUNTA([2]quests!$A:$A),MATCH(C$1,[2]quests!$1:$1,0)-MATCH($B$1,[2]quests!$1:$1,0)+1),MATCH(C$1,[2]quests!$1:$1,0)-MATCH($B$1,[2]quests!$1:$1,0)+1,FALSE)</f>
        <v>妄執とり憑く美貌の妃</v>
      </c>
      <c r="D71" s="83" t="str">
        <f ca="1">VLOOKUP($B71,OFFSET([2]quests!$A$1,0,0,COUNTA([2]quests!$A:$A),MATCH(D$1,[2]quests!$1:$1,0)-MATCH($B$1,[2]quests!$1:$1,0)+1),MATCH(D$1,[2]quests!$1:$1,0)-MATCH($B$1,[2]quests!$1:$1,0)+1,FALSE)</f>
        <v>おとぎ話シリーズ3</v>
      </c>
      <c r="E71" s="87">
        <v>3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おとぎ話シリーズ3</v>
      </c>
      <c r="H71" s="85">
        <v>0</v>
      </c>
      <c r="I71" s="97">
        <v>16</v>
      </c>
      <c r="J71" s="84" t="s">
        <v>198</v>
      </c>
      <c r="K71" s="93" t="str">
        <f>VLOOKUP(I71,[7]stage_hints!$A:$C,3,FALSE)</f>
        <v>マルチプレイのメリット（その1）</v>
      </c>
      <c r="L71" s="94" t="str">
        <f>VLOOKUP(I71,[7]stage_hints!$A:$D,4,FALSE)</f>
        <v>他のプレイヤーとマルチプレイで遊ぶと_x000D_ポリゴンがもらえます（100人まで）</v>
      </c>
      <c r="M71" s="57" t="s">
        <v>211</v>
      </c>
    </row>
    <row r="72" spans="1:13" x14ac:dyDescent="0.15">
      <c r="A72" s="81" t="s">
        <v>201</v>
      </c>
      <c r="B72" s="82">
        <f>floors!$C$2</f>
        <v>20015</v>
      </c>
      <c r="C72" s="83" t="str">
        <f ca="1">VLOOKUP($B72,OFFSET([2]quests!$A$1,0,0,COUNTA([2]quests!$A:$A),MATCH(C$1,[2]quests!$1:$1,0)-MATCH($B$1,[2]quests!$1:$1,0)+1),MATCH(C$1,[2]quests!$1:$1,0)-MATCH($B$1,[2]quests!$1:$1,0)+1,FALSE)</f>
        <v>妄執とり憑く美貌の妃</v>
      </c>
      <c r="D72" s="83" t="str">
        <f ca="1">VLOOKUP($B72,OFFSET([2]quests!$A$1,0,0,COUNTA([2]quests!$A:$A),MATCH(D$1,[2]quests!$1:$1,0)-MATCH($B$1,[2]quests!$1:$1,0)+1),MATCH(D$1,[2]quests!$1:$1,0)-MATCH($B$1,[2]quests!$1:$1,0)+1,FALSE)</f>
        <v>おとぎ話シリーズ3</v>
      </c>
      <c r="E72" s="87">
        <v>3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おとぎ話シリーズ3</v>
      </c>
      <c r="H72" s="85">
        <v>0</v>
      </c>
      <c r="I72" s="97">
        <v>17</v>
      </c>
      <c r="J72" s="84" t="s">
        <v>198</v>
      </c>
      <c r="K72" s="93" t="str">
        <f>VLOOKUP(I72,[7]stage_hints!$A:$C,3,FALSE)</f>
        <v>リンクガチャ</v>
      </c>
      <c r="L72" s="94" t="str">
        <f>VLOOKUP(I72,[7]stage_hints!$A:$D,4,FALSE)</f>
        <v>無料のリンクガチャを回して_x000D_経験値素材や売却素材を獲得しましょう</v>
      </c>
      <c r="M72" s="57" t="s">
        <v>211</v>
      </c>
    </row>
    <row r="73" spans="1:13" x14ac:dyDescent="0.15">
      <c r="A73" s="81" t="s">
        <v>201</v>
      </c>
      <c r="B73" s="82">
        <f>floors!$C$2</f>
        <v>20015</v>
      </c>
      <c r="C73" s="83" t="str">
        <f ca="1">VLOOKUP($B73,OFFSET([2]quests!$A$1,0,0,COUNTA([2]quests!$A:$A),MATCH(C$1,[2]quests!$1:$1,0)-MATCH($B$1,[2]quests!$1:$1,0)+1),MATCH(C$1,[2]quests!$1:$1,0)-MATCH($B$1,[2]quests!$1:$1,0)+1,FALSE)</f>
        <v>妄執とり憑く美貌の妃</v>
      </c>
      <c r="D73" s="83" t="str">
        <f ca="1">VLOOKUP($B73,OFFSET([2]quests!$A$1,0,0,COUNTA([2]quests!$A:$A),MATCH(D$1,[2]quests!$1:$1,0)-MATCH($B$1,[2]quests!$1:$1,0)+1),MATCH(D$1,[2]quests!$1:$1,0)-MATCH($B$1,[2]quests!$1:$1,0)+1,FALSE)</f>
        <v>おとぎ話シリーズ3</v>
      </c>
      <c r="E73" s="87">
        <v>3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おとぎ話シリーズ3</v>
      </c>
      <c r="H73" s="85">
        <v>0</v>
      </c>
      <c r="I73" s="97">
        <v>18</v>
      </c>
      <c r="J73" s="84" t="s">
        <v>198</v>
      </c>
      <c r="K73" s="93" t="str">
        <f>VLOOKUP(I73,[7]stage_hints!$A:$C,3,FALSE)</f>
        <v>マルチプレイのメリット（その2）</v>
      </c>
      <c r="L73" s="94" t="str">
        <f>VLOOKUP(I73,[7]stage_hints!$A:$D,4,FALSE)</f>
        <v>マルチプレイならリンクが2倍もらえます_x000D_リンクガチャをたくさん回しましょう</v>
      </c>
      <c r="M73" s="57" t="s">
        <v>211</v>
      </c>
    </row>
    <row r="74" spans="1:13" x14ac:dyDescent="0.15">
      <c r="A74" s="81" t="s">
        <v>201</v>
      </c>
      <c r="B74" s="82">
        <f>floors!$C$2</f>
        <v>20015</v>
      </c>
      <c r="C74" s="83" t="str">
        <f ca="1">VLOOKUP($B74,OFFSET([2]quests!$A$1,0,0,COUNTA([2]quests!$A:$A),MATCH(C$1,[2]quests!$1:$1,0)-MATCH($B$1,[2]quests!$1:$1,0)+1),MATCH(C$1,[2]quests!$1:$1,0)-MATCH($B$1,[2]quests!$1:$1,0)+1,FALSE)</f>
        <v>妄執とり憑く美貌の妃</v>
      </c>
      <c r="D74" s="83" t="str">
        <f ca="1">VLOOKUP($B74,OFFSET([2]quests!$A$1,0,0,COUNTA([2]quests!$A:$A),MATCH(D$1,[2]quests!$1:$1,0)-MATCH($B$1,[2]quests!$1:$1,0)+1),MATCH(D$1,[2]quests!$1:$1,0)-MATCH($B$1,[2]quests!$1:$1,0)+1,FALSE)</f>
        <v>おとぎ話シリーズ3</v>
      </c>
      <c r="E74" s="87">
        <v>3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おとぎ話シリーズ3</v>
      </c>
      <c r="H74" s="85">
        <v>0</v>
      </c>
      <c r="I74" s="97">
        <v>19</v>
      </c>
      <c r="J74" s="84" t="s">
        <v>198</v>
      </c>
      <c r="K74" s="93" t="str">
        <f>VLOOKUP(I74,[7]stage_hints!$A:$C,3,FALSE)</f>
        <v>ソロ専用タワーオブザクイーン</v>
      </c>
      <c r="L74" s="94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211</v>
      </c>
    </row>
    <row r="75" spans="1:13" x14ac:dyDescent="0.15">
      <c r="A75" s="81" t="s">
        <v>201</v>
      </c>
      <c r="B75" s="82">
        <f>floors!$C$2</f>
        <v>20015</v>
      </c>
      <c r="C75" s="83" t="str">
        <f ca="1">VLOOKUP($B75,OFFSET([2]quests!$A$1,0,0,COUNTA([2]quests!$A:$A),MATCH(C$1,[2]quests!$1:$1,0)-MATCH($B$1,[2]quests!$1:$1,0)+1),MATCH(C$1,[2]quests!$1:$1,0)-MATCH($B$1,[2]quests!$1:$1,0)+1,FALSE)</f>
        <v>妄執とり憑く美貌の妃</v>
      </c>
      <c r="D75" s="83" t="str">
        <f ca="1">VLOOKUP($B75,OFFSET([2]quests!$A$1,0,0,COUNTA([2]quests!$A:$A),MATCH(D$1,[2]quests!$1:$1,0)-MATCH($B$1,[2]quests!$1:$1,0)+1),MATCH(D$1,[2]quests!$1:$1,0)-MATCH($B$1,[2]quests!$1:$1,0)+1,FALSE)</f>
        <v>おとぎ話シリーズ3</v>
      </c>
      <c r="E75" s="87">
        <v>3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おとぎ話シリーズ3</v>
      </c>
      <c r="H75" s="85">
        <v>0</v>
      </c>
      <c r="I75" s="97">
        <v>20</v>
      </c>
      <c r="J75" s="84" t="s">
        <v>198</v>
      </c>
      <c r="K75" s="93" t="str">
        <f>VLOOKUP(I75,[7]stage_hints!$A:$C,3,FALSE)</f>
        <v>マルチプレイのメリット（その3）</v>
      </c>
      <c r="L75" s="94" t="str">
        <f>VLOOKUP(I75,[7]stage_hints!$A:$D,4,FALSE)</f>
        <v>マルチプレイへの参加はエナジー消費ゼロ_x000D_いつでも好きなだけ遊ぶことができます</v>
      </c>
      <c r="M75" s="57" t="s">
        <v>211</v>
      </c>
    </row>
    <row r="76" spans="1:13" x14ac:dyDescent="0.15">
      <c r="A76" s="81" t="s">
        <v>201</v>
      </c>
      <c r="B76" s="82">
        <f>floors!$C$2</f>
        <v>20015</v>
      </c>
      <c r="C76" s="83" t="str">
        <f ca="1">VLOOKUP($B76,OFFSET([2]quests!$A$1,0,0,COUNTA([2]quests!$A:$A),MATCH(C$1,[2]quests!$1:$1,0)-MATCH($B$1,[2]quests!$1:$1,0)+1),MATCH(C$1,[2]quests!$1:$1,0)-MATCH($B$1,[2]quests!$1:$1,0)+1,FALSE)</f>
        <v>妄執とり憑く美貌の妃</v>
      </c>
      <c r="D76" s="83" t="str">
        <f ca="1">VLOOKUP($B76,OFFSET([2]quests!$A$1,0,0,COUNTA([2]quests!$A:$A),MATCH(D$1,[2]quests!$1:$1,0)-MATCH($B$1,[2]quests!$1:$1,0)+1),MATCH(D$1,[2]quests!$1:$1,0)-MATCH($B$1,[2]quests!$1:$1,0)+1,FALSE)</f>
        <v>おとぎ話シリーズ3</v>
      </c>
      <c r="E76" s="87">
        <v>3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おとぎ話シリーズ3</v>
      </c>
      <c r="H76" s="85">
        <v>0</v>
      </c>
      <c r="I76" s="97">
        <v>21</v>
      </c>
      <c r="J76" s="84" t="s">
        <v>198</v>
      </c>
      <c r="K76" s="93" t="str">
        <f>VLOOKUP(I76,[7]stage_hints!$A:$C,3,FALSE)</f>
        <v>スキルを有効に</v>
      </c>
      <c r="L76" s="94" t="str">
        <f>VLOOKUP(I76,[7]stage_hints!$A:$D,4,FALSE)</f>
        <v>ターン経過でユニットのスキルが使えます_x000D_強力スキルでバトルを有利に進めましょう</v>
      </c>
      <c r="M76" s="57" t="s">
        <v>211</v>
      </c>
    </row>
    <row r="77" spans="1:13" x14ac:dyDescent="0.15">
      <c r="A77" s="81" t="s">
        <v>201</v>
      </c>
      <c r="B77" s="82">
        <f>floors!$C$2</f>
        <v>20015</v>
      </c>
      <c r="C77" s="83" t="str">
        <f ca="1">VLOOKUP($B77,OFFSET([2]quests!$A$1,0,0,COUNTA([2]quests!$A:$A),MATCH(C$1,[2]quests!$1:$1,0)-MATCH($B$1,[2]quests!$1:$1,0)+1),MATCH(C$1,[2]quests!$1:$1,0)-MATCH($B$1,[2]quests!$1:$1,0)+1,FALSE)</f>
        <v>妄執とり憑く美貌の妃</v>
      </c>
      <c r="D77" s="83" t="str">
        <f ca="1">VLOOKUP($B77,OFFSET([2]quests!$A$1,0,0,COUNTA([2]quests!$A:$A),MATCH(D$1,[2]quests!$1:$1,0)-MATCH($B$1,[2]quests!$1:$1,0)+1),MATCH(D$1,[2]quests!$1:$1,0)-MATCH($B$1,[2]quests!$1:$1,0)+1,FALSE)</f>
        <v>おとぎ話シリーズ3</v>
      </c>
      <c r="E77" s="87">
        <v>3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おとぎ話シリーズ3</v>
      </c>
      <c r="H77" s="85">
        <v>0</v>
      </c>
      <c r="I77" s="97">
        <v>22</v>
      </c>
      <c r="J77" s="84" t="s">
        <v>198</v>
      </c>
      <c r="K77" s="93" t="str">
        <f>VLOOKUP(I77,[7]stage_hints!$A:$C,3,FALSE)</f>
        <v>フィーバーで一発逆転（その1）</v>
      </c>
      <c r="L77" s="94" t="str">
        <f>VLOOKUP(I77,[7]stage_hints!$A:$D,4,FALSE)</f>
        <v>フィーバーは攻撃と回復を兼ね備えます_x000D_ピンチからの一発逆転を狙いましょう</v>
      </c>
      <c r="M77" s="57" t="s">
        <v>211</v>
      </c>
    </row>
    <row r="78" spans="1:13" x14ac:dyDescent="0.15">
      <c r="A78" s="81" t="s">
        <v>201</v>
      </c>
      <c r="B78" s="82">
        <f>floors!$C$2</f>
        <v>20015</v>
      </c>
      <c r="C78" s="83" t="str">
        <f ca="1">VLOOKUP($B78,OFFSET([2]quests!$A$1,0,0,COUNTA([2]quests!$A:$A),MATCH(C$1,[2]quests!$1:$1,0)-MATCH($B$1,[2]quests!$1:$1,0)+1),MATCH(C$1,[2]quests!$1:$1,0)-MATCH($B$1,[2]quests!$1:$1,0)+1,FALSE)</f>
        <v>妄執とり憑く美貌の妃</v>
      </c>
      <c r="D78" s="83" t="str">
        <f ca="1">VLOOKUP($B78,OFFSET([2]quests!$A$1,0,0,COUNTA([2]quests!$A:$A),MATCH(D$1,[2]quests!$1:$1,0)-MATCH($B$1,[2]quests!$1:$1,0)+1),MATCH(D$1,[2]quests!$1:$1,0)-MATCH($B$1,[2]quests!$1:$1,0)+1,FALSE)</f>
        <v>おとぎ話シリーズ3</v>
      </c>
      <c r="E78" s="87">
        <v>3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おとぎ話シリーズ3</v>
      </c>
      <c r="H78" s="85">
        <v>0</v>
      </c>
      <c r="I78" s="97">
        <v>23</v>
      </c>
      <c r="J78" s="84" t="s">
        <v>198</v>
      </c>
      <c r="K78" s="93" t="str">
        <f>VLOOKUP(I78,[7]stage_hints!$A:$C,3,FALSE)</f>
        <v>フィーバーで一発逆転（その2）</v>
      </c>
      <c r="L78" s="94" t="str">
        <f>VLOOKUP(I78,[7]stage_hints!$A:$D,4,FALSE)</f>
        <v>フィーバー中は虹色のボムパネルを狙って_x000D_画面上のパネルを一気に破壊しましょう</v>
      </c>
      <c r="M78" s="57" t="s">
        <v>211</v>
      </c>
    </row>
    <row r="79" spans="1:13" x14ac:dyDescent="0.15">
      <c r="A79" s="81" t="s">
        <v>201</v>
      </c>
      <c r="B79" s="82">
        <f>floors!$C$2</f>
        <v>20015</v>
      </c>
      <c r="C79" s="83" t="str">
        <f ca="1">VLOOKUP($B79,OFFSET([2]quests!$A$1,0,0,COUNTA([2]quests!$A:$A),MATCH(C$1,[2]quests!$1:$1,0)-MATCH($B$1,[2]quests!$1:$1,0)+1),MATCH(C$1,[2]quests!$1:$1,0)-MATCH($B$1,[2]quests!$1:$1,0)+1,FALSE)</f>
        <v>妄執とり憑く美貌の妃</v>
      </c>
      <c r="D79" s="83" t="str">
        <f ca="1">VLOOKUP($B79,OFFSET([2]quests!$A$1,0,0,COUNTA([2]quests!$A:$A),MATCH(D$1,[2]quests!$1:$1,0)-MATCH($B$1,[2]quests!$1:$1,0)+1),MATCH(D$1,[2]quests!$1:$1,0)-MATCH($B$1,[2]quests!$1:$1,0)+1,FALSE)</f>
        <v>おとぎ話シリーズ3</v>
      </c>
      <c r="E79" s="87">
        <v>3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おとぎ話シリーズ3</v>
      </c>
      <c r="H79" s="85">
        <v>0</v>
      </c>
      <c r="I79" s="97">
        <v>24</v>
      </c>
      <c r="J79" s="84" t="s">
        <v>198</v>
      </c>
      <c r="K79" s="93" t="str">
        <f>VLOOKUP(I79,[7]stage_hints!$A:$C,3,FALSE)</f>
        <v>果実を使って限界突破</v>
      </c>
      <c r="L79" s="94" t="str">
        <f>VLOOKUP(I79,[7]stage_hints!$A:$D,4,FALSE)</f>
        <v>攻めの果実 癒しの果実_x000D_生命の果実をユニット強化に使うと_x000D_ステータスが限界突破します（計99個迄）</v>
      </c>
      <c r="M79" s="57" t="s">
        <v>211</v>
      </c>
    </row>
    <row r="80" spans="1:13" x14ac:dyDescent="0.15">
      <c r="A80" s="81" t="s">
        <v>201</v>
      </c>
      <c r="B80" s="82">
        <f>floors!$C$2</f>
        <v>20015</v>
      </c>
      <c r="C80" s="83" t="str">
        <f ca="1">VLOOKUP($B80,OFFSET([2]quests!$A$1,0,0,COUNTA([2]quests!$A:$A),MATCH(C$1,[2]quests!$1:$1,0)-MATCH($B$1,[2]quests!$1:$1,0)+1),MATCH(C$1,[2]quests!$1:$1,0)-MATCH($B$1,[2]quests!$1:$1,0)+1,FALSE)</f>
        <v>妄執とり憑く美貌の妃</v>
      </c>
      <c r="D80" s="83" t="str">
        <f ca="1">VLOOKUP($B80,OFFSET([2]quests!$A$1,0,0,COUNTA([2]quests!$A:$A),MATCH(D$1,[2]quests!$1:$1,0)-MATCH($B$1,[2]quests!$1:$1,0)+1),MATCH(D$1,[2]quests!$1:$1,0)-MATCH($B$1,[2]quests!$1:$1,0)+1,FALSE)</f>
        <v>おとぎ話シリーズ3</v>
      </c>
      <c r="E80" s="87">
        <v>3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おとぎ話シリーズ3</v>
      </c>
      <c r="H80" s="85">
        <v>0</v>
      </c>
      <c r="I80" s="97">
        <v>25</v>
      </c>
      <c r="J80" s="84" t="s">
        <v>198</v>
      </c>
      <c r="K80" s="93" t="str">
        <f>VLOOKUP(I80,[7]stage_hints!$A:$C,3,FALSE)</f>
        <v>スキルレベルアップ</v>
      </c>
      <c r="L80" s="94" t="str">
        <f>VLOOKUP(I80,[7]stage_hints!$A:$D,4,FALSE)</f>
        <v>「秘術の果実」を強化に使うと_x000D_スキルレベルを上げることができます</v>
      </c>
      <c r="M80" s="57" t="s">
        <v>211</v>
      </c>
    </row>
    <row r="81" spans="1:13" x14ac:dyDescent="0.15">
      <c r="A81" s="81" t="s">
        <v>201</v>
      </c>
      <c r="B81" s="82">
        <f>floors!$C$2</f>
        <v>20015</v>
      </c>
      <c r="C81" s="83" t="str">
        <f ca="1">VLOOKUP($B81,OFFSET([2]quests!$A$1,0,0,COUNTA([2]quests!$A:$A),MATCH(C$1,[2]quests!$1:$1,0)-MATCH($B$1,[2]quests!$1:$1,0)+1),MATCH(C$1,[2]quests!$1:$1,0)-MATCH($B$1,[2]quests!$1:$1,0)+1,FALSE)</f>
        <v>妄執とり憑く美貌の妃</v>
      </c>
      <c r="D81" s="83" t="str">
        <f ca="1">VLOOKUP($B81,OFFSET([2]quests!$A$1,0,0,COUNTA([2]quests!$A:$A),MATCH(D$1,[2]quests!$1:$1,0)-MATCH($B$1,[2]quests!$1:$1,0)+1),MATCH(D$1,[2]quests!$1:$1,0)-MATCH($B$1,[2]quests!$1:$1,0)+1,FALSE)</f>
        <v>おとぎ話シリーズ3</v>
      </c>
      <c r="E81" s="87">
        <v>3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おとぎ話シリーズ3</v>
      </c>
      <c r="H81" s="85">
        <v>0</v>
      </c>
      <c r="I81" s="97">
        <v>26</v>
      </c>
      <c r="J81" s="84" t="s">
        <v>198</v>
      </c>
      <c r="K81" s="93" t="str">
        <f>VLOOKUP(I81,[7]stage_hints!$A:$C,3,FALSE)</f>
        <v>スキルレベルの効果</v>
      </c>
      <c r="L81" s="94" t="str">
        <f>VLOOKUP(I81,[7]stage_hints!$A:$D,4,FALSE)</f>
        <v>スキルレベルが上がると_x000D_短いターンでスキルを使うことができます</v>
      </c>
      <c r="M81" s="57" t="s">
        <v>211</v>
      </c>
    </row>
    <row r="82" spans="1:13" x14ac:dyDescent="0.15">
      <c r="A82" s="81" t="s">
        <v>201</v>
      </c>
      <c r="B82" s="82">
        <f>floors!$C$2</f>
        <v>20015</v>
      </c>
      <c r="C82" s="83" t="str">
        <f ca="1">VLOOKUP($B82,OFFSET([2]quests!$A$1,0,0,COUNTA([2]quests!$A:$A),MATCH(C$1,[2]quests!$1:$1,0)-MATCH($B$1,[2]quests!$1:$1,0)+1),MATCH(C$1,[2]quests!$1:$1,0)-MATCH($B$1,[2]quests!$1:$1,0)+1,FALSE)</f>
        <v>妄執とり憑く美貌の妃</v>
      </c>
      <c r="D82" s="83" t="str">
        <f ca="1">VLOOKUP($B82,OFFSET([2]quests!$A$1,0,0,COUNTA([2]quests!$A:$A),MATCH(D$1,[2]quests!$1:$1,0)-MATCH($B$1,[2]quests!$1:$1,0)+1),MATCH(D$1,[2]quests!$1:$1,0)-MATCH($B$1,[2]quests!$1:$1,0)+1,FALSE)</f>
        <v>おとぎ話シリーズ3</v>
      </c>
      <c r="E82" s="87">
        <v>3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おとぎ話シリーズ3</v>
      </c>
      <c r="H82" s="85">
        <v>0</v>
      </c>
      <c r="I82" s="97">
        <v>27</v>
      </c>
      <c r="J82" s="84" t="s">
        <v>198</v>
      </c>
      <c r="K82" s="93" t="str">
        <f>VLOOKUP(I82,[7]stage_hints!$A:$C,3,FALSE)</f>
        <v>ホーム画面からデッキを編成</v>
      </c>
      <c r="L82" s="94" t="str">
        <f>VLOOKUP(I82,[7]stage_hints!$A:$D,4,FALSE)</f>
        <v>ホーム画面でユニットを長押しすると_x000D_すぐにパーティ編成に移動できます</v>
      </c>
      <c r="M82" s="57" t="s">
        <v>211</v>
      </c>
    </row>
    <row r="83" spans="1:13" x14ac:dyDescent="0.15">
      <c r="A83" s="81" t="s">
        <v>201</v>
      </c>
      <c r="B83" s="82">
        <f>floors!$C$2</f>
        <v>20015</v>
      </c>
      <c r="C83" s="83" t="str">
        <f ca="1">VLOOKUP($B83,OFFSET([2]quests!$A$1,0,0,COUNTA([2]quests!$A:$A),MATCH(C$1,[2]quests!$1:$1,0)-MATCH($B$1,[2]quests!$1:$1,0)+1),MATCH(C$1,[2]quests!$1:$1,0)-MATCH($B$1,[2]quests!$1:$1,0)+1,FALSE)</f>
        <v>妄執とり憑く美貌の妃</v>
      </c>
      <c r="D83" s="83" t="str">
        <f ca="1">VLOOKUP($B83,OFFSET([2]quests!$A$1,0,0,COUNTA([2]quests!$A:$A),MATCH(D$1,[2]quests!$1:$1,0)-MATCH($B$1,[2]quests!$1:$1,0)+1),MATCH(D$1,[2]quests!$1:$1,0)-MATCH($B$1,[2]quests!$1:$1,0)+1,FALSE)</f>
        <v>おとぎ話シリーズ3</v>
      </c>
      <c r="E83" s="87">
        <v>3</v>
      </c>
      <c r="F83" s="83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3" s="83" t="str">
        <f ca="1">VLOOKUP($B83&amp;"_"&amp;$E83,OFFSET([2]stages!$A$1,0,0,COUNTA([2]stages!$A:$A),MATCH(G$1,[2]stages!$2:$2,0)-MATCH("temp_stage",[2]stages!$2:$2,0)+1),MATCH(G$1,[2]stages!$2:$2,0)-MATCH("temp_stage",[2]stages!$2:$2,0)+1,FALSE)</f>
        <v>おとぎ話シリーズ3</v>
      </c>
      <c r="H83" s="85">
        <v>0</v>
      </c>
      <c r="I83" s="97">
        <v>28</v>
      </c>
      <c r="J83" s="84" t="s">
        <v>198</v>
      </c>
      <c r="K83" s="93" t="str">
        <f>VLOOKUP(I83,[7]stage_hints!$A:$C,3,FALSE)</f>
        <v>ステータス情報は長押しで</v>
      </c>
      <c r="L83" s="94" t="str">
        <f>VLOOKUP(I83,[7]stage_hints!$A:$D,4,FALSE)</f>
        <v>ユニットのアイコンを長押しすると_x000D_ステータス情報を確認することができます</v>
      </c>
      <c r="M83" s="57" t="s">
        <v>211</v>
      </c>
    </row>
    <row r="84" spans="1:13" x14ac:dyDescent="0.15">
      <c r="A84" s="81" t="s">
        <v>201</v>
      </c>
      <c r="B84" s="82">
        <f>floors!$C$2</f>
        <v>20015</v>
      </c>
      <c r="C84" s="83" t="str">
        <f ca="1">VLOOKUP($B84,OFFSET([2]quests!$A$1,0,0,COUNTA([2]quests!$A:$A),MATCH(C$1,[2]quests!$1:$1,0)-MATCH($B$1,[2]quests!$1:$1,0)+1),MATCH(C$1,[2]quests!$1:$1,0)-MATCH($B$1,[2]quests!$1:$1,0)+1,FALSE)</f>
        <v>妄執とり憑く美貌の妃</v>
      </c>
      <c r="D84" s="83" t="str">
        <f ca="1">VLOOKUP($B84,OFFSET([2]quests!$A$1,0,0,COUNTA([2]quests!$A:$A),MATCH(D$1,[2]quests!$1:$1,0)-MATCH($B$1,[2]quests!$1:$1,0)+1),MATCH(D$1,[2]quests!$1:$1,0)-MATCH($B$1,[2]quests!$1:$1,0)+1,FALSE)</f>
        <v>おとぎ話シリーズ3</v>
      </c>
      <c r="E84" s="87">
        <v>3</v>
      </c>
      <c r="F84" s="83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4" s="83" t="str">
        <f ca="1">VLOOKUP($B84&amp;"_"&amp;$E84,OFFSET([2]stages!$A$1,0,0,COUNTA([2]stages!$A:$A),MATCH(G$1,[2]stages!$2:$2,0)-MATCH("temp_stage",[2]stages!$2:$2,0)+1),MATCH(G$1,[2]stages!$2:$2,0)-MATCH("temp_stage",[2]stages!$2:$2,0)+1,FALSE)</f>
        <v>おとぎ話シリーズ3</v>
      </c>
      <c r="H84" s="85">
        <v>0</v>
      </c>
      <c r="I84" s="97">
        <v>29</v>
      </c>
      <c r="J84" s="84" t="s">
        <v>198</v>
      </c>
      <c r="K84" s="93" t="str">
        <f>VLOOKUP(I84,[7]stage_hints!$A:$C,3,FALSE)</f>
        <v>「バグ」のメリット</v>
      </c>
      <c r="L84" s="94" t="str">
        <f>VLOOKUP(I84,[7]stage_hints!$A:$D,4,FALSE)</f>
        <v>ユニットの「バグ」を増やすと_x000D_報酬をもらえる確率がアップします</v>
      </c>
      <c r="M84" s="57" t="s">
        <v>211</v>
      </c>
    </row>
    <row r="85" spans="1:13" x14ac:dyDescent="0.15">
      <c r="A85" s="81" t="s">
        <v>201</v>
      </c>
      <c r="B85" s="82">
        <f>floors!$C$2</f>
        <v>20015</v>
      </c>
      <c r="C85" s="83" t="str">
        <f ca="1">VLOOKUP($B85,OFFSET([2]quests!$A$1,0,0,COUNTA([2]quests!$A:$A),MATCH(C$1,[2]quests!$1:$1,0)-MATCH($B$1,[2]quests!$1:$1,0)+1),MATCH(C$1,[2]quests!$1:$1,0)-MATCH($B$1,[2]quests!$1:$1,0)+1,FALSE)</f>
        <v>妄執とり憑く美貌の妃</v>
      </c>
      <c r="D85" s="83" t="str">
        <f ca="1">VLOOKUP($B85,OFFSET([2]quests!$A$1,0,0,COUNTA([2]quests!$A:$A),MATCH(D$1,[2]quests!$1:$1,0)-MATCH($B$1,[2]quests!$1:$1,0)+1),MATCH(D$1,[2]quests!$1:$1,0)-MATCH($B$1,[2]quests!$1:$1,0)+1,FALSE)</f>
        <v>おとぎ話シリーズ3</v>
      </c>
      <c r="E85" s="87">
        <v>3</v>
      </c>
      <c r="F85" s="83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5" s="83" t="str">
        <f ca="1">VLOOKUP($B85&amp;"_"&amp;$E85,OFFSET([2]stages!$A$1,0,0,COUNTA([2]stages!$A:$A),MATCH(G$1,[2]stages!$2:$2,0)-MATCH("temp_stage",[2]stages!$2:$2,0)+1),MATCH(G$1,[2]stages!$2:$2,0)-MATCH("temp_stage",[2]stages!$2:$2,0)+1,FALSE)</f>
        <v>おとぎ話シリーズ3</v>
      </c>
      <c r="H85" s="85">
        <v>0</v>
      </c>
      <c r="I85" s="97">
        <v>30</v>
      </c>
      <c r="J85" s="84" t="s">
        <v>198</v>
      </c>
      <c r="K85" s="93" t="str">
        <f>VLOOKUP(I85,[7]stage_hints!$A:$C,3,FALSE)</f>
        <v>「バグ」の増やし方</v>
      </c>
      <c r="L85" s="94" t="str">
        <f>VLOOKUP(I85,[7]stage_hints!$A:$D,4,FALSE)</f>
        <v>同じユニット同士を強化で合成すると_x000D_「バグ」を増やすことができます</v>
      </c>
      <c r="M85" s="57" t="s">
        <v>211</v>
      </c>
    </row>
    <row r="86" spans="1:13" x14ac:dyDescent="0.15">
      <c r="A86" s="81" t="s">
        <v>201</v>
      </c>
      <c r="B86" s="82">
        <f>floors!$C$2</f>
        <v>20015</v>
      </c>
      <c r="C86" s="83" t="str">
        <f ca="1">VLOOKUP($B86,OFFSET([2]quests!$A$1,0,0,COUNTA([2]quests!$A:$A),MATCH(C$1,[2]quests!$1:$1,0)-MATCH($B$1,[2]quests!$1:$1,0)+1),MATCH(C$1,[2]quests!$1:$1,0)-MATCH($B$1,[2]quests!$1:$1,0)+1,FALSE)</f>
        <v>妄執とり憑く美貌の妃</v>
      </c>
      <c r="D86" s="83" t="str">
        <f ca="1">VLOOKUP($B86,OFFSET([2]quests!$A$1,0,0,COUNTA([2]quests!$A:$A),MATCH(D$1,[2]quests!$1:$1,0)-MATCH($B$1,[2]quests!$1:$1,0)+1),MATCH(D$1,[2]quests!$1:$1,0)-MATCH($B$1,[2]quests!$1:$1,0)+1,FALSE)</f>
        <v>おとぎ話シリーズ3</v>
      </c>
      <c r="E86" s="87">
        <v>3</v>
      </c>
      <c r="F86" s="83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6" s="83" t="str">
        <f ca="1">VLOOKUP($B86&amp;"_"&amp;$E86,OFFSET([2]stages!$A$1,0,0,COUNTA([2]stages!$A:$A),MATCH(G$1,[2]stages!$2:$2,0)-MATCH("temp_stage",[2]stages!$2:$2,0)+1),MATCH(G$1,[2]stages!$2:$2,0)-MATCH("temp_stage",[2]stages!$2:$2,0)+1,FALSE)</f>
        <v>おとぎ話シリーズ3</v>
      </c>
      <c r="H86" s="85">
        <v>0</v>
      </c>
      <c r="I86" s="97">
        <v>31</v>
      </c>
      <c r="J86" s="84" t="s">
        <v>198</v>
      </c>
      <c r="K86" s="93" t="str">
        <f>VLOOKUP(I86,[7]stage_hints!$A:$C,3,FALSE)</f>
        <v>イベントはお知らせでチェック</v>
      </c>
      <c r="L86" s="94" t="str">
        <f>VLOOKUP(I86,[7]stage_hints!$A:$D,4,FALSE)</f>
        <v>イベント限定ユニットを取り忘れないように_x000D_お知らせをこまめにチェックしましょう</v>
      </c>
      <c r="M86" s="57" t="s">
        <v>211</v>
      </c>
    </row>
    <row r="87" spans="1:13" x14ac:dyDescent="0.15">
      <c r="A87" s="81" t="s">
        <v>201</v>
      </c>
      <c r="B87" s="82">
        <f>floors!$C$2</f>
        <v>20015</v>
      </c>
      <c r="C87" s="83" t="str">
        <f ca="1">VLOOKUP($B87,OFFSET([2]quests!$A$1,0,0,COUNTA([2]quests!$A:$A),MATCH(C$1,[2]quests!$1:$1,0)-MATCH($B$1,[2]quests!$1:$1,0)+1),MATCH(C$1,[2]quests!$1:$1,0)-MATCH($B$1,[2]quests!$1:$1,0)+1,FALSE)</f>
        <v>妄執とり憑く美貌の妃</v>
      </c>
      <c r="D87" s="83" t="str">
        <f ca="1">VLOOKUP($B87,OFFSET([2]quests!$A$1,0,0,COUNTA([2]quests!$A:$A),MATCH(D$1,[2]quests!$1:$1,0)-MATCH($B$1,[2]quests!$1:$1,0)+1),MATCH(D$1,[2]quests!$1:$1,0)-MATCH($B$1,[2]quests!$1:$1,0)+1,FALSE)</f>
        <v>おとぎ話シリーズ3</v>
      </c>
      <c r="E87" s="87">
        <v>3</v>
      </c>
      <c r="F87" s="83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7" s="83" t="str">
        <f ca="1">VLOOKUP($B87&amp;"_"&amp;$E87,OFFSET([2]stages!$A$1,0,0,COUNTA([2]stages!$A:$A),MATCH(G$1,[2]stages!$2:$2,0)-MATCH("temp_stage",[2]stages!$2:$2,0)+1),MATCH(G$1,[2]stages!$2:$2,0)-MATCH("temp_stage",[2]stages!$2:$2,0)+1,FALSE)</f>
        <v>おとぎ話シリーズ3</v>
      </c>
      <c r="H87" s="85">
        <v>0</v>
      </c>
      <c r="I87" s="97">
        <v>32</v>
      </c>
      <c r="J87" s="84" t="s">
        <v>198</v>
      </c>
      <c r="K87" s="93" t="str">
        <f>VLOOKUP(I87,[7]stage_hints!$A:$C,3,FALSE)</f>
        <v>敵の連続攻撃には</v>
      </c>
      <c r="L87" s="94" t="str">
        <f>VLOOKUP(I87,[7]stage_hints!$A:$D,4,FALSE)</f>
        <v>カウンタースキルを持つユニットがいれば_x000D_ダメージ回数分の反撃ができます</v>
      </c>
      <c r="M87" s="57" t="s">
        <v>211</v>
      </c>
    </row>
    <row r="88" spans="1:13" x14ac:dyDescent="0.15">
      <c r="A88" s="81" t="s">
        <v>201</v>
      </c>
      <c r="B88" s="82">
        <f>floors!$C$2</f>
        <v>20015</v>
      </c>
      <c r="C88" s="83" t="str">
        <f ca="1">VLOOKUP($B88,OFFSET([2]quests!$A$1,0,0,COUNTA([2]quests!$A:$A),MATCH(C$1,[2]quests!$1:$1,0)-MATCH($B$1,[2]quests!$1:$1,0)+1),MATCH(C$1,[2]quests!$1:$1,0)-MATCH($B$1,[2]quests!$1:$1,0)+1,FALSE)</f>
        <v>妄執とり憑く美貌の妃</v>
      </c>
      <c r="D88" s="83" t="str">
        <f ca="1">VLOOKUP($B88,OFFSET([2]quests!$A$1,0,0,COUNTA([2]quests!$A:$A),MATCH(D$1,[2]quests!$1:$1,0)-MATCH($B$1,[2]quests!$1:$1,0)+1),MATCH(D$1,[2]quests!$1:$1,0)-MATCH($B$1,[2]quests!$1:$1,0)+1,FALSE)</f>
        <v>おとぎ話シリーズ3</v>
      </c>
      <c r="E88" s="87">
        <v>3</v>
      </c>
      <c r="F88" s="83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8" s="83" t="str">
        <f ca="1">VLOOKUP($B88&amp;"_"&amp;$E88,OFFSET([2]stages!$A$1,0,0,COUNTA([2]stages!$A:$A),MATCH(G$1,[2]stages!$2:$2,0)-MATCH("temp_stage",[2]stages!$2:$2,0)+1),MATCH(G$1,[2]stages!$2:$2,0)-MATCH("temp_stage",[2]stages!$2:$2,0)+1,FALSE)</f>
        <v>おとぎ話シリーズ3</v>
      </c>
      <c r="H88" s="85">
        <v>0</v>
      </c>
      <c r="I88" s="97">
        <v>33</v>
      </c>
      <c r="J88" s="84" t="s">
        <v>198</v>
      </c>
      <c r="K88" s="93" t="str">
        <f>VLOOKUP(I88,[7]stage_hints!$A:$C,3,FALSE)</f>
        <v>敵のカウンター攻撃には</v>
      </c>
      <c r="L88" s="94" t="str">
        <f>VLOOKUP(I88,[7]stage_hints!$A:$D,4,FALSE)</f>
        <v>カウンターブレイクスキルを持っていれば_x000D_敵のカウンターを解除して攻撃ができます</v>
      </c>
      <c r="M88" s="57" t="s">
        <v>211</v>
      </c>
    </row>
    <row r="89" spans="1:13" x14ac:dyDescent="0.15">
      <c r="A89" s="81" t="s">
        <v>201</v>
      </c>
      <c r="B89" s="82">
        <f>floors!$C$2</f>
        <v>20015</v>
      </c>
      <c r="C89" s="83" t="str">
        <f ca="1">VLOOKUP($B89,OFFSET([2]quests!$A$1,0,0,COUNTA([2]quests!$A:$A),MATCH(C$1,[2]quests!$1:$1,0)-MATCH($B$1,[2]quests!$1:$1,0)+1),MATCH(C$1,[2]quests!$1:$1,0)-MATCH($B$1,[2]quests!$1:$1,0)+1,FALSE)</f>
        <v>妄執とり憑く美貌の妃</v>
      </c>
      <c r="D89" s="83" t="str">
        <f ca="1">VLOOKUP($B89,OFFSET([2]quests!$A$1,0,0,COUNTA([2]quests!$A:$A),MATCH(D$1,[2]quests!$1:$1,0)-MATCH($B$1,[2]quests!$1:$1,0)+1),MATCH(D$1,[2]quests!$1:$1,0)-MATCH($B$1,[2]quests!$1:$1,0)+1,FALSE)</f>
        <v>おとぎ話シリーズ3</v>
      </c>
      <c r="E89" s="87">
        <v>3</v>
      </c>
      <c r="F89" s="83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89" s="83" t="str">
        <f ca="1">VLOOKUP($B89&amp;"_"&amp;$E89,OFFSET([2]stages!$A$1,0,0,COUNTA([2]stages!$A:$A),MATCH(G$1,[2]stages!$2:$2,0)-MATCH("temp_stage",[2]stages!$2:$2,0)+1),MATCH(G$1,[2]stages!$2:$2,0)-MATCH("temp_stage",[2]stages!$2:$2,0)+1,FALSE)</f>
        <v>おとぎ話シリーズ3</v>
      </c>
      <c r="H89" s="85">
        <v>0</v>
      </c>
      <c r="I89" s="97">
        <v>34</v>
      </c>
      <c r="J89" s="84" t="s">
        <v>198</v>
      </c>
      <c r="K89" s="93" t="str">
        <f>VLOOKUP(I89,[7]stage_hints!$A:$C,3,FALSE)</f>
        <v>ステータスをスキルで下げられたら</v>
      </c>
      <c r="L89" s="94" t="str">
        <f>VLOOKUP(I89,[7]stage_hints!$A:$D,4,FALSE)</f>
        <v>ステータスダウンのスキルを受けたら_x000D_ステータスアップスキルで上書きしましょう</v>
      </c>
      <c r="M89" s="57" t="s">
        <v>211</v>
      </c>
    </row>
    <row r="90" spans="1:13" x14ac:dyDescent="0.15">
      <c r="A90" s="81" t="s">
        <v>201</v>
      </c>
      <c r="B90" s="82">
        <f>floors!$C$2</f>
        <v>20015</v>
      </c>
      <c r="C90" s="83" t="str">
        <f ca="1">VLOOKUP($B90,OFFSET([2]quests!$A$1,0,0,COUNTA([2]quests!$A:$A),MATCH(C$1,[2]quests!$1:$1,0)-MATCH($B$1,[2]quests!$1:$1,0)+1),MATCH(C$1,[2]quests!$1:$1,0)-MATCH($B$1,[2]quests!$1:$1,0)+1,FALSE)</f>
        <v>妄執とり憑く美貌の妃</v>
      </c>
      <c r="D90" s="83" t="str">
        <f ca="1">VLOOKUP($B90,OFFSET([2]quests!$A$1,0,0,COUNTA([2]quests!$A:$A),MATCH(D$1,[2]quests!$1:$1,0)-MATCH($B$1,[2]quests!$1:$1,0)+1),MATCH(D$1,[2]quests!$1:$1,0)-MATCH($B$1,[2]quests!$1:$1,0)+1,FALSE)</f>
        <v>おとぎ話シリーズ3</v>
      </c>
      <c r="E90" s="87">
        <v>3</v>
      </c>
      <c r="F90" s="83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90" s="83" t="str">
        <f ca="1">VLOOKUP($B90&amp;"_"&amp;$E90,OFFSET([2]stages!$A$1,0,0,COUNTA([2]stages!$A:$A),MATCH(G$1,[2]stages!$2:$2,0)-MATCH("temp_stage",[2]stages!$2:$2,0)+1),MATCH(G$1,[2]stages!$2:$2,0)-MATCH("temp_stage",[2]stages!$2:$2,0)+1,FALSE)</f>
        <v>おとぎ話シリーズ3</v>
      </c>
      <c r="H90" s="85">
        <v>0</v>
      </c>
      <c r="I90" s="97">
        <v>35</v>
      </c>
      <c r="J90" s="84" t="s">
        <v>198</v>
      </c>
      <c r="K90" s="93" t="str">
        <f>VLOOKUP(I90,[7]stage_hints!$A:$C,3,FALSE)</f>
        <v>敵のステータスがスキルで上がったら</v>
      </c>
      <c r="L90" s="94" t="str">
        <f>VLOOKUP(I90,[7]stage_hints!$A:$D,4,FALSE)</f>
        <v>敵のステータスがスキルでアップしたときは_x000D_ステータスダウンスキルで上書きしましょう</v>
      </c>
      <c r="M90" s="57" t="s">
        <v>211</v>
      </c>
    </row>
    <row r="91" spans="1:13" x14ac:dyDescent="0.15">
      <c r="A91" s="81" t="s">
        <v>201</v>
      </c>
      <c r="B91" s="82">
        <f>floors!$C$2</f>
        <v>20015</v>
      </c>
      <c r="C91" s="83" t="str">
        <f ca="1">VLOOKUP($B91,OFFSET([2]quests!$A$1,0,0,COUNTA([2]quests!$A:$A),MATCH(C$1,[2]quests!$1:$1,0)-MATCH($B$1,[2]quests!$1:$1,0)+1),MATCH(C$1,[2]quests!$1:$1,0)-MATCH($B$1,[2]quests!$1:$1,0)+1,FALSE)</f>
        <v>妄執とり憑く美貌の妃</v>
      </c>
      <c r="D91" s="83" t="str">
        <f ca="1">VLOOKUP($B91,OFFSET([2]quests!$A$1,0,0,COUNTA([2]quests!$A:$A),MATCH(D$1,[2]quests!$1:$1,0)-MATCH($B$1,[2]quests!$1:$1,0)+1),MATCH(D$1,[2]quests!$1:$1,0)-MATCH($B$1,[2]quests!$1:$1,0)+1,FALSE)</f>
        <v>おとぎ話シリーズ3</v>
      </c>
      <c r="E91" s="87">
        <v>3</v>
      </c>
      <c r="F91" s="83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91" s="83" t="str">
        <f ca="1">VLOOKUP($B91&amp;"_"&amp;$E91,OFFSET([2]stages!$A$1,0,0,COUNTA([2]stages!$A:$A),MATCH(G$1,[2]stages!$2:$2,0)-MATCH("temp_stage",[2]stages!$2:$2,0)+1),MATCH(G$1,[2]stages!$2:$2,0)-MATCH("temp_stage",[2]stages!$2:$2,0)+1,FALSE)</f>
        <v>おとぎ話シリーズ3</v>
      </c>
      <c r="H91" s="85">
        <v>0</v>
      </c>
      <c r="I91" s="97">
        <v>36</v>
      </c>
      <c r="J91" s="84" t="s">
        <v>198</v>
      </c>
      <c r="K91" s="93" t="str">
        <f>VLOOKUP(I91,[7]stage_hints!$A:$C,3,FALSE)</f>
        <v>タワーオブザクイーンのボス</v>
      </c>
      <c r="L91" s="94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211</v>
      </c>
    </row>
    <row r="92" spans="1:13" x14ac:dyDescent="0.15">
      <c r="A92" s="81" t="s">
        <v>201</v>
      </c>
      <c r="B92" s="82">
        <f>floors!$C$2</f>
        <v>20015</v>
      </c>
      <c r="C92" s="83" t="str">
        <f ca="1">VLOOKUP($B92,OFFSET([2]quests!$A$1,0,0,COUNTA([2]quests!$A:$A),MATCH(C$1,[2]quests!$1:$1,0)-MATCH($B$1,[2]quests!$1:$1,0)+1),MATCH(C$1,[2]quests!$1:$1,0)-MATCH($B$1,[2]quests!$1:$1,0)+1,FALSE)</f>
        <v>妄執とり憑く美貌の妃</v>
      </c>
      <c r="D92" s="83" t="str">
        <f ca="1">VLOOKUP($B92,OFFSET([2]quests!$A$1,0,0,COUNTA([2]quests!$A:$A),MATCH(D$1,[2]quests!$1:$1,0)-MATCH($B$1,[2]quests!$1:$1,0)+1),MATCH(D$1,[2]quests!$1:$1,0)-MATCH($B$1,[2]quests!$1:$1,0)+1,FALSE)</f>
        <v>おとぎ話シリーズ3</v>
      </c>
      <c r="E92" s="87">
        <v>3</v>
      </c>
      <c r="F92" s="83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92" s="83" t="str">
        <f ca="1">VLOOKUP($B92&amp;"_"&amp;$E92,OFFSET([2]stages!$A$1,0,0,COUNTA([2]stages!$A:$A),MATCH(G$1,[2]stages!$2:$2,0)-MATCH("temp_stage",[2]stages!$2:$2,0)+1),MATCH(G$1,[2]stages!$2:$2,0)-MATCH("temp_stage",[2]stages!$2:$2,0)+1,FALSE)</f>
        <v>おとぎ話シリーズ3</v>
      </c>
      <c r="H92" s="85">
        <v>0</v>
      </c>
      <c r="I92" s="97">
        <v>37</v>
      </c>
      <c r="J92" s="84" t="s">
        <v>198</v>
      </c>
      <c r="K92" s="93" t="str">
        <f>VLOOKUP(I92,[7]stage_hints!$A:$C,3,FALSE)</f>
        <v>限界突破値の引き継ぎ</v>
      </c>
      <c r="L92" s="94" t="str">
        <f>VLOOKUP(I92,[7]stage_hints!$A:$D,4,FALSE)</f>
        <v>同じユニットを強化で合成すると_x000D_限界突破値を引き継げます（覚醒前後も可）</v>
      </c>
      <c r="M92" s="57" t="s">
        <v>211</v>
      </c>
    </row>
    <row r="93" spans="1:13" x14ac:dyDescent="0.15">
      <c r="A93" s="81" t="s">
        <v>201</v>
      </c>
      <c r="B93" s="82">
        <f>floors!$C$2</f>
        <v>20015</v>
      </c>
      <c r="C93" s="83" t="str">
        <f ca="1">VLOOKUP($B93,OFFSET([2]quests!$A$1,0,0,COUNTA([2]quests!$A:$A),MATCH(C$1,[2]quests!$1:$1,0)-MATCH($B$1,[2]quests!$1:$1,0)+1),MATCH(C$1,[2]quests!$1:$1,0)-MATCH($B$1,[2]quests!$1:$1,0)+1,FALSE)</f>
        <v>妄執とり憑く美貌の妃</v>
      </c>
      <c r="D93" s="83" t="str">
        <f ca="1">VLOOKUP($B93,OFFSET([2]quests!$A$1,0,0,COUNTA([2]quests!$A:$A),MATCH(D$1,[2]quests!$1:$1,0)-MATCH($B$1,[2]quests!$1:$1,0)+1),MATCH(D$1,[2]quests!$1:$1,0)-MATCH($B$1,[2]quests!$1:$1,0)+1,FALSE)</f>
        <v>おとぎ話シリーズ3</v>
      </c>
      <c r="E93" s="87">
        <v>3</v>
      </c>
      <c r="F93" s="83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93" s="83" t="str">
        <f ca="1">VLOOKUP($B93&amp;"_"&amp;$E93,OFFSET([2]stages!$A$1,0,0,COUNTA([2]stages!$A:$A),MATCH(G$1,[2]stages!$2:$2,0)-MATCH("temp_stage",[2]stages!$2:$2,0)+1),MATCH(G$1,[2]stages!$2:$2,0)-MATCH("temp_stage",[2]stages!$2:$2,0)+1,FALSE)</f>
        <v>おとぎ話シリーズ3</v>
      </c>
      <c r="H93" s="85">
        <v>0</v>
      </c>
      <c r="I93" s="131">
        <v>39</v>
      </c>
      <c r="J93" s="84" t="s">
        <v>198</v>
      </c>
      <c r="K93" s="93" t="str">
        <f>VLOOKUP(I93,[7]stage_hints!$A:$C,3,FALSE)</f>
        <v>システム適合者を確認</v>
      </c>
      <c r="L93" s="94" t="str">
        <f>VLOOKUP(I93,[7]stage_hints!$A:$D,4,FALSE)</f>
        <v>ALICEが 「アナタ」を呼んでいます</v>
      </c>
      <c r="M93" s="57" t="s">
        <v>211</v>
      </c>
    </row>
    <row r="94" spans="1:13" x14ac:dyDescent="0.15">
      <c r="A94" s="124"/>
      <c r="B94" s="125"/>
      <c r="C94" s="126"/>
      <c r="D94" s="126"/>
      <c r="E94" s="127"/>
      <c r="F94" s="126"/>
      <c r="G94" s="126"/>
      <c r="H94" s="126"/>
      <c r="I94" s="128"/>
      <c r="J94" s="129"/>
      <c r="K94" s="127"/>
      <c r="L94" s="130"/>
      <c r="M94" s="128"/>
    </row>
    <row r="95" spans="1:13" x14ac:dyDescent="0.15">
      <c r="A95" s="124"/>
      <c r="B95" s="125"/>
      <c r="C95" s="126"/>
      <c r="D95" s="126"/>
      <c r="E95" s="127"/>
      <c r="F95" s="126"/>
      <c r="G95" s="126"/>
      <c r="H95" s="126"/>
      <c r="I95" s="128"/>
      <c r="J95" s="129"/>
      <c r="K95" s="127"/>
      <c r="L95" s="130"/>
      <c r="M95" s="128"/>
    </row>
    <row r="96" spans="1:13" x14ac:dyDescent="0.15">
      <c r="A96" s="124"/>
      <c r="B96" s="125"/>
      <c r="C96" s="126"/>
      <c r="D96" s="126"/>
      <c r="E96" s="127"/>
      <c r="F96" s="126"/>
      <c r="G96" s="126"/>
      <c r="H96" s="126"/>
      <c r="I96" s="128"/>
      <c r="J96" s="129"/>
      <c r="K96" s="127"/>
      <c r="L96" s="130"/>
      <c r="M96" s="128"/>
    </row>
    <row r="97" spans="1:13" x14ac:dyDescent="0.15">
      <c r="A97" s="124"/>
      <c r="B97" s="125"/>
      <c r="C97" s="126"/>
      <c r="D97" s="126"/>
      <c r="E97" s="127"/>
      <c r="F97" s="126"/>
      <c r="G97" s="126"/>
      <c r="H97" s="126"/>
      <c r="I97" s="128"/>
      <c r="J97" s="129"/>
      <c r="K97" s="127"/>
      <c r="L97" s="130"/>
      <c r="M97" s="128"/>
    </row>
    <row r="98" spans="1:13" x14ac:dyDescent="0.15">
      <c r="A98" s="124"/>
      <c r="B98" s="125"/>
      <c r="C98" s="126"/>
      <c r="D98" s="126"/>
      <c r="E98" s="127"/>
      <c r="F98" s="126"/>
      <c r="G98" s="126"/>
      <c r="H98" s="126"/>
      <c r="I98" s="128"/>
      <c r="J98" s="129"/>
      <c r="K98" s="127"/>
      <c r="L98" s="130"/>
      <c r="M98" s="128"/>
    </row>
    <row r="99" spans="1:13" x14ac:dyDescent="0.15">
      <c r="A99" s="124"/>
      <c r="B99" s="125"/>
      <c r="C99" s="126"/>
      <c r="D99" s="126"/>
      <c r="E99" s="127"/>
      <c r="F99" s="126"/>
      <c r="G99" s="126"/>
      <c r="H99" s="126"/>
      <c r="I99" s="128"/>
      <c r="J99" s="129"/>
      <c r="K99" s="127"/>
      <c r="L99" s="130"/>
      <c r="M99" s="128"/>
    </row>
    <row r="100" spans="1:13" x14ac:dyDescent="0.15">
      <c r="A100" s="124"/>
      <c r="B100" s="125"/>
      <c r="C100" s="126"/>
      <c r="D100" s="126"/>
      <c r="E100" s="127"/>
      <c r="F100" s="126"/>
      <c r="G100" s="126"/>
      <c r="H100" s="126"/>
      <c r="I100" s="128"/>
      <c r="J100" s="129"/>
      <c r="K100" s="127"/>
      <c r="L100" s="130"/>
      <c r="M100" s="128"/>
    </row>
    <row r="101" spans="1:13" x14ac:dyDescent="0.15">
      <c r="A101" s="124"/>
      <c r="B101" s="125"/>
      <c r="C101" s="126"/>
      <c r="D101" s="126"/>
      <c r="E101" s="127"/>
      <c r="F101" s="126"/>
      <c r="G101" s="126"/>
      <c r="H101" s="126"/>
      <c r="I101" s="128"/>
      <c r="J101" s="129"/>
      <c r="K101" s="127"/>
      <c r="L101" s="130"/>
      <c r="M101" s="128"/>
    </row>
    <row r="102" spans="1:13" x14ac:dyDescent="0.15">
      <c r="A102" s="124"/>
      <c r="B102" s="125"/>
      <c r="C102" s="126"/>
      <c r="D102" s="126"/>
      <c r="E102" s="127"/>
      <c r="F102" s="126"/>
      <c r="G102" s="126"/>
      <c r="H102" s="126"/>
      <c r="I102" s="128"/>
      <c r="J102" s="129"/>
      <c r="K102" s="127"/>
      <c r="L102" s="130"/>
      <c r="M102" s="128"/>
    </row>
    <row r="103" spans="1:13" x14ac:dyDescent="0.15">
      <c r="A103" s="124"/>
      <c r="B103" s="125"/>
      <c r="C103" s="126"/>
      <c r="D103" s="126"/>
      <c r="E103" s="127"/>
      <c r="F103" s="126"/>
      <c r="G103" s="126"/>
      <c r="H103" s="126"/>
      <c r="I103" s="128"/>
      <c r="J103" s="129"/>
      <c r="K103" s="127"/>
      <c r="L103" s="130"/>
      <c r="M103" s="128"/>
    </row>
    <row r="104" spans="1:13" x14ac:dyDescent="0.15">
      <c r="A104" s="124"/>
      <c r="B104" s="125"/>
      <c r="C104" s="126"/>
      <c r="D104" s="126"/>
      <c r="E104" s="127"/>
      <c r="F104" s="126"/>
      <c r="G104" s="126"/>
      <c r="H104" s="126"/>
      <c r="I104" s="128"/>
      <c r="J104" s="129"/>
      <c r="K104" s="127"/>
      <c r="L104" s="130"/>
      <c r="M104" s="128"/>
    </row>
    <row r="105" spans="1:13" x14ac:dyDescent="0.15">
      <c r="A105" s="124"/>
      <c r="B105" s="125"/>
      <c r="C105" s="126"/>
      <c r="D105" s="126"/>
      <c r="E105" s="127"/>
      <c r="F105" s="126"/>
      <c r="G105" s="126"/>
      <c r="H105" s="126"/>
      <c r="I105" s="128"/>
      <c r="J105" s="129"/>
      <c r="K105" s="127"/>
      <c r="L105" s="130"/>
      <c r="M105" s="128"/>
    </row>
    <row r="106" spans="1:13" x14ac:dyDescent="0.15">
      <c r="A106" s="124"/>
      <c r="B106" s="125"/>
      <c r="C106" s="126"/>
      <c r="D106" s="126"/>
      <c r="E106" s="127"/>
      <c r="F106" s="126"/>
      <c r="G106" s="126"/>
      <c r="H106" s="126"/>
      <c r="I106" s="128"/>
      <c r="J106" s="129"/>
      <c r="K106" s="127"/>
      <c r="L106" s="130"/>
      <c r="M106" s="128"/>
    </row>
    <row r="107" spans="1:13" x14ac:dyDescent="0.15">
      <c r="A107" s="124"/>
      <c r="B107" s="125"/>
      <c r="C107" s="126"/>
      <c r="D107" s="126"/>
      <c r="E107" s="127"/>
      <c r="F107" s="126"/>
      <c r="G107" s="126"/>
      <c r="H107" s="126"/>
      <c r="I107" s="128"/>
      <c r="J107" s="129"/>
      <c r="K107" s="127"/>
      <c r="L107" s="130"/>
      <c r="M107" s="128"/>
    </row>
    <row r="108" spans="1:13" x14ac:dyDescent="0.15">
      <c r="A108" s="124"/>
      <c r="B108" s="125"/>
      <c r="C108" s="126"/>
      <c r="D108" s="126"/>
      <c r="E108" s="127"/>
      <c r="F108" s="126"/>
      <c r="G108" s="126"/>
      <c r="H108" s="126"/>
      <c r="I108" s="128"/>
      <c r="J108" s="129"/>
      <c r="K108" s="127"/>
      <c r="L108" s="130"/>
      <c r="M108" s="128"/>
    </row>
    <row r="109" spans="1:13" x14ac:dyDescent="0.15">
      <c r="A109" s="124"/>
      <c r="B109" s="125"/>
      <c r="C109" s="126"/>
      <c r="D109" s="126"/>
      <c r="E109" s="127"/>
      <c r="F109" s="126"/>
      <c r="G109" s="126"/>
      <c r="H109" s="126"/>
      <c r="I109" s="128"/>
      <c r="J109" s="129"/>
      <c r="K109" s="127"/>
      <c r="L109" s="130"/>
      <c r="M109" s="128"/>
    </row>
    <row r="110" spans="1:13" x14ac:dyDescent="0.15">
      <c r="A110" s="124"/>
      <c r="B110" s="125"/>
      <c r="C110" s="126"/>
      <c r="D110" s="126"/>
      <c r="E110" s="127"/>
      <c r="F110" s="126"/>
      <c r="G110" s="126"/>
      <c r="H110" s="126"/>
      <c r="I110" s="128"/>
      <c r="J110" s="129"/>
      <c r="K110" s="127"/>
      <c r="L110" s="130"/>
      <c r="M110" s="128"/>
    </row>
    <row r="111" spans="1:13" x14ac:dyDescent="0.15">
      <c r="A111" s="124"/>
      <c r="B111" s="125"/>
      <c r="C111" s="126"/>
      <c r="D111" s="126"/>
      <c r="E111" s="127"/>
      <c r="F111" s="126"/>
      <c r="G111" s="126"/>
      <c r="H111" s="126"/>
      <c r="I111" s="128"/>
      <c r="J111" s="129"/>
      <c r="K111" s="127"/>
      <c r="L111" s="130"/>
      <c r="M111" s="128"/>
    </row>
    <row r="112" spans="1:13" x14ac:dyDescent="0.15">
      <c r="A112" s="124"/>
      <c r="B112" s="125"/>
      <c r="C112" s="126"/>
      <c r="D112" s="126"/>
      <c r="E112" s="127"/>
      <c r="F112" s="126"/>
      <c r="G112" s="126"/>
      <c r="H112" s="126"/>
      <c r="I112" s="128"/>
      <c r="J112" s="129"/>
      <c r="K112" s="127"/>
      <c r="L112" s="130"/>
      <c r="M112" s="128"/>
    </row>
    <row r="113" spans="1:13" x14ac:dyDescent="0.15">
      <c r="A113" s="124"/>
      <c r="B113" s="125"/>
      <c r="C113" s="126"/>
      <c r="D113" s="126"/>
      <c r="E113" s="127"/>
      <c r="F113" s="126"/>
      <c r="G113" s="126"/>
      <c r="H113" s="126"/>
      <c r="I113" s="128"/>
      <c r="J113" s="129"/>
      <c r="K113" s="127"/>
      <c r="L113" s="130"/>
      <c r="M113" s="128"/>
    </row>
    <row r="114" spans="1:13" x14ac:dyDescent="0.15">
      <c r="A114" s="124"/>
      <c r="B114" s="125"/>
      <c r="C114" s="126"/>
      <c r="D114" s="126"/>
      <c r="E114" s="127"/>
      <c r="F114" s="126"/>
      <c r="G114" s="126"/>
      <c r="H114" s="126"/>
      <c r="I114" s="128"/>
      <c r="J114" s="129"/>
      <c r="K114" s="127"/>
      <c r="L114" s="130"/>
      <c r="M114" s="128"/>
    </row>
    <row r="115" spans="1:13" x14ac:dyDescent="0.15">
      <c r="A115" s="124"/>
      <c r="B115" s="125"/>
      <c r="C115" s="126"/>
      <c r="D115" s="126"/>
      <c r="E115" s="127"/>
      <c r="F115" s="126"/>
      <c r="G115" s="126"/>
      <c r="H115" s="126"/>
      <c r="I115" s="128"/>
      <c r="J115" s="129"/>
      <c r="K115" s="127"/>
      <c r="L115" s="130"/>
      <c r="M115" s="128"/>
    </row>
    <row r="116" spans="1:13" x14ac:dyDescent="0.15">
      <c r="A116" s="124"/>
      <c r="B116" s="125"/>
      <c r="C116" s="126"/>
      <c r="D116" s="126"/>
      <c r="E116" s="127"/>
      <c r="F116" s="126"/>
      <c r="G116" s="126"/>
      <c r="H116" s="126"/>
      <c r="I116" s="128"/>
      <c r="J116" s="129"/>
      <c r="K116" s="127"/>
      <c r="L116" s="130"/>
      <c r="M116" s="128"/>
    </row>
    <row r="117" spans="1:13" x14ac:dyDescent="0.15">
      <c r="A117" s="124"/>
      <c r="B117" s="125"/>
      <c r="C117" s="126"/>
      <c r="D117" s="126"/>
      <c r="E117" s="127"/>
      <c r="F117" s="126"/>
      <c r="G117" s="126"/>
      <c r="H117" s="126"/>
      <c r="I117" s="128"/>
      <c r="J117" s="129"/>
      <c r="K117" s="127"/>
      <c r="L117" s="130"/>
      <c r="M117" s="128"/>
    </row>
    <row r="118" spans="1:13" x14ac:dyDescent="0.15">
      <c r="A118" s="124"/>
      <c r="B118" s="125"/>
      <c r="C118" s="126"/>
      <c r="D118" s="126"/>
      <c r="E118" s="127"/>
      <c r="F118" s="126"/>
      <c r="G118" s="126"/>
      <c r="H118" s="126"/>
      <c r="I118" s="128"/>
      <c r="J118" s="129"/>
      <c r="K118" s="127"/>
      <c r="L118" s="130"/>
      <c r="M118" s="128"/>
    </row>
    <row r="119" spans="1:13" x14ac:dyDescent="0.15">
      <c r="A119" s="124"/>
      <c r="B119" s="125"/>
      <c r="C119" s="126"/>
      <c r="D119" s="126"/>
      <c r="E119" s="127"/>
      <c r="F119" s="126"/>
      <c r="G119" s="126"/>
      <c r="H119" s="126"/>
      <c r="I119" s="128"/>
      <c r="J119" s="129"/>
      <c r="K119" s="127"/>
      <c r="L119" s="130"/>
      <c r="M119" s="128"/>
    </row>
    <row r="120" spans="1:13" x14ac:dyDescent="0.15">
      <c r="A120" s="124"/>
      <c r="B120" s="125"/>
      <c r="C120" s="126"/>
      <c r="D120" s="126"/>
      <c r="E120" s="127"/>
      <c r="F120" s="126"/>
      <c r="G120" s="126"/>
      <c r="H120" s="126"/>
      <c r="I120" s="128"/>
      <c r="J120" s="129"/>
      <c r="K120" s="127"/>
      <c r="L120" s="130"/>
      <c r="M120" s="128"/>
    </row>
    <row r="121" spans="1:13" x14ac:dyDescent="0.15">
      <c r="A121" s="124"/>
      <c r="B121" s="125"/>
      <c r="C121" s="126"/>
      <c r="D121" s="126"/>
      <c r="E121" s="127"/>
      <c r="F121" s="126"/>
      <c r="G121" s="126"/>
      <c r="H121" s="126"/>
      <c r="I121" s="128"/>
      <c r="J121" s="129"/>
      <c r="K121" s="127"/>
      <c r="L121" s="130"/>
      <c r="M121" s="128"/>
    </row>
    <row r="122" spans="1:13" x14ac:dyDescent="0.15">
      <c r="A122" s="124"/>
      <c r="B122" s="125"/>
      <c r="C122" s="126"/>
      <c r="D122" s="126"/>
      <c r="E122" s="127"/>
      <c r="F122" s="126"/>
      <c r="G122" s="126"/>
      <c r="H122" s="126"/>
      <c r="I122" s="128"/>
      <c r="J122" s="129"/>
      <c r="K122" s="127"/>
      <c r="L122" s="130"/>
      <c r="M122" s="128"/>
    </row>
    <row r="123" spans="1:13" x14ac:dyDescent="0.15">
      <c r="A123" s="124"/>
      <c r="B123" s="125"/>
      <c r="C123" s="126"/>
      <c r="D123" s="126"/>
      <c r="E123" s="127"/>
      <c r="F123" s="126"/>
      <c r="G123" s="126"/>
      <c r="H123" s="126"/>
      <c r="I123" s="128"/>
      <c r="J123" s="129"/>
      <c r="K123" s="127"/>
      <c r="L123" s="130"/>
      <c r="M123" s="128"/>
    </row>
    <row r="124" spans="1:13" x14ac:dyDescent="0.15">
      <c r="A124" s="124"/>
      <c r="B124" s="125"/>
      <c r="C124" s="126"/>
      <c r="D124" s="126"/>
      <c r="E124" s="127"/>
      <c r="F124" s="126"/>
      <c r="G124" s="126"/>
      <c r="H124" s="126"/>
      <c r="I124" s="128"/>
      <c r="J124" s="129"/>
      <c r="K124" s="127"/>
      <c r="L124" s="130"/>
      <c r="M124" s="128"/>
    </row>
    <row r="125" spans="1:13" x14ac:dyDescent="0.15">
      <c r="A125" s="124"/>
      <c r="B125" s="125"/>
      <c r="C125" s="126"/>
      <c r="D125" s="126"/>
      <c r="E125" s="127"/>
      <c r="F125" s="126"/>
      <c r="G125" s="126"/>
      <c r="H125" s="126"/>
      <c r="I125" s="128"/>
      <c r="J125" s="129"/>
      <c r="K125" s="127"/>
      <c r="L125" s="130"/>
      <c r="M125" s="128"/>
    </row>
    <row r="126" spans="1:13" x14ac:dyDescent="0.15">
      <c r="A126" s="124"/>
      <c r="B126" s="125"/>
      <c r="C126" s="126"/>
      <c r="D126" s="126"/>
      <c r="E126" s="127"/>
      <c r="F126" s="126"/>
      <c r="G126" s="126"/>
      <c r="H126" s="126"/>
      <c r="I126" s="128"/>
      <c r="J126" s="129"/>
      <c r="K126" s="127"/>
      <c r="L126" s="130"/>
      <c r="M126" s="128"/>
    </row>
    <row r="127" spans="1:13" x14ac:dyDescent="0.15">
      <c r="A127" s="124"/>
      <c r="B127" s="125"/>
      <c r="C127" s="126"/>
      <c r="D127" s="126"/>
      <c r="E127" s="127"/>
      <c r="F127" s="126"/>
      <c r="G127" s="126"/>
      <c r="H127" s="126"/>
      <c r="I127" s="128"/>
      <c r="J127" s="129"/>
      <c r="K127" s="127"/>
      <c r="L127" s="130"/>
      <c r="M127" s="128"/>
    </row>
    <row r="128" spans="1:13" x14ac:dyDescent="0.15">
      <c r="A128" s="124"/>
      <c r="B128" s="125"/>
      <c r="C128" s="126"/>
      <c r="D128" s="126"/>
      <c r="E128" s="127"/>
      <c r="F128" s="126"/>
      <c r="G128" s="126"/>
      <c r="H128" s="126"/>
      <c r="I128" s="128"/>
      <c r="J128" s="129"/>
      <c r="K128" s="127"/>
      <c r="L128" s="130"/>
      <c r="M128" s="128"/>
    </row>
    <row r="129" spans="1:13" x14ac:dyDescent="0.15">
      <c r="A129" s="124"/>
      <c r="B129" s="125"/>
      <c r="C129" s="126"/>
      <c r="D129" s="126"/>
      <c r="E129" s="127"/>
      <c r="F129" s="126"/>
      <c r="G129" s="126"/>
      <c r="H129" s="126"/>
      <c r="I129" s="128"/>
      <c r="J129" s="129"/>
      <c r="K129" s="127"/>
      <c r="L129" s="130"/>
      <c r="M129" s="128"/>
    </row>
    <row r="130" spans="1:13" x14ac:dyDescent="0.15">
      <c r="A130" s="124"/>
      <c r="B130" s="125"/>
      <c r="C130" s="126"/>
      <c r="D130" s="126"/>
      <c r="E130" s="127"/>
      <c r="F130" s="126"/>
      <c r="G130" s="126"/>
      <c r="H130" s="126"/>
      <c r="I130" s="128"/>
      <c r="J130" s="129"/>
      <c r="K130" s="127"/>
      <c r="L130" s="130"/>
      <c r="M130" s="128"/>
    </row>
    <row r="131" spans="1:13" x14ac:dyDescent="0.15">
      <c r="A131" s="124"/>
      <c r="B131" s="125"/>
      <c r="C131" s="126"/>
      <c r="D131" s="126"/>
      <c r="E131" s="127"/>
      <c r="F131" s="126"/>
      <c r="G131" s="126"/>
      <c r="H131" s="126"/>
      <c r="I131" s="128"/>
      <c r="J131" s="129"/>
      <c r="K131" s="127"/>
      <c r="L131" s="130"/>
      <c r="M131" s="128"/>
    </row>
    <row r="132" spans="1:13" x14ac:dyDescent="0.15">
      <c r="A132" s="124"/>
      <c r="B132" s="125"/>
      <c r="C132" s="126"/>
      <c r="D132" s="126"/>
      <c r="E132" s="127"/>
      <c r="F132" s="126"/>
      <c r="G132" s="126"/>
      <c r="H132" s="126"/>
      <c r="I132" s="128"/>
      <c r="J132" s="129"/>
      <c r="K132" s="127"/>
      <c r="L132" s="130"/>
      <c r="M132" s="128"/>
    </row>
    <row r="133" spans="1:13" x14ac:dyDescent="0.15">
      <c r="A133" s="124"/>
      <c r="B133" s="125"/>
      <c r="C133" s="126"/>
      <c r="D133" s="126"/>
      <c r="E133" s="127"/>
      <c r="F133" s="126"/>
      <c r="G133" s="126"/>
      <c r="H133" s="126"/>
      <c r="I133" s="128"/>
      <c r="J133" s="129"/>
      <c r="K133" s="127"/>
      <c r="L133" s="130"/>
      <c r="M133" s="128"/>
    </row>
    <row r="134" spans="1:13" x14ac:dyDescent="0.15">
      <c r="A134" s="124"/>
      <c r="B134" s="125"/>
      <c r="C134" s="126"/>
      <c r="D134" s="126"/>
      <c r="E134" s="127"/>
      <c r="F134" s="126"/>
      <c r="G134" s="126"/>
      <c r="H134" s="126"/>
      <c r="I134" s="128"/>
      <c r="J134" s="129"/>
      <c r="K134" s="127"/>
      <c r="L134" s="130"/>
      <c r="M134" s="128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3" activePane="bottomLeft" state="frozen"/>
      <selection pane="bottomLeft" activeCell="M13" sqref="M1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2" t="s">
        <v>151</v>
      </c>
      <c r="C1" s="77" t="s">
        <v>190</v>
      </c>
      <c r="D1" s="77" t="s">
        <v>33</v>
      </c>
      <c r="E1" s="72" t="s">
        <v>191</v>
      </c>
      <c r="F1" s="77" t="s">
        <v>18</v>
      </c>
      <c r="G1" s="77" t="s">
        <v>33</v>
      </c>
      <c r="H1" s="72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42" x14ac:dyDescent="0.15">
      <c r="A2" s="81" t="s">
        <v>197</v>
      </c>
      <c r="B2" s="82">
        <f>floors!$C$2</f>
        <v>20015</v>
      </c>
      <c r="C2" s="83" t="str">
        <f ca="1">VLOOKUP($B2,OFFSET([2]quests!$A$1,0,0,COUNTA([2]quests!$A:$A),MATCH(C$1,[2]quests!$1:$1,0)-MATCH($B$1,[2]quests!$1:$1,0)+1),MATCH(C$1,[2]quests!$1:$1,0)-MATCH($B$1,[2]quests!$1:$1,0)+1,FALSE)</f>
        <v>妄執とり憑く美貌の妃</v>
      </c>
      <c r="D2" s="83" t="str">
        <f ca="1">VLOOKUP($B2,OFFSET([2]quests!$A$1,0,0,COUNTA([2]quests!$A:$A),MATCH(D$1,[2]quests!$1:$1,0)-MATCH($B$1,[2]quests!$1:$1,0)+1),MATCH(D$1,[2]quests!$1:$1,0)-MATCH($B$1,[2]quests!$1:$1,0)+1,FALSE)</f>
        <v>おとぎ話シリーズ3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おとぎ話シリーズ3</v>
      </c>
      <c r="H2" s="85">
        <v>1</v>
      </c>
      <c r="I2" s="90">
        <f t="shared" ref="I2:I13" si="0">ROW()-1</f>
        <v>1</v>
      </c>
      <c r="J2" s="86" t="str">
        <f t="shared" ref="J2:J13" si="1">B2&amp;TEXT(I2,"00")</f>
        <v>2001501</v>
      </c>
      <c r="K2" s="84" t="s">
        <v>198</v>
      </c>
      <c r="L2" s="87" t="s">
        <v>199</v>
      </c>
      <c r="M2" s="133" t="s">
        <v>260</v>
      </c>
      <c r="N2" s="57" t="s">
        <v>200</v>
      </c>
    </row>
    <row r="3" spans="1:14" ht="42" x14ac:dyDescent="0.15">
      <c r="A3" s="81" t="s">
        <v>254</v>
      </c>
      <c r="B3" s="82">
        <f>floors!$C$2</f>
        <v>20015</v>
      </c>
      <c r="C3" s="83" t="str">
        <f ca="1">VLOOKUP($B3,OFFSET([2]quests!$A$1,0,0,COUNTA([2]quests!$A:$A),MATCH(C$1,[2]quests!$1:$1,0)-MATCH($B$1,[2]quests!$1:$1,0)+1),MATCH(C$1,[2]quests!$1:$1,0)-MATCH($B$1,[2]quests!$1:$1,0)+1,FALSE)</f>
        <v>妄執とり憑く美貌の妃</v>
      </c>
      <c r="D3" s="83" t="str">
        <f ca="1">VLOOKUP($B3,OFFSET([2]quests!$A$1,0,0,COUNTA([2]quests!$A:$A),MATCH(D$1,[2]quests!$1:$1,0)-MATCH($B$1,[2]quests!$1:$1,0)+1),MATCH(D$1,[2]quests!$1:$1,0)-MATCH($B$1,[2]quests!$1:$1,0)+1,FALSE)</f>
        <v>おとぎ話シリーズ3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おとぎ話シリーズ3</v>
      </c>
      <c r="H3" s="85">
        <v>2</v>
      </c>
      <c r="I3" s="90">
        <f t="shared" si="0"/>
        <v>2</v>
      </c>
      <c r="J3" s="86" t="str">
        <f t="shared" si="1"/>
        <v>2001502</v>
      </c>
      <c r="K3" s="84" t="s">
        <v>198</v>
      </c>
      <c r="L3" s="87" t="s">
        <v>199</v>
      </c>
      <c r="M3" s="133" t="s">
        <v>259</v>
      </c>
      <c r="N3" s="57" t="s">
        <v>200</v>
      </c>
    </row>
    <row r="4" spans="1:14" ht="42" x14ac:dyDescent="0.15">
      <c r="A4" s="81" t="s">
        <v>254</v>
      </c>
      <c r="B4" s="82">
        <f>floors!$C$2</f>
        <v>20015</v>
      </c>
      <c r="C4" s="83" t="str">
        <f ca="1">VLOOKUP($B4,OFFSET([2]quests!$A$1,0,0,COUNTA([2]quests!$A:$A),MATCH(C$1,[2]quests!$1:$1,0)-MATCH($B$1,[2]quests!$1:$1,0)+1),MATCH(C$1,[2]quests!$1:$1,0)-MATCH($B$1,[2]quests!$1:$1,0)+1,FALSE)</f>
        <v>妄執とり憑く美貌の妃</v>
      </c>
      <c r="D4" s="83" t="str">
        <f ca="1">VLOOKUP($B4,OFFSET([2]quests!$A$1,0,0,COUNTA([2]quests!$A:$A),MATCH(D$1,[2]quests!$1:$1,0)-MATCH($B$1,[2]quests!$1:$1,0)+1),MATCH(D$1,[2]quests!$1:$1,0)-MATCH($B$1,[2]quests!$1:$1,0)+1,FALSE)</f>
        <v>おとぎ話シリーズ3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おとぎ話シリーズ3</v>
      </c>
      <c r="H4" s="85">
        <v>3</v>
      </c>
      <c r="I4" s="90">
        <f t="shared" si="0"/>
        <v>3</v>
      </c>
      <c r="J4" s="86" t="str">
        <f t="shared" si="1"/>
        <v>2001503</v>
      </c>
      <c r="K4" s="84" t="s">
        <v>198</v>
      </c>
      <c r="L4" s="87" t="s">
        <v>199</v>
      </c>
      <c r="M4" s="133" t="s">
        <v>258</v>
      </c>
      <c r="N4" s="57" t="s">
        <v>200</v>
      </c>
    </row>
    <row r="5" spans="1:14" ht="42" x14ac:dyDescent="0.15">
      <c r="A5" s="81" t="s">
        <v>254</v>
      </c>
      <c r="B5" s="82">
        <f>floors!$C$2</f>
        <v>20015</v>
      </c>
      <c r="C5" s="83" t="str">
        <f ca="1">VLOOKUP($B5,OFFSET([2]quests!$A$1,0,0,COUNTA([2]quests!$A:$A),MATCH(C$1,[2]quests!$1:$1,0)-MATCH($B$1,[2]quests!$1:$1,0)+1),MATCH(C$1,[2]quests!$1:$1,0)-MATCH($B$1,[2]quests!$1:$1,0)+1,FALSE)</f>
        <v>妄執とり憑く美貌の妃</v>
      </c>
      <c r="D5" s="83" t="str">
        <f ca="1">VLOOKUP($B5,OFFSET([2]quests!$A$1,0,0,COUNTA([2]quests!$A:$A),MATCH(D$1,[2]quests!$1:$1,0)-MATCH($B$1,[2]quests!$1:$1,0)+1),MATCH(D$1,[2]quests!$1:$1,0)-MATCH($B$1,[2]quests!$1:$1,0)+1,FALSE)</f>
        <v>おとぎ話シリーズ3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【初級】妄執とり憑く美貌の妃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おとぎ話シリーズ3</v>
      </c>
      <c r="H5" s="85">
        <v>4</v>
      </c>
      <c r="I5" s="90">
        <f t="shared" si="0"/>
        <v>4</v>
      </c>
      <c r="J5" s="86" t="str">
        <f t="shared" si="1"/>
        <v>2001504</v>
      </c>
      <c r="K5" s="84" t="s">
        <v>198</v>
      </c>
      <c r="L5" s="87" t="s">
        <v>199</v>
      </c>
      <c r="M5" s="133" t="s">
        <v>261</v>
      </c>
      <c r="N5" s="57" t="s">
        <v>200</v>
      </c>
    </row>
    <row r="6" spans="1:14" ht="42" x14ac:dyDescent="0.15">
      <c r="A6" s="81" t="s">
        <v>197</v>
      </c>
      <c r="B6" s="82">
        <f>floors!$C$2</f>
        <v>20015</v>
      </c>
      <c r="C6" s="83" t="str">
        <f ca="1">VLOOKUP($B6,OFFSET([2]quests!$A$1,0,0,COUNTA([2]quests!$A:$A),MATCH(C$1,[2]quests!$1:$1,0)-MATCH($B$1,[2]quests!$1:$1,0)+1),MATCH(C$1,[2]quests!$1:$1,0)-MATCH($B$1,[2]quests!$1:$1,0)+1,FALSE)</f>
        <v>妄執とり憑く美貌の妃</v>
      </c>
      <c r="D6" s="83" t="str">
        <f ca="1">VLOOKUP($B6,OFFSET([2]quests!$A$1,0,0,COUNTA([2]quests!$A:$A),MATCH(D$1,[2]quests!$1:$1,0)-MATCH($B$1,[2]quests!$1:$1,0)+1),MATCH(D$1,[2]quests!$1:$1,0)-MATCH($B$1,[2]quests!$1:$1,0)+1,FALSE)</f>
        <v>おとぎ話シリーズ3</v>
      </c>
      <c r="E6" s="84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おとぎ話シリーズ3</v>
      </c>
      <c r="H6" s="85">
        <v>1</v>
      </c>
      <c r="I6" s="90">
        <f t="shared" si="0"/>
        <v>5</v>
      </c>
      <c r="J6" s="86" t="str">
        <f t="shared" si="1"/>
        <v>2001505</v>
      </c>
      <c r="K6" s="84" t="s">
        <v>198</v>
      </c>
      <c r="L6" s="87" t="s">
        <v>199</v>
      </c>
      <c r="M6" s="133" t="s">
        <v>260</v>
      </c>
      <c r="N6" s="57" t="s">
        <v>200</v>
      </c>
    </row>
    <row r="7" spans="1:14" ht="42" x14ac:dyDescent="0.15">
      <c r="A7" s="81" t="s">
        <v>254</v>
      </c>
      <c r="B7" s="82">
        <f>floors!$C$2</f>
        <v>20015</v>
      </c>
      <c r="C7" s="83" t="str">
        <f ca="1">VLOOKUP($B7,OFFSET([2]quests!$A$1,0,0,COUNTA([2]quests!$A:$A),MATCH(C$1,[2]quests!$1:$1,0)-MATCH($B$1,[2]quests!$1:$1,0)+1),MATCH(C$1,[2]quests!$1:$1,0)-MATCH($B$1,[2]quests!$1:$1,0)+1,FALSE)</f>
        <v>妄執とり憑く美貌の妃</v>
      </c>
      <c r="D7" s="83" t="str">
        <f ca="1">VLOOKUP($B7,OFFSET([2]quests!$A$1,0,0,COUNTA([2]quests!$A:$A),MATCH(D$1,[2]quests!$1:$1,0)-MATCH($B$1,[2]quests!$1:$1,0)+1),MATCH(D$1,[2]quests!$1:$1,0)-MATCH($B$1,[2]quests!$1:$1,0)+1,FALSE)</f>
        <v>おとぎ話シリーズ3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おとぎ話シリーズ3</v>
      </c>
      <c r="H7" s="85">
        <v>2</v>
      </c>
      <c r="I7" s="90">
        <f t="shared" si="0"/>
        <v>6</v>
      </c>
      <c r="J7" s="86" t="str">
        <f t="shared" si="1"/>
        <v>2001506</v>
      </c>
      <c r="K7" s="84" t="s">
        <v>198</v>
      </c>
      <c r="L7" s="87" t="s">
        <v>199</v>
      </c>
      <c r="M7" s="133" t="s">
        <v>259</v>
      </c>
      <c r="N7" s="57" t="s">
        <v>200</v>
      </c>
    </row>
    <row r="8" spans="1:14" ht="42" x14ac:dyDescent="0.15">
      <c r="A8" s="81" t="s">
        <v>254</v>
      </c>
      <c r="B8" s="82">
        <f>floors!$C$2</f>
        <v>20015</v>
      </c>
      <c r="C8" s="83" t="str">
        <f ca="1">VLOOKUP($B8,OFFSET([2]quests!$A$1,0,0,COUNTA([2]quests!$A:$A),MATCH(C$1,[2]quests!$1:$1,0)-MATCH($B$1,[2]quests!$1:$1,0)+1),MATCH(C$1,[2]quests!$1:$1,0)-MATCH($B$1,[2]quests!$1:$1,0)+1,FALSE)</f>
        <v>妄執とり憑く美貌の妃</v>
      </c>
      <c r="D8" s="83" t="str">
        <f ca="1">VLOOKUP($B8,OFFSET([2]quests!$A$1,0,0,COUNTA([2]quests!$A:$A),MATCH(D$1,[2]quests!$1:$1,0)-MATCH($B$1,[2]quests!$1:$1,0)+1),MATCH(D$1,[2]quests!$1:$1,0)-MATCH($B$1,[2]quests!$1:$1,0)+1,FALSE)</f>
        <v>おとぎ話シリーズ3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おとぎ話シリーズ3</v>
      </c>
      <c r="H8" s="85">
        <v>3</v>
      </c>
      <c r="I8" s="90">
        <f t="shared" si="0"/>
        <v>7</v>
      </c>
      <c r="J8" s="86" t="str">
        <f t="shared" si="1"/>
        <v>2001507</v>
      </c>
      <c r="K8" s="84" t="s">
        <v>198</v>
      </c>
      <c r="L8" s="87" t="s">
        <v>199</v>
      </c>
      <c r="M8" s="133" t="s">
        <v>258</v>
      </c>
      <c r="N8" s="57" t="s">
        <v>200</v>
      </c>
    </row>
    <row r="9" spans="1:14" ht="42" x14ac:dyDescent="0.15">
      <c r="A9" s="81" t="s">
        <v>254</v>
      </c>
      <c r="B9" s="82">
        <f>floors!$C$2</f>
        <v>20015</v>
      </c>
      <c r="C9" s="83" t="str">
        <f ca="1">VLOOKUP($B9,OFFSET([2]quests!$A$1,0,0,COUNTA([2]quests!$A:$A),MATCH(C$1,[2]quests!$1:$1,0)-MATCH($B$1,[2]quests!$1:$1,0)+1),MATCH(C$1,[2]quests!$1:$1,0)-MATCH($B$1,[2]quests!$1:$1,0)+1,FALSE)</f>
        <v>妄執とり憑く美貌の妃</v>
      </c>
      <c r="D9" s="83" t="str">
        <f ca="1">VLOOKUP($B9,OFFSET([2]quests!$A$1,0,0,COUNTA([2]quests!$A:$A),MATCH(D$1,[2]quests!$1:$1,0)-MATCH($B$1,[2]quests!$1:$1,0)+1),MATCH(D$1,[2]quests!$1:$1,0)-MATCH($B$1,[2]quests!$1:$1,0)+1,FALSE)</f>
        <v>おとぎ話シリーズ3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【中級】妄執とり憑く美貌の妃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おとぎ話シリーズ3</v>
      </c>
      <c r="H9" s="85">
        <v>4</v>
      </c>
      <c r="I9" s="90">
        <f t="shared" si="0"/>
        <v>8</v>
      </c>
      <c r="J9" s="86" t="str">
        <f t="shared" si="1"/>
        <v>2001508</v>
      </c>
      <c r="K9" s="84" t="s">
        <v>198</v>
      </c>
      <c r="L9" s="87" t="s">
        <v>199</v>
      </c>
      <c r="M9" s="133" t="s">
        <v>261</v>
      </c>
      <c r="N9" s="57" t="s">
        <v>200</v>
      </c>
    </row>
    <row r="10" spans="1:14" ht="42" x14ac:dyDescent="0.15">
      <c r="A10" s="81" t="s">
        <v>197</v>
      </c>
      <c r="B10" s="82">
        <f>floors!$C$2</f>
        <v>20015</v>
      </c>
      <c r="C10" s="83" t="str">
        <f ca="1">VLOOKUP($B10,OFFSET([2]quests!$A$1,0,0,COUNTA([2]quests!$A:$A),MATCH(C$1,[2]quests!$1:$1,0)-MATCH($B$1,[2]quests!$1:$1,0)+1),MATCH(C$1,[2]quests!$1:$1,0)-MATCH($B$1,[2]quests!$1:$1,0)+1,FALSE)</f>
        <v>妄執とり憑く美貌の妃</v>
      </c>
      <c r="D10" s="83" t="str">
        <f ca="1">VLOOKUP($B10,OFFSET([2]quests!$A$1,0,0,COUNTA([2]quests!$A:$A),MATCH(D$1,[2]quests!$1:$1,0)-MATCH($B$1,[2]quests!$1:$1,0)+1),MATCH(D$1,[2]quests!$1:$1,0)-MATCH($B$1,[2]quests!$1:$1,0)+1,FALSE)</f>
        <v>おとぎ話シリーズ3</v>
      </c>
      <c r="E10" s="84">
        <v>3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おとぎ話シリーズ3</v>
      </c>
      <c r="H10" s="85">
        <v>1</v>
      </c>
      <c r="I10" s="90">
        <f t="shared" si="0"/>
        <v>9</v>
      </c>
      <c r="J10" s="86" t="str">
        <f t="shared" si="1"/>
        <v>2001509</v>
      </c>
      <c r="K10" s="84" t="s">
        <v>198</v>
      </c>
      <c r="L10" s="87" t="s">
        <v>199</v>
      </c>
      <c r="M10" s="133" t="s">
        <v>260</v>
      </c>
      <c r="N10" s="57" t="s">
        <v>200</v>
      </c>
    </row>
    <row r="11" spans="1:14" ht="42" x14ac:dyDescent="0.15">
      <c r="A11" s="81" t="s">
        <v>254</v>
      </c>
      <c r="B11" s="82">
        <f>floors!$C$2</f>
        <v>20015</v>
      </c>
      <c r="C11" s="83" t="str">
        <f ca="1">VLOOKUP($B11,OFFSET([2]quests!$A$1,0,0,COUNTA([2]quests!$A:$A),MATCH(C$1,[2]quests!$1:$1,0)-MATCH($B$1,[2]quests!$1:$1,0)+1),MATCH(C$1,[2]quests!$1:$1,0)-MATCH($B$1,[2]quests!$1:$1,0)+1,FALSE)</f>
        <v>妄執とり憑く美貌の妃</v>
      </c>
      <c r="D11" s="83" t="str">
        <f ca="1">VLOOKUP($B11,OFFSET([2]quests!$A$1,0,0,COUNTA([2]quests!$A:$A),MATCH(D$1,[2]quests!$1:$1,0)-MATCH($B$1,[2]quests!$1:$1,0)+1),MATCH(D$1,[2]quests!$1:$1,0)-MATCH($B$1,[2]quests!$1:$1,0)+1,FALSE)</f>
        <v>おとぎ話シリーズ3</v>
      </c>
      <c r="E11" s="84">
        <v>3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おとぎ話シリーズ3</v>
      </c>
      <c r="H11" s="85">
        <v>2</v>
      </c>
      <c r="I11" s="90">
        <f t="shared" si="0"/>
        <v>10</v>
      </c>
      <c r="J11" s="86" t="str">
        <f t="shared" si="1"/>
        <v>2001510</v>
      </c>
      <c r="K11" s="84" t="s">
        <v>198</v>
      </c>
      <c r="L11" s="87" t="s">
        <v>199</v>
      </c>
      <c r="M11" s="133" t="s">
        <v>259</v>
      </c>
      <c r="N11" s="57" t="s">
        <v>200</v>
      </c>
    </row>
    <row r="12" spans="1:14" ht="42" x14ac:dyDescent="0.15">
      <c r="A12" s="81" t="s">
        <v>254</v>
      </c>
      <c r="B12" s="82">
        <f>floors!$C$2</f>
        <v>20015</v>
      </c>
      <c r="C12" s="83" t="str">
        <f ca="1">VLOOKUP($B12,OFFSET([2]quests!$A$1,0,0,COUNTA([2]quests!$A:$A),MATCH(C$1,[2]quests!$1:$1,0)-MATCH($B$1,[2]quests!$1:$1,0)+1),MATCH(C$1,[2]quests!$1:$1,0)-MATCH($B$1,[2]quests!$1:$1,0)+1,FALSE)</f>
        <v>妄執とり憑く美貌の妃</v>
      </c>
      <c r="D12" s="83" t="str">
        <f ca="1">VLOOKUP($B12,OFFSET([2]quests!$A$1,0,0,COUNTA([2]quests!$A:$A),MATCH(D$1,[2]quests!$1:$1,0)-MATCH($B$1,[2]quests!$1:$1,0)+1),MATCH(D$1,[2]quests!$1:$1,0)-MATCH($B$1,[2]quests!$1:$1,0)+1,FALSE)</f>
        <v>おとぎ話シリーズ3</v>
      </c>
      <c r="E12" s="84">
        <v>3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おとぎ話シリーズ3</v>
      </c>
      <c r="H12" s="85">
        <v>3</v>
      </c>
      <c r="I12" s="90">
        <f t="shared" si="0"/>
        <v>11</v>
      </c>
      <c r="J12" s="86" t="str">
        <f t="shared" si="1"/>
        <v>2001511</v>
      </c>
      <c r="K12" s="84" t="s">
        <v>198</v>
      </c>
      <c r="L12" s="87" t="s">
        <v>199</v>
      </c>
      <c r="M12" s="133" t="s">
        <v>258</v>
      </c>
      <c r="N12" s="57" t="s">
        <v>200</v>
      </c>
    </row>
    <row r="13" spans="1:14" ht="42" x14ac:dyDescent="0.15">
      <c r="A13" s="81" t="s">
        <v>254</v>
      </c>
      <c r="B13" s="82">
        <f>floors!$C$2</f>
        <v>20015</v>
      </c>
      <c r="C13" s="83" t="str">
        <f ca="1">VLOOKUP($B13,OFFSET([2]quests!$A$1,0,0,COUNTA([2]quests!$A:$A),MATCH(C$1,[2]quests!$1:$1,0)-MATCH($B$1,[2]quests!$1:$1,0)+1),MATCH(C$1,[2]quests!$1:$1,0)-MATCH($B$1,[2]quests!$1:$1,0)+1,FALSE)</f>
        <v>妄執とり憑く美貌の妃</v>
      </c>
      <c r="D13" s="83" t="str">
        <f ca="1">VLOOKUP($B13,OFFSET([2]quests!$A$1,0,0,COUNTA([2]quests!$A:$A),MATCH(D$1,[2]quests!$1:$1,0)-MATCH($B$1,[2]quests!$1:$1,0)+1),MATCH(D$1,[2]quests!$1:$1,0)-MATCH($B$1,[2]quests!$1:$1,0)+1,FALSE)</f>
        <v>おとぎ話シリーズ3</v>
      </c>
      <c r="E13" s="84">
        <v>3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【上級】妄執とり憑く美貌の妃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おとぎ話シリーズ3</v>
      </c>
      <c r="H13" s="85">
        <v>4</v>
      </c>
      <c r="I13" s="90">
        <f t="shared" si="0"/>
        <v>12</v>
      </c>
      <c r="J13" s="86" t="str">
        <f t="shared" si="1"/>
        <v>2001512</v>
      </c>
      <c r="K13" s="84" t="s">
        <v>198</v>
      </c>
      <c r="L13" s="87" t="s">
        <v>199</v>
      </c>
      <c r="M13" s="133" t="s">
        <v>261</v>
      </c>
      <c r="N13" s="57" t="s">
        <v>200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2017-03-08T03:35:30Z</dcterms:modified>
</cp:coreProperties>
</file>