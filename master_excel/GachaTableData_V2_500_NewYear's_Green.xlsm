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12660" yWindow="-21140" windowWidth="38400" windowHeight="21140" tabRatio="943" activeTab="7"/>
  </bookViews>
  <sheets>
    <sheet name="確率の考え方" sheetId="110" r:id="rId1"/>
    <sheet name="Sheet1" sheetId="107" r:id="rId2"/>
    <sheet name="output" sheetId="103" r:id="rId3"/>
    <sheet name="input_500010" sheetId="157" r:id="rId4"/>
    <sheet name="tables_500010" sheetId="158" r:id="rId5"/>
    <sheet name="input_500100" sheetId="153" r:id="rId6"/>
    <sheet name="tables_500100" sheetId="154" r:id="rId7"/>
    <sheet name="tables_settle_500100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tables_500010!$A$1:$V$67</definedName>
    <definedName name="_xlnm._FilterDatabase" localSheetId="6" hidden="1">tables_500100!$A$1:$V$72</definedName>
    <definedName name="_xlnm._FilterDatabase" localSheetId="7" hidden="1">tables_settle_500100!$A$1:$V$37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159" l="1"/>
  <c r="D3" i="159"/>
  <c r="O3" i="159"/>
  <c r="I4" i="159"/>
  <c r="D4" i="159"/>
  <c r="O4" i="159"/>
  <c r="I5" i="159"/>
  <c r="D5" i="159"/>
  <c r="O5" i="159"/>
  <c r="I6" i="159"/>
  <c r="D6" i="159"/>
  <c r="O6" i="159"/>
  <c r="I7" i="159"/>
  <c r="D7" i="159"/>
  <c r="O7" i="159"/>
  <c r="I8" i="159"/>
  <c r="D8" i="159"/>
  <c r="O8" i="159"/>
  <c r="I9" i="159"/>
  <c r="D9" i="159"/>
  <c r="O9" i="159"/>
  <c r="I10" i="159"/>
  <c r="D10" i="159"/>
  <c r="O10" i="159"/>
  <c r="I11" i="159"/>
  <c r="D11" i="159"/>
  <c r="O11" i="159"/>
  <c r="I12" i="159"/>
  <c r="D12" i="159"/>
  <c r="O12" i="159"/>
  <c r="I13" i="159"/>
  <c r="D13" i="159"/>
  <c r="O13" i="159"/>
  <c r="I14" i="159"/>
  <c r="D14" i="159"/>
  <c r="O14" i="159"/>
  <c r="I15" i="159"/>
  <c r="D15" i="159"/>
  <c r="O15" i="159"/>
  <c r="I16" i="159"/>
  <c r="D16" i="159"/>
  <c r="O16" i="159"/>
  <c r="I17" i="159"/>
  <c r="D17" i="159"/>
  <c r="O17" i="159"/>
  <c r="I18" i="159"/>
  <c r="J18" i="159"/>
  <c r="D18" i="159"/>
  <c r="O18" i="159"/>
  <c r="I19" i="159"/>
  <c r="D19" i="159"/>
  <c r="O19" i="159"/>
  <c r="I20" i="159"/>
  <c r="D20" i="159"/>
  <c r="O20" i="159"/>
  <c r="I21" i="159"/>
  <c r="D21" i="159"/>
  <c r="O21" i="159"/>
  <c r="I22" i="159"/>
  <c r="D22" i="159"/>
  <c r="O22" i="159"/>
  <c r="I23" i="159"/>
  <c r="D23" i="159"/>
  <c r="O23" i="159"/>
  <c r="I24" i="159"/>
  <c r="D24" i="159"/>
  <c r="O24" i="159"/>
  <c r="I25" i="159"/>
  <c r="D25" i="159"/>
  <c r="O25" i="159"/>
  <c r="I26" i="159"/>
  <c r="D26" i="159"/>
  <c r="O26" i="159"/>
  <c r="I27" i="159"/>
  <c r="D27" i="159"/>
  <c r="O27" i="159"/>
  <c r="I28" i="159"/>
  <c r="D28" i="159"/>
  <c r="O28" i="159"/>
  <c r="I29" i="159"/>
  <c r="D29" i="159"/>
  <c r="O29" i="159"/>
  <c r="I30" i="159"/>
  <c r="D30" i="159"/>
  <c r="O30" i="159"/>
  <c r="I31" i="159"/>
  <c r="D31" i="159"/>
  <c r="O31" i="159"/>
  <c r="I32" i="159"/>
  <c r="D32" i="159"/>
  <c r="O32" i="159"/>
  <c r="I33" i="159"/>
  <c r="D33" i="159"/>
  <c r="O33" i="159"/>
  <c r="I34" i="159"/>
  <c r="D34" i="159"/>
  <c r="O34" i="159"/>
  <c r="I35" i="159"/>
  <c r="D35" i="159"/>
  <c r="O35" i="159"/>
  <c r="I36" i="159"/>
  <c r="D36" i="159"/>
  <c r="O36" i="159"/>
  <c r="I37" i="159"/>
  <c r="D37" i="159"/>
  <c r="O37" i="159"/>
  <c r="I2" i="159"/>
  <c r="D2" i="159"/>
  <c r="O2" i="159"/>
  <c r="I38" i="159"/>
  <c r="D38" i="159"/>
  <c r="I39" i="159"/>
  <c r="D39" i="159"/>
  <c r="I40" i="159"/>
  <c r="D40" i="159"/>
  <c r="I41" i="159"/>
  <c r="D41" i="159"/>
  <c r="E42" i="159"/>
  <c r="E43" i="159"/>
  <c r="E45" i="159"/>
  <c r="M7" i="153"/>
  <c r="M6" i="153"/>
  <c r="M5" i="153"/>
  <c r="M4" i="153"/>
  <c r="M3" i="153"/>
  <c r="I68" i="158"/>
  <c r="D68" i="158"/>
  <c r="J68" i="158"/>
  <c r="E68" i="158"/>
  <c r="F68" i="158"/>
  <c r="C68" i="158"/>
  <c r="H68" i="158"/>
  <c r="K68" i="158"/>
  <c r="L68" i="158"/>
  <c r="M68" i="158"/>
  <c r="N68" i="158"/>
  <c r="A2" i="157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J39" i="158"/>
  <c r="D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F5" i="157"/>
  <c r="F6" i="157"/>
  <c r="A36" i="157"/>
  <c r="G30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30" i="157"/>
  <c r="H30" i="157"/>
  <c r="R3" i="157"/>
  <c r="O68" i="158"/>
  <c r="E6" i="157"/>
  <c r="E18" i="157"/>
  <c r="E19" i="157"/>
  <c r="B19" i="157"/>
  <c r="E24" i="157"/>
  <c r="B24" i="157"/>
  <c r="B17" i="157"/>
  <c r="B18" i="157"/>
  <c r="G18" i="157"/>
  <c r="H18" i="157"/>
  <c r="O2" i="158"/>
  <c r="O3" i="158"/>
  <c r="O4" i="158"/>
  <c r="O5" i="158"/>
  <c r="O6" i="158"/>
  <c r="E25" i="157"/>
  <c r="B25" i="157"/>
  <c r="G25" i="157"/>
  <c r="H25" i="157"/>
  <c r="O7" i="158"/>
  <c r="E26" i="157"/>
  <c r="B26" i="157"/>
  <c r="G26" i="157"/>
  <c r="H26" i="157"/>
  <c r="O8" i="158"/>
  <c r="E20" i="157"/>
  <c r="B20" i="157"/>
  <c r="G20" i="157"/>
  <c r="H20" i="157"/>
  <c r="O9" i="158"/>
  <c r="E23" i="157"/>
  <c r="B23" i="157"/>
  <c r="E5" i="157"/>
  <c r="E28" i="157"/>
  <c r="B28" i="157"/>
  <c r="E29" i="157"/>
  <c r="B29" i="157"/>
  <c r="B21" i="157"/>
  <c r="G21" i="157"/>
  <c r="E21" i="157"/>
  <c r="H21" i="157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E27" i="157"/>
  <c r="B27" i="157"/>
  <c r="G27" i="157"/>
  <c r="H27" i="157"/>
  <c r="O23" i="158"/>
  <c r="G28" i="157"/>
  <c r="H28" i="157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G23" i="157"/>
  <c r="H23" i="157"/>
  <c r="O39" i="158"/>
  <c r="O40" i="158"/>
  <c r="O41" i="158"/>
  <c r="O42" i="158"/>
  <c r="O43" i="158"/>
  <c r="O44" i="158"/>
  <c r="O45" i="158"/>
  <c r="O46" i="158"/>
  <c r="O47" i="158"/>
  <c r="E22" i="157"/>
  <c r="B22" i="157"/>
  <c r="G22" i="157"/>
  <c r="H22" i="157"/>
  <c r="O48" i="158"/>
  <c r="O49" i="158"/>
  <c r="G29" i="157"/>
  <c r="H29" i="157"/>
  <c r="O50" i="158"/>
  <c r="O51" i="158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G31" i="157"/>
  <c r="E31" i="157"/>
  <c r="H31" i="157"/>
  <c r="R4" i="157"/>
  <c r="O69" i="158"/>
  <c r="R5" i="157"/>
  <c r="O70" i="158"/>
  <c r="R6" i="157"/>
  <c r="O71" i="158"/>
  <c r="R7" i="157"/>
  <c r="O72" i="158"/>
  <c r="P68" i="158"/>
  <c r="H69" i="158"/>
  <c r="K69" i="158"/>
  <c r="L69" i="158"/>
  <c r="M69" i="158"/>
  <c r="N69" i="158"/>
  <c r="P69" i="158"/>
  <c r="H70" i="158"/>
  <c r="K70" i="158"/>
  <c r="L70" i="158"/>
  <c r="M70" i="158"/>
  <c r="N70" i="158"/>
  <c r="P70" i="158"/>
  <c r="H71" i="158"/>
  <c r="K71" i="158"/>
  <c r="L71" i="158"/>
  <c r="M71" i="158"/>
  <c r="N71" i="158"/>
  <c r="P71" i="158"/>
  <c r="H72" i="158"/>
  <c r="K72" i="158"/>
  <c r="L72" i="158"/>
  <c r="M72" i="158"/>
  <c r="N72" i="158"/>
  <c r="P72" i="158"/>
  <c r="A68" i="158"/>
  <c r="A69" i="158"/>
  <c r="A70" i="158"/>
  <c r="A71" i="158"/>
  <c r="A72" i="158"/>
  <c r="F42" i="159"/>
  <c r="F43" i="159"/>
  <c r="F44" i="159"/>
  <c r="F45" i="159"/>
  <c r="A2" i="153"/>
  <c r="J38" i="159"/>
  <c r="E38" i="159"/>
  <c r="F38" i="159"/>
  <c r="C38" i="159"/>
  <c r="H38" i="159"/>
  <c r="K38" i="159"/>
  <c r="L38" i="159"/>
  <c r="M38" i="159"/>
  <c r="N38" i="159"/>
  <c r="P38" i="159"/>
  <c r="J39" i="159"/>
  <c r="E39" i="159"/>
  <c r="F39" i="159"/>
  <c r="C39" i="159"/>
  <c r="H39" i="159"/>
  <c r="K39" i="159"/>
  <c r="L39" i="159"/>
  <c r="M39" i="159"/>
  <c r="N39" i="159"/>
  <c r="P39" i="159"/>
  <c r="J40" i="159"/>
  <c r="E40" i="159"/>
  <c r="F40" i="159"/>
  <c r="C40" i="159"/>
  <c r="H40" i="159"/>
  <c r="K40" i="159"/>
  <c r="L40" i="159"/>
  <c r="M40" i="159"/>
  <c r="N40" i="159"/>
  <c r="P40" i="159"/>
  <c r="J41" i="159"/>
  <c r="E41" i="159"/>
  <c r="F41" i="159"/>
  <c r="C41" i="159"/>
  <c r="H41" i="159"/>
  <c r="K41" i="159"/>
  <c r="L41" i="159"/>
  <c r="M41" i="159"/>
  <c r="N41" i="159"/>
  <c r="P41" i="159"/>
  <c r="A38" i="159"/>
  <c r="A39" i="159"/>
  <c r="A40" i="159"/>
  <c r="A41" i="159"/>
  <c r="B30" i="153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D7" i="154"/>
  <c r="J7" i="154"/>
  <c r="E7" i="154"/>
  <c r="F7" i="154"/>
  <c r="C7" i="154"/>
  <c r="I8" i="154"/>
  <c r="D8" i="154"/>
  <c r="J8" i="154"/>
  <c r="E8" i="154"/>
  <c r="F8" i="154"/>
  <c r="C8" i="154"/>
  <c r="I9" i="154"/>
  <c r="D9" i="154"/>
  <c r="J9" i="154"/>
  <c r="E9" i="154"/>
  <c r="F9" i="154"/>
  <c r="C9" i="154"/>
  <c r="I10" i="154"/>
  <c r="D10" i="154"/>
  <c r="J10" i="154"/>
  <c r="E10" i="154"/>
  <c r="F10" i="154"/>
  <c r="C10" i="154"/>
  <c r="I11" i="154"/>
  <c r="D11" i="154"/>
  <c r="J11" i="154"/>
  <c r="E11" i="154"/>
  <c r="F11" i="154"/>
  <c r="C11" i="154"/>
  <c r="I12" i="154"/>
  <c r="D12" i="154"/>
  <c r="J12" i="154"/>
  <c r="E12" i="154"/>
  <c r="F12" i="154"/>
  <c r="C12" i="154"/>
  <c r="I13" i="154"/>
  <c r="D13" i="154"/>
  <c r="J13" i="154"/>
  <c r="E13" i="154"/>
  <c r="F13" i="154"/>
  <c r="C13" i="154"/>
  <c r="I14" i="154"/>
  <c r="D14" i="154"/>
  <c r="J14" i="154"/>
  <c r="E14" i="154"/>
  <c r="F14" i="154"/>
  <c r="C14" i="154"/>
  <c r="I15" i="154"/>
  <c r="D15" i="154"/>
  <c r="J15" i="154"/>
  <c r="E15" i="154"/>
  <c r="F15" i="154"/>
  <c r="C15" i="154"/>
  <c r="I16" i="154"/>
  <c r="D16" i="154"/>
  <c r="J16" i="154"/>
  <c r="E16" i="154"/>
  <c r="F16" i="154"/>
  <c r="C16" i="154"/>
  <c r="I17" i="154"/>
  <c r="D17" i="154"/>
  <c r="J17" i="154"/>
  <c r="E17" i="154"/>
  <c r="F17" i="154"/>
  <c r="C17" i="154"/>
  <c r="I18" i="154"/>
  <c r="D18" i="154"/>
  <c r="J18" i="154"/>
  <c r="E18" i="154"/>
  <c r="F18" i="154"/>
  <c r="C18" i="154"/>
  <c r="I19" i="154"/>
  <c r="D19" i="154"/>
  <c r="J19" i="154"/>
  <c r="E19" i="154"/>
  <c r="F19" i="154"/>
  <c r="C19" i="154"/>
  <c r="I20" i="154"/>
  <c r="D20" i="154"/>
  <c r="J20" i="154"/>
  <c r="E20" i="154"/>
  <c r="F20" i="154"/>
  <c r="C20" i="154"/>
  <c r="I21" i="154"/>
  <c r="D21" i="154"/>
  <c r="J21" i="154"/>
  <c r="E21" i="154"/>
  <c r="F21" i="154"/>
  <c r="C21" i="154"/>
  <c r="I22" i="154"/>
  <c r="D22" i="154"/>
  <c r="J22" i="154"/>
  <c r="E22" i="154"/>
  <c r="F22" i="154"/>
  <c r="C22" i="154"/>
  <c r="I23" i="154"/>
  <c r="D23" i="154"/>
  <c r="J23" i="154"/>
  <c r="E23" i="154"/>
  <c r="F23" i="154"/>
  <c r="C23" i="154"/>
  <c r="I24" i="154"/>
  <c r="D24" i="154"/>
  <c r="J24" i="154"/>
  <c r="E24" i="154"/>
  <c r="F24" i="154"/>
  <c r="C24" i="154"/>
  <c r="I25" i="154"/>
  <c r="D25" i="154"/>
  <c r="J25" i="154"/>
  <c r="E25" i="154"/>
  <c r="F25" i="154"/>
  <c r="C25" i="154"/>
  <c r="I26" i="154"/>
  <c r="D26" i="154"/>
  <c r="J26" i="154"/>
  <c r="E26" i="154"/>
  <c r="F26" i="154"/>
  <c r="C26" i="154"/>
  <c r="I27" i="154"/>
  <c r="D27" i="154"/>
  <c r="J27" i="154"/>
  <c r="E27" i="154"/>
  <c r="F27" i="154"/>
  <c r="C27" i="154"/>
  <c r="I28" i="154"/>
  <c r="D28" i="154"/>
  <c r="J28" i="154"/>
  <c r="E28" i="154"/>
  <c r="F28" i="154"/>
  <c r="C28" i="154"/>
  <c r="I29" i="154"/>
  <c r="D29" i="154"/>
  <c r="J29" i="154"/>
  <c r="E29" i="154"/>
  <c r="F29" i="154"/>
  <c r="C29" i="154"/>
  <c r="I30" i="154"/>
  <c r="D30" i="154"/>
  <c r="J30" i="154"/>
  <c r="E30" i="154"/>
  <c r="F30" i="154"/>
  <c r="C30" i="154"/>
  <c r="I31" i="154"/>
  <c r="D31" i="154"/>
  <c r="J31" i="154"/>
  <c r="E31" i="154"/>
  <c r="F31" i="154"/>
  <c r="C31" i="154"/>
  <c r="I32" i="154"/>
  <c r="D32" i="154"/>
  <c r="J32" i="154"/>
  <c r="E32" i="154"/>
  <c r="F32" i="154"/>
  <c r="C32" i="154"/>
  <c r="I33" i="154"/>
  <c r="D33" i="154"/>
  <c r="J33" i="154"/>
  <c r="E33" i="154"/>
  <c r="F33" i="154"/>
  <c r="C33" i="154"/>
  <c r="I34" i="154"/>
  <c r="D34" i="154"/>
  <c r="J34" i="154"/>
  <c r="E34" i="154"/>
  <c r="F34" i="154"/>
  <c r="C34" i="154"/>
  <c r="I35" i="154"/>
  <c r="D35" i="154"/>
  <c r="J35" i="154"/>
  <c r="E35" i="154"/>
  <c r="F35" i="154"/>
  <c r="C35" i="154"/>
  <c r="I36" i="154"/>
  <c r="D36" i="154"/>
  <c r="J36" i="154"/>
  <c r="E36" i="154"/>
  <c r="F36" i="154"/>
  <c r="C36" i="154"/>
  <c r="I37" i="154"/>
  <c r="D37" i="154"/>
  <c r="J37" i="154"/>
  <c r="E37" i="154"/>
  <c r="F37" i="154"/>
  <c r="C37" i="154"/>
  <c r="I38" i="154"/>
  <c r="D38" i="154"/>
  <c r="J38" i="154"/>
  <c r="E38" i="154"/>
  <c r="F38" i="154"/>
  <c r="C38" i="154"/>
  <c r="I39" i="154"/>
  <c r="J39" i="154"/>
  <c r="D39" i="154"/>
  <c r="E39" i="154"/>
  <c r="F39" i="154"/>
  <c r="C39" i="154"/>
  <c r="I40" i="154"/>
  <c r="D40" i="154"/>
  <c r="J40" i="154"/>
  <c r="E40" i="154"/>
  <c r="F40" i="154"/>
  <c r="C40" i="154"/>
  <c r="I41" i="154"/>
  <c r="D41" i="154"/>
  <c r="J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B10" i="153"/>
  <c r="M9" i="153"/>
  <c r="M8" i="153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R8" i="157"/>
  <c r="R9" i="157"/>
  <c r="P23" i="158"/>
  <c r="P24" i="158"/>
  <c r="P27" i="158"/>
  <c r="P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5" i="158"/>
  <c r="P26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F48" i="157"/>
  <c r="F49" i="157"/>
  <c r="G48" i="157"/>
  <c r="F42" i="157"/>
  <c r="G42" i="157"/>
  <c r="F35" i="157"/>
  <c r="F41" i="157"/>
  <c r="G41" i="157"/>
  <c r="F34" i="157"/>
  <c r="A36" i="153"/>
  <c r="G29" i="153"/>
  <c r="H29" i="153"/>
  <c r="J2" i="159"/>
  <c r="E2" i="159"/>
  <c r="F2" i="159"/>
  <c r="C2" i="159"/>
  <c r="G17" i="153"/>
  <c r="E17" i="153"/>
  <c r="H17" i="153"/>
  <c r="J3" i="159"/>
  <c r="E3" i="159"/>
  <c r="F3" i="159"/>
  <c r="C3" i="159"/>
  <c r="G18" i="153"/>
  <c r="H18" i="153"/>
  <c r="J4" i="159"/>
  <c r="E4" i="159"/>
  <c r="F4" i="159"/>
  <c r="C4" i="159"/>
  <c r="J5" i="159"/>
  <c r="E5" i="159"/>
  <c r="F5" i="159"/>
  <c r="C5" i="159"/>
  <c r="J6" i="159"/>
  <c r="E6" i="159"/>
  <c r="F6" i="159"/>
  <c r="C6" i="159"/>
  <c r="J7" i="159"/>
  <c r="E7" i="159"/>
  <c r="F7" i="159"/>
  <c r="C7" i="159"/>
  <c r="J8" i="159"/>
  <c r="E8" i="159"/>
  <c r="F8" i="159"/>
  <c r="C8" i="159"/>
  <c r="J9" i="159"/>
  <c r="E9" i="159"/>
  <c r="F9" i="159"/>
  <c r="C9" i="159"/>
  <c r="J10" i="159"/>
  <c r="E10" i="159"/>
  <c r="F10" i="159"/>
  <c r="C10" i="159"/>
  <c r="J11" i="159"/>
  <c r="E11" i="159"/>
  <c r="F11" i="159"/>
  <c r="C11" i="159"/>
  <c r="J12" i="159"/>
  <c r="E12" i="159"/>
  <c r="F12" i="159"/>
  <c r="C12" i="159"/>
  <c r="J13" i="159"/>
  <c r="E13" i="159"/>
  <c r="F13" i="159"/>
  <c r="C13" i="159"/>
  <c r="J14" i="159"/>
  <c r="E14" i="159"/>
  <c r="F14" i="159"/>
  <c r="C14" i="159"/>
  <c r="J15" i="159"/>
  <c r="E15" i="159"/>
  <c r="F15" i="159"/>
  <c r="C15" i="159"/>
  <c r="J16" i="159"/>
  <c r="E16" i="159"/>
  <c r="F16" i="159"/>
  <c r="C16" i="159"/>
  <c r="J17" i="159"/>
  <c r="E17" i="159"/>
  <c r="F17" i="159"/>
  <c r="C17" i="159"/>
  <c r="E18" i="159"/>
  <c r="F18" i="159"/>
  <c r="C18" i="159"/>
  <c r="J19" i="159"/>
  <c r="E19" i="159"/>
  <c r="F19" i="159"/>
  <c r="C19" i="159"/>
  <c r="J20" i="159"/>
  <c r="E20" i="159"/>
  <c r="F20" i="159"/>
  <c r="C20" i="159"/>
  <c r="J21" i="159"/>
  <c r="E21" i="159"/>
  <c r="F21" i="159"/>
  <c r="C21" i="159"/>
  <c r="J22" i="159"/>
  <c r="E22" i="159"/>
  <c r="F22" i="159"/>
  <c r="C22" i="159"/>
  <c r="J23" i="159"/>
  <c r="E23" i="159"/>
  <c r="F23" i="159"/>
  <c r="C23" i="159"/>
  <c r="J24" i="159"/>
  <c r="E24" i="159"/>
  <c r="F24" i="159"/>
  <c r="C24" i="159"/>
  <c r="J25" i="159"/>
  <c r="E25" i="159"/>
  <c r="F25" i="159"/>
  <c r="C25" i="159"/>
  <c r="J26" i="159"/>
  <c r="E26" i="159"/>
  <c r="F26" i="159"/>
  <c r="C26" i="159"/>
  <c r="J27" i="159"/>
  <c r="E27" i="159"/>
  <c r="F27" i="159"/>
  <c r="C27" i="159"/>
  <c r="J28" i="159"/>
  <c r="E28" i="159"/>
  <c r="F28" i="159"/>
  <c r="C28" i="159"/>
  <c r="J29" i="159"/>
  <c r="E29" i="159"/>
  <c r="F29" i="159"/>
  <c r="C29" i="159"/>
  <c r="J30" i="159"/>
  <c r="E30" i="159"/>
  <c r="F30" i="159"/>
  <c r="C30" i="159"/>
  <c r="J31" i="159"/>
  <c r="E31" i="159"/>
  <c r="F31" i="159"/>
  <c r="C31" i="159"/>
  <c r="J32" i="159"/>
  <c r="E32" i="159"/>
  <c r="F32" i="159"/>
  <c r="C32" i="159"/>
  <c r="J33" i="159"/>
  <c r="E33" i="159"/>
  <c r="F33" i="159"/>
  <c r="C33" i="159"/>
  <c r="J34" i="159"/>
  <c r="E34" i="159"/>
  <c r="F34" i="159"/>
  <c r="C34" i="159"/>
  <c r="J35" i="159"/>
  <c r="E35" i="159"/>
  <c r="F35" i="159"/>
  <c r="C35" i="159"/>
  <c r="J36" i="159"/>
  <c r="E36" i="159"/>
  <c r="F36" i="159"/>
  <c r="C36" i="159"/>
  <c r="J37" i="159"/>
  <c r="E37" i="159"/>
  <c r="F37" i="159"/>
  <c r="C37" i="159"/>
  <c r="G24" i="153"/>
  <c r="H24" i="153"/>
  <c r="G25" i="153"/>
  <c r="H25" i="153"/>
  <c r="G26" i="153"/>
  <c r="H26" i="153"/>
  <c r="G19" i="153"/>
  <c r="H19" i="153"/>
  <c r="G20" i="153"/>
  <c r="H20" i="153"/>
  <c r="G21" i="153"/>
  <c r="E21" i="153"/>
  <c r="H21" i="153"/>
  <c r="G27" i="153"/>
  <c r="H27" i="153"/>
  <c r="G28" i="153"/>
  <c r="H28" i="153"/>
  <c r="G23" i="153"/>
  <c r="H23" i="153"/>
  <c r="G22" i="153"/>
  <c r="H22" i="153"/>
  <c r="P37" i="159"/>
  <c r="N37" i="159"/>
  <c r="M37" i="159"/>
  <c r="L37" i="159"/>
  <c r="K37" i="159"/>
  <c r="H37" i="159"/>
  <c r="A37" i="159"/>
  <c r="P36" i="159"/>
  <c r="N36" i="159"/>
  <c r="M36" i="159"/>
  <c r="L36" i="159"/>
  <c r="K36" i="159"/>
  <c r="H36" i="159"/>
  <c r="A36" i="159"/>
  <c r="P35" i="159"/>
  <c r="N35" i="159"/>
  <c r="M35" i="159"/>
  <c r="L35" i="159"/>
  <c r="K35" i="159"/>
  <c r="H35" i="159"/>
  <c r="A35" i="159"/>
  <c r="P34" i="159"/>
  <c r="N34" i="159"/>
  <c r="M34" i="159"/>
  <c r="L34" i="159"/>
  <c r="K34" i="159"/>
  <c r="H34" i="159"/>
  <c r="A34" i="159"/>
  <c r="P33" i="159"/>
  <c r="N33" i="159"/>
  <c r="M33" i="159"/>
  <c r="L33" i="159"/>
  <c r="K33" i="159"/>
  <c r="H33" i="159"/>
  <c r="A33" i="159"/>
  <c r="P32" i="159"/>
  <c r="N32" i="159"/>
  <c r="M32" i="159"/>
  <c r="L32" i="159"/>
  <c r="K32" i="159"/>
  <c r="H32" i="159"/>
  <c r="A32" i="159"/>
  <c r="P31" i="159"/>
  <c r="N31" i="159"/>
  <c r="M31" i="159"/>
  <c r="L31" i="159"/>
  <c r="K31" i="159"/>
  <c r="H31" i="159"/>
  <c r="A31" i="159"/>
  <c r="P30" i="159"/>
  <c r="N30" i="159"/>
  <c r="M30" i="159"/>
  <c r="L30" i="159"/>
  <c r="K30" i="159"/>
  <c r="H30" i="159"/>
  <c r="A30" i="159"/>
  <c r="P29" i="159"/>
  <c r="N29" i="159"/>
  <c r="M29" i="159"/>
  <c r="L29" i="159"/>
  <c r="K29" i="159"/>
  <c r="H29" i="159"/>
  <c r="A29" i="159"/>
  <c r="P28" i="159"/>
  <c r="N28" i="159"/>
  <c r="M28" i="159"/>
  <c r="L28" i="159"/>
  <c r="K28" i="159"/>
  <c r="H28" i="159"/>
  <c r="A28" i="159"/>
  <c r="P27" i="159"/>
  <c r="N27" i="159"/>
  <c r="M27" i="159"/>
  <c r="L27" i="159"/>
  <c r="K27" i="159"/>
  <c r="H27" i="159"/>
  <c r="A27" i="159"/>
  <c r="P26" i="159"/>
  <c r="N26" i="159"/>
  <c r="M26" i="159"/>
  <c r="L26" i="159"/>
  <c r="K26" i="159"/>
  <c r="H26" i="159"/>
  <c r="A26" i="159"/>
  <c r="P25" i="159"/>
  <c r="N25" i="159"/>
  <c r="M25" i="159"/>
  <c r="L25" i="159"/>
  <c r="K25" i="159"/>
  <c r="H25" i="159"/>
  <c r="A25" i="159"/>
  <c r="P24" i="159"/>
  <c r="N24" i="159"/>
  <c r="M24" i="159"/>
  <c r="L24" i="159"/>
  <c r="K24" i="159"/>
  <c r="H24" i="159"/>
  <c r="A24" i="159"/>
  <c r="P23" i="159"/>
  <c r="N23" i="159"/>
  <c r="M23" i="159"/>
  <c r="L23" i="159"/>
  <c r="K23" i="159"/>
  <c r="H23" i="159"/>
  <c r="A23" i="159"/>
  <c r="P22" i="159"/>
  <c r="N22" i="159"/>
  <c r="M22" i="159"/>
  <c r="L22" i="159"/>
  <c r="K22" i="159"/>
  <c r="H22" i="159"/>
  <c r="A22" i="159"/>
  <c r="P21" i="159"/>
  <c r="N21" i="159"/>
  <c r="M21" i="159"/>
  <c r="L21" i="159"/>
  <c r="K21" i="159"/>
  <c r="H21" i="159"/>
  <c r="A21" i="159"/>
  <c r="P20" i="159"/>
  <c r="N20" i="159"/>
  <c r="M20" i="159"/>
  <c r="L20" i="159"/>
  <c r="K20" i="159"/>
  <c r="H20" i="159"/>
  <c r="A20" i="159"/>
  <c r="P19" i="159"/>
  <c r="N19" i="159"/>
  <c r="M19" i="159"/>
  <c r="L19" i="159"/>
  <c r="K19" i="159"/>
  <c r="H19" i="159"/>
  <c r="A19" i="159"/>
  <c r="P18" i="159"/>
  <c r="N18" i="159"/>
  <c r="M18" i="159"/>
  <c r="L18" i="159"/>
  <c r="K18" i="159"/>
  <c r="H18" i="159"/>
  <c r="A18" i="159"/>
  <c r="P17" i="159"/>
  <c r="N17" i="159"/>
  <c r="M17" i="159"/>
  <c r="L17" i="159"/>
  <c r="K17" i="159"/>
  <c r="H17" i="159"/>
  <c r="A17" i="159"/>
  <c r="P16" i="159"/>
  <c r="N16" i="159"/>
  <c r="M16" i="159"/>
  <c r="L16" i="159"/>
  <c r="K16" i="159"/>
  <c r="H16" i="159"/>
  <c r="A16" i="159"/>
  <c r="P15" i="159"/>
  <c r="N15" i="159"/>
  <c r="M15" i="159"/>
  <c r="L15" i="159"/>
  <c r="K15" i="159"/>
  <c r="H15" i="159"/>
  <c r="A15" i="159"/>
  <c r="P14" i="159"/>
  <c r="N14" i="159"/>
  <c r="M14" i="159"/>
  <c r="L14" i="159"/>
  <c r="K14" i="159"/>
  <c r="H14" i="159"/>
  <c r="A14" i="159"/>
  <c r="P13" i="159"/>
  <c r="N13" i="159"/>
  <c r="M13" i="159"/>
  <c r="L13" i="159"/>
  <c r="K13" i="159"/>
  <c r="H13" i="159"/>
  <c r="A13" i="159"/>
  <c r="P12" i="159"/>
  <c r="N12" i="159"/>
  <c r="M12" i="159"/>
  <c r="L12" i="159"/>
  <c r="K12" i="159"/>
  <c r="H12" i="159"/>
  <c r="A12" i="159"/>
  <c r="P11" i="159"/>
  <c r="N11" i="159"/>
  <c r="M11" i="159"/>
  <c r="L11" i="159"/>
  <c r="K11" i="159"/>
  <c r="H11" i="159"/>
  <c r="A11" i="159"/>
  <c r="P10" i="159"/>
  <c r="N10" i="159"/>
  <c r="M10" i="159"/>
  <c r="L10" i="159"/>
  <c r="K10" i="159"/>
  <c r="H10" i="159"/>
  <c r="A10" i="159"/>
  <c r="P9" i="159"/>
  <c r="N9" i="159"/>
  <c r="M9" i="159"/>
  <c r="L9" i="159"/>
  <c r="K9" i="159"/>
  <c r="H9" i="159"/>
  <c r="A9" i="159"/>
  <c r="P8" i="159"/>
  <c r="N8" i="159"/>
  <c r="M8" i="159"/>
  <c r="L8" i="159"/>
  <c r="K8" i="159"/>
  <c r="H8" i="159"/>
  <c r="A8" i="159"/>
  <c r="P7" i="159"/>
  <c r="N7" i="159"/>
  <c r="M7" i="159"/>
  <c r="L7" i="159"/>
  <c r="K7" i="159"/>
  <c r="H7" i="159"/>
  <c r="A7" i="159"/>
  <c r="P6" i="159"/>
  <c r="N6" i="159"/>
  <c r="M6" i="159"/>
  <c r="L6" i="159"/>
  <c r="K6" i="159"/>
  <c r="H6" i="159"/>
  <c r="A6" i="159"/>
  <c r="P5" i="159"/>
  <c r="N5" i="159"/>
  <c r="M5" i="159"/>
  <c r="L5" i="159"/>
  <c r="K5" i="159"/>
  <c r="H5" i="159"/>
  <c r="A5" i="159"/>
  <c r="P4" i="159"/>
  <c r="N4" i="159"/>
  <c r="M4" i="159"/>
  <c r="L4" i="159"/>
  <c r="K4" i="159"/>
  <c r="H4" i="159"/>
  <c r="A4" i="159"/>
  <c r="P3" i="159"/>
  <c r="N3" i="159"/>
  <c r="M3" i="159"/>
  <c r="L3" i="159"/>
  <c r="K3" i="159"/>
  <c r="H3" i="159"/>
  <c r="A3" i="159"/>
  <c r="P2" i="159"/>
  <c r="N2" i="159"/>
  <c r="M2" i="159"/>
  <c r="L2" i="159"/>
  <c r="K2" i="159"/>
  <c r="H2" i="159"/>
  <c r="A2" i="159"/>
  <c r="O2" i="154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O42" i="154"/>
  <c r="O43" i="154"/>
  <c r="O44" i="154"/>
  <c r="O45" i="154"/>
  <c r="O46" i="154"/>
  <c r="O47" i="154"/>
  <c r="O48" i="154"/>
  <c r="O49" i="154"/>
  <c r="O50" i="154"/>
  <c r="O51" i="154"/>
  <c r="O52" i="154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R3" i="153"/>
  <c r="O68" i="154"/>
  <c r="R4" i="153"/>
  <c r="O69" i="154"/>
  <c r="E30" i="153"/>
  <c r="G30" i="153"/>
  <c r="H30" i="153"/>
  <c r="R5" i="153"/>
  <c r="O70" i="154"/>
  <c r="E31" i="153"/>
  <c r="G31" i="153"/>
  <c r="H31" i="153"/>
  <c r="R6" i="153"/>
  <c r="O71" i="154"/>
  <c r="R7" i="153"/>
  <c r="O72" i="154"/>
  <c r="R8" i="153"/>
  <c r="R9" i="153"/>
  <c r="B10" i="157"/>
  <c r="G17" i="157"/>
  <c r="E17" i="157"/>
  <c r="H17" i="157"/>
  <c r="G24" i="157"/>
  <c r="H24" i="157"/>
  <c r="G19" i="157"/>
  <c r="H19" i="157"/>
  <c r="F41" i="153"/>
  <c r="G41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F49" i="153"/>
  <c r="F42" i="153"/>
  <c r="G42" i="153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C4" i="103"/>
  <c r="E4" i="103"/>
  <c r="B30" i="157"/>
  <c r="R10" i="153"/>
  <c r="R10" i="157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C5" i="103"/>
  <c r="E5" i="103"/>
  <c r="C6" i="103"/>
  <c r="E6" i="103"/>
  <c r="C2" i="103"/>
  <c r="E2" i="103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V8" i="153"/>
  <c r="P8" i="153"/>
  <c r="O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<sst xmlns="http://schemas.openxmlformats.org/spreadsheetml/2006/main" count="535" uniqueCount="255">
  <si>
    <t>character_id</t>
  </si>
  <si>
    <t>character_id</t>
    <phoneticPr fontId="20"/>
  </si>
  <si>
    <t>weight</t>
    <phoneticPr fontId="20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</si>
  <si>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</si>
  <si>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</si>
  <si>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</si>
  <si>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</si>
  <si>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</si>
  <si>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</si>
  <si>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</si>
  <si>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0"/>
  </si>
  <si>
    <t>bonus_table_no</t>
    <phoneticPr fontId="20"/>
  </si>
  <si>
    <t>weight</t>
    <phoneticPr fontId="20"/>
  </si>
  <si>
    <t>gift_id</t>
    <phoneticPr fontId="20"/>
  </si>
  <si>
    <t>gift_id</t>
    <phoneticPr fontId="20"/>
  </si>
  <si>
    <t>gift_type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</si>
  <si>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</si>
  <si>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</si>
  <si>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</si>
  <si>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</si>
  <si>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</si>
  <si>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</si>
  <si>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gift_id</t>
    <phoneticPr fontId="20"/>
  </si>
  <si>
    <t>gift_value</t>
    <phoneticPr fontId="20"/>
  </si>
  <si>
    <t>gift_value</t>
    <phoneticPr fontId="20"/>
  </si>
  <si>
    <t>gift_count</t>
    <phoneticPr fontId="20"/>
  </si>
  <si>
    <t>language</t>
    <phoneticPr fontId="20"/>
  </si>
  <si>
    <t>title</t>
    <phoneticPr fontId="20"/>
  </si>
  <si>
    <t>detail</t>
    <phoneticPr fontId="20"/>
  </si>
  <si>
    <t>message</t>
    <phoneticPr fontId="20"/>
  </si>
  <si>
    <t>gift_type</t>
    <phoneticPr fontId="20"/>
  </si>
  <si>
    <t>備考</t>
    <rPh sb="0" eb="2">
      <t>ビコウ</t>
    </rPh>
    <phoneticPr fontId="20"/>
  </si>
  <si>
    <t>character_id</t>
    <phoneticPr fontId="20"/>
  </si>
  <si>
    <t>name</t>
    <phoneticPr fontId="20"/>
  </si>
  <si>
    <t>drop_label</t>
    <phoneticPr fontId="20"/>
  </si>
  <si>
    <t>rare</t>
    <phoneticPr fontId="20"/>
  </si>
  <si>
    <t>character_type_id</t>
    <phoneticPr fontId="20"/>
  </si>
  <si>
    <t>character_tribe_id</t>
    <phoneticPr fontId="20"/>
  </si>
  <si>
    <t>unit_level</t>
    <phoneticPr fontId="20"/>
  </si>
  <si>
    <t>接頭語</t>
    <rPh sb="0" eb="3">
      <t>セットウゴ</t>
    </rPh>
    <phoneticPr fontId="53"/>
  </si>
  <si>
    <t>識別子</t>
    <rPh sb="0" eb="3">
      <t>シキベツシ</t>
    </rPh>
    <phoneticPr fontId="53"/>
  </si>
  <si>
    <t>形式</t>
    <rPh sb="0" eb="2">
      <t>ケイシキ</t>
    </rPh>
    <phoneticPr fontId="53"/>
  </si>
  <si>
    <t>出力ファイル名</t>
    <rPh sb="0" eb="2">
      <t>シュツリョク</t>
    </rPh>
    <rPh sb="6" eb="7">
      <t>メイ</t>
    </rPh>
    <phoneticPr fontId="53"/>
  </si>
  <si>
    <t>入力シート名</t>
    <rPh sb="0" eb="2">
      <t>ニュウリョク</t>
    </rPh>
    <rPh sb="5" eb="6">
      <t>メイ</t>
    </rPh>
    <phoneticPr fontId="53"/>
  </si>
  <si>
    <t>出力データ</t>
    <rPh sb="0" eb="2">
      <t>シュツリョク</t>
    </rPh>
    <phoneticPr fontId="53"/>
  </si>
  <si>
    <t>.tmp</t>
    <phoneticPr fontId="53"/>
  </si>
  <si>
    <t>.tmp</t>
    <phoneticPr fontId="53"/>
  </si>
  <si>
    <t>gacha_bonus_tables</t>
    <phoneticPr fontId="53"/>
  </si>
  <si>
    <t>gifts_tmp_</t>
    <phoneticPr fontId="20"/>
  </si>
  <si>
    <t>gifts_i18n_</t>
    <phoneticPr fontId="20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</si>
  <si>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0"/>
  </si>
  <si>
    <t>出力flg</t>
    <rPh sb="0" eb="2">
      <t>シュツリョク</t>
    </rPh>
    <phoneticPr fontId="53"/>
  </si>
  <si>
    <t>color</t>
    <phoneticPr fontId="20"/>
  </si>
  <si>
    <t>レアリティ別確率</t>
    <rPh sb="5" eb="6">
      <t>ベツ</t>
    </rPh>
    <rPh sb="6" eb="8">
      <t>カクリツ</t>
    </rPh>
    <phoneticPr fontId="20"/>
  </si>
  <si>
    <t>ラベル別確率</t>
    <rPh sb="3" eb="4">
      <t>ベツ</t>
    </rPh>
    <rPh sb="4" eb="6">
      <t>カクリツ</t>
    </rPh>
    <phoneticPr fontId="20"/>
  </si>
  <si>
    <t>SSS</t>
    <phoneticPr fontId="20"/>
  </si>
  <si>
    <t>SS</t>
    <phoneticPr fontId="20"/>
  </si>
  <si>
    <t>ラベル*レアリティ標準確率</t>
    <rPh sb="9" eb="11">
      <t>ヒョウジュン</t>
    </rPh>
    <rPh sb="11" eb="13">
      <t>カクリツ</t>
    </rPh>
    <phoneticPr fontId="20"/>
  </si>
  <si>
    <t>性別</t>
    <rPh sb="0" eb="2">
      <t>セイベツ</t>
    </rPh>
    <phoneticPr fontId="20"/>
  </si>
  <si>
    <t>合計</t>
    <rPh sb="0" eb="2">
      <t>ゴウケイ</t>
    </rPh>
    <phoneticPr fontId="20"/>
  </si>
  <si>
    <t>グループ</t>
    <phoneticPr fontId="20"/>
  </si>
  <si>
    <t>ピックアップ確率</t>
    <rPh sb="6" eb="8">
      <t>カクリツ</t>
    </rPh>
    <phoneticPr fontId="20"/>
  </si>
  <si>
    <t>残り確率</t>
    <rPh sb="0" eb="1">
      <t>ノコ</t>
    </rPh>
    <rPh sb="2" eb="4">
      <t>カクリツ</t>
    </rPh>
    <phoneticPr fontId="20"/>
  </si>
  <si>
    <t>確率</t>
    <rPh sb="0" eb="2">
      <t>カクリツ</t>
    </rPh>
    <phoneticPr fontId="20"/>
  </si>
  <si>
    <t>所属グループ</t>
    <rPh sb="0" eb="2">
      <t>ショゾク</t>
    </rPh>
    <phoneticPr fontId="20"/>
  </si>
  <si>
    <t>名前</t>
    <rPh sb="0" eb="2">
      <t>ナマエ</t>
    </rPh>
    <phoneticPr fontId="20"/>
  </si>
  <si>
    <t>レアリティ</t>
    <phoneticPr fontId="20"/>
  </si>
  <si>
    <t>ラベル</t>
    <phoneticPr fontId="20"/>
  </si>
  <si>
    <t>R3</t>
    <phoneticPr fontId="20"/>
  </si>
  <si>
    <t>R4</t>
    <phoneticPr fontId="20"/>
  </si>
  <si>
    <t>R5</t>
    <phoneticPr fontId="20"/>
  </si>
  <si>
    <t>個別確率</t>
    <rPh sb="0" eb="4">
      <t>コベツカクリツ</t>
    </rPh>
    <phoneticPr fontId="20"/>
  </si>
  <si>
    <t>該当数(ピックアップ除く)</t>
    <rPh sb="0" eb="2">
      <t>ガイトウ</t>
    </rPh>
    <rPh sb="2" eb="3">
      <t>スウ</t>
    </rPh>
    <rPh sb="10" eb="11">
      <t>ノゾ</t>
    </rPh>
    <phoneticPr fontId="20"/>
  </si>
  <si>
    <t>個別weight</t>
    <rPh sb="0" eb="2">
      <t>コベツ</t>
    </rPh>
    <phoneticPr fontId="20"/>
  </si>
  <si>
    <t>グループweight</t>
    <phoneticPr fontId="20"/>
  </si>
  <si>
    <t>端数</t>
    <rPh sb="0" eb="2">
      <t>ハスウ</t>
    </rPh>
    <phoneticPr fontId="20"/>
  </si>
  <si>
    <t>--検算用--</t>
    <rPh sb="3" eb="6">
      <t>ケンザンヨウ</t>
    </rPh>
    <phoneticPr fontId="20"/>
  </si>
  <si>
    <t>端数逆数</t>
    <rPh sb="0" eb="2">
      <t>ハスウ</t>
    </rPh>
    <rPh sb="2" eb="4">
      <t>ギャクスウ</t>
    </rPh>
    <phoneticPr fontId="20"/>
  </si>
  <si>
    <t>テーブルを増やしたい場合</t>
    <rPh sb="5" eb="6">
      <t>フ</t>
    </rPh>
    <rPh sb="10" eb="12">
      <t>バアイ</t>
    </rPh>
    <phoneticPr fontId="20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</si>
  <si>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0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</si>
  <si>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0"/>
  </si>
  <si>
    <t>３．outputシートで２で作ったtablesを指定する</t>
    <rPh sb="14" eb="15">
      <t>ツク</t>
    </rPh>
    <rPh sb="24" eb="26">
      <t>シテイ</t>
    </rPh>
    <phoneticPr fontId="20"/>
  </si>
  <si>
    <t>テーブルid</t>
    <phoneticPr fontId="20"/>
  </si>
  <si>
    <t>→ピックアップの確率は右のほうにいます</t>
    <rPh sb="8" eb="10">
      <t>カクリツ</t>
    </rPh>
    <rPh sb="11" eb="12">
      <t>ミギ</t>
    </rPh>
    <phoneticPr fontId="20"/>
  </si>
  <si>
    <t>table_no</t>
    <phoneticPr fontId="20"/>
  </si>
  <si>
    <t>table_no</t>
    <phoneticPr fontId="20"/>
  </si>
  <si>
    <t>skill_level</t>
  </si>
  <si>
    <t>level</t>
  </si>
  <si>
    <t>hp_plus</t>
    <phoneticPr fontId="53"/>
  </si>
  <si>
    <t>attack_plus</t>
    <phoneticPr fontId="53"/>
  </si>
  <si>
    <t>heal_plus</t>
    <phoneticPr fontId="53"/>
  </si>
  <si>
    <t>defense_plus</t>
    <phoneticPr fontId="53"/>
  </si>
  <si>
    <t>level</t>
    <phoneticPr fontId="53"/>
  </si>
  <si>
    <t>skill_level</t>
    <phoneticPr fontId="53"/>
  </si>
  <si>
    <t>bug</t>
    <phoneticPr fontId="53"/>
  </si>
  <si>
    <t>drop_label2</t>
    <phoneticPr fontId="20"/>
  </si>
  <si>
    <t>Premium</t>
    <phoneticPr fontId="20"/>
  </si>
  <si>
    <t>Premium3</t>
    <phoneticPr fontId="20"/>
  </si>
  <si>
    <t>Premium4</t>
    <phoneticPr fontId="20"/>
  </si>
  <si>
    <t>Premium5</t>
    <phoneticPr fontId="20"/>
  </si>
  <si>
    <t>グループ確率</t>
    <rPh sb="4" eb="6">
      <t>カクリツ</t>
    </rPh>
    <phoneticPr fontId="20"/>
  </si>
  <si>
    <t>レア度別確率</t>
    <rPh sb="2" eb="4">
      <t>ドベツ</t>
    </rPh>
    <rPh sb="4" eb="6">
      <t>カクリツ</t>
    </rPh>
    <phoneticPr fontId="20"/>
  </si>
  <si>
    <t>color2</t>
    <phoneticPr fontId="20"/>
  </si>
  <si>
    <t>Premium3</t>
  </si>
  <si>
    <t>Premium4</t>
  </si>
  <si>
    <t>Premium5</t>
  </si>
  <si>
    <t>PremiumSS4</t>
    <phoneticPr fontId="20"/>
  </si>
  <si>
    <t>PremiumSS5</t>
    <phoneticPr fontId="20"/>
  </si>
  <si>
    <t>PremiumSSS5</t>
    <phoneticPr fontId="20"/>
  </si>
  <si>
    <t>PremiumSSS4</t>
    <phoneticPr fontId="20"/>
  </si>
  <si>
    <t>gacha_select_tables_</t>
    <phoneticPr fontId="20"/>
  </si>
  <si>
    <t>ラベル確率で考えましょう</t>
    <rPh sb="6" eb="7">
      <t>カンガエマショウ</t>
    </rPh>
    <phoneticPr fontId="53"/>
  </si>
  <si>
    <t>ラベル</t>
    <phoneticPr fontId="53"/>
  </si>
  <si>
    <t>レアリティ</t>
    <phoneticPr fontId="53"/>
  </si>
  <si>
    <t>{W}</t>
    <phoneticPr fontId="53"/>
  </si>
  <si>
    <t>{N,S}</t>
    <phoneticPr fontId="53"/>
  </si>
  <si>
    <t>{N,S}R3less</t>
    <phoneticPr fontId="53"/>
  </si>
  <si>
    <t>{N,S}R6release</t>
    <phoneticPr fontId="53"/>
  </si>
  <si>
    <t>{SS}</t>
    <phoneticPr fontId="53"/>
  </si>
  <si>
    <t>{SS}R6only</t>
    <phoneticPr fontId="53"/>
  </si>
  <si>
    <t>小計</t>
    <rPh sb="0" eb="2">
      <t>ショウケイ</t>
    </rPh>
    <phoneticPr fontId="53"/>
  </si>
  <si>
    <t>A</t>
    <phoneticPr fontId="53"/>
  </si>
  <si>
    <t>C</t>
    <phoneticPr fontId="53"/>
  </si>
  <si>
    <t>H</t>
    <phoneticPr fontId="53"/>
  </si>
  <si>
    <t>B</t>
    <phoneticPr fontId="53"/>
  </si>
  <si>
    <t>D</t>
    <phoneticPr fontId="53"/>
  </si>
  <si>
    <t>F</t>
    <phoneticPr fontId="53"/>
  </si>
  <si>
    <t>I</t>
    <phoneticPr fontId="53"/>
  </si>
  <si>
    <t>K</t>
    <phoneticPr fontId="53"/>
  </si>
  <si>
    <t>E</t>
    <phoneticPr fontId="53"/>
  </si>
  <si>
    <t>G</t>
    <phoneticPr fontId="53"/>
  </si>
  <si>
    <t>J</t>
    <phoneticPr fontId="53"/>
  </si>
  <si>
    <t>L</t>
    <phoneticPr fontId="53"/>
  </si>
  <si>
    <t>M</t>
    <phoneticPr fontId="53"/>
  </si>
  <si>
    <t>→</t>
    <phoneticPr fontId="53"/>
  </si>
  <si>
    <t>1-SS率</t>
    <rPh sb="4" eb="5">
      <t>リツ</t>
    </rPh>
    <phoneticPr fontId="53"/>
  </si>
  <si>
    <t>SS率</t>
    <rPh sb="2" eb="3">
      <t>リツ</t>
    </rPh>
    <phoneticPr fontId="53"/>
  </si>
  <si>
    <t>考え方を変える</t>
    <rPh sb="0" eb="1">
      <t>カンガエカタ</t>
    </rPh>
    <rPh sb="4" eb="5">
      <t>カエル</t>
    </rPh>
    <phoneticPr fontId="53"/>
  </si>
  <si>
    <t>SS4%は確定事項</t>
    <rPh sb="5" eb="7">
      <t>カクテイ</t>
    </rPh>
    <rPh sb="7" eb="9">
      <t>ジコウ</t>
    </rPh>
    <phoneticPr fontId="53"/>
  </si>
  <si>
    <t>当たりは分配</t>
    <rPh sb="0" eb="1">
      <t>アタリ</t>
    </rPh>
    <rPh sb="4" eb="6">
      <t>ブンパイ</t>
    </rPh>
    <phoneticPr fontId="53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</si>
  <si>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3"/>
  </si>
  <si>
    <t>=</t>
    <phoneticPr fontId="53"/>
  </si>
  <si>
    <t>X*{SS R5only}</t>
    <phoneticPr fontId="53"/>
  </si>
  <si>
    <t>K</t>
    <phoneticPr fontId="53"/>
  </si>
  <si>
    <t>=</t>
    <phoneticPr fontId="53"/>
  </si>
  <si>
    <t>X*{SS}*(R3率+R4率)</t>
    <rPh sb="10" eb="11">
      <t>リツ</t>
    </rPh>
    <rPh sb="14" eb="15">
      <t>リツ</t>
    </rPh>
    <phoneticPr fontId="53"/>
  </si>
  <si>
    <t>L</t>
    <phoneticPr fontId="53"/>
  </si>
  <si>
    <t>X*{SS}*R5率</t>
    <rPh sb="9" eb="10">
      <t>リツ</t>
    </rPh>
    <phoneticPr fontId="53"/>
  </si>
  <si>
    <t>X*{R6release}*R3率</t>
    <rPh sb="16" eb="17">
      <t>リツ</t>
    </rPh>
    <phoneticPr fontId="53"/>
  </si>
  <si>
    <t>X*{R6release}*R4率</t>
    <rPh sb="16" eb="17">
      <t>リツ</t>
    </rPh>
    <phoneticPr fontId="53"/>
  </si>
  <si>
    <t>J</t>
    <phoneticPr fontId="53"/>
  </si>
  <si>
    <t>X*{R6release}*R5率</t>
    <rPh sb="16" eb="17">
      <t>リツ</t>
    </rPh>
    <phoneticPr fontId="53"/>
  </si>
  <si>
    <t>ハズレで確率を整える</t>
    <rPh sb="4" eb="6">
      <t>カクリツ</t>
    </rPh>
    <rPh sb="7" eb="8">
      <t>トトノエル</t>
    </rPh>
    <phoneticPr fontId="53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</si>
  <si>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3"/>
  </si>
  <si>
    <t>A + C</t>
    <phoneticPr fontId="53"/>
  </si>
  <si>
    <t>=</t>
    <phoneticPr fontId="53"/>
  </si>
  <si>
    <t>50%-H</t>
    <phoneticPr fontId="53"/>
  </si>
  <si>
    <t>①</t>
    <phoneticPr fontId="53"/>
  </si>
  <si>
    <t>B + D + F</t>
    <phoneticPr fontId="53"/>
  </si>
  <si>
    <t>45%-I-K</t>
    <phoneticPr fontId="53"/>
  </si>
  <si>
    <t>②</t>
    <phoneticPr fontId="53"/>
  </si>
  <si>
    <t>E+G</t>
    <phoneticPr fontId="53"/>
  </si>
  <si>
    <t>5%-J-L-M</t>
    <phoneticPr fontId="53"/>
  </si>
  <si>
    <t>③</t>
    <phoneticPr fontId="53"/>
  </si>
  <si>
    <t>A+B</t>
    <phoneticPr fontId="53"/>
  </si>
  <si>
    <t>Y*{W}</t>
    <phoneticPr fontId="53"/>
  </si>
  <si>
    <t>④</t>
    <phoneticPr fontId="53"/>
  </si>
  <si>
    <t>C+D+E</t>
    <phoneticPr fontId="53"/>
  </si>
  <si>
    <t>Y*{N,S}</t>
    <phoneticPr fontId="53"/>
  </si>
  <si>
    <t>⑤</t>
    <phoneticPr fontId="53"/>
  </si>
  <si>
    <t>F+G</t>
    <phoneticPr fontId="53"/>
  </si>
  <si>
    <t>Y*{N,S R3less}</t>
    <phoneticPr fontId="53"/>
  </si>
  <si>
    <t>⑥</t>
    <phoneticPr fontId="53"/>
  </si>
  <si>
    <t>A+B+C+D+E+F+G</t>
    <phoneticPr fontId="53"/>
  </si>
  <si>
    <t>⑦</t>
    <phoneticPr fontId="53"/>
  </si>
  <si>
    <t>←これは4,5,6で作れるのでダメだわ</t>
    <rPh sb="10" eb="11">
      <t>ツクレル</t>
    </rPh>
    <phoneticPr fontId="53"/>
  </si>
  <si>
    <t>E*R3率/R5率</t>
    <rPh sb="4" eb="5">
      <t>リツ</t>
    </rPh>
    <rPh sb="8" eb="9">
      <t>リツ</t>
    </rPh>
    <phoneticPr fontId="53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</si>
  <si>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3"/>
  </si>
  <si>
    <t>E*R4率/R5率</t>
    <rPh sb="4" eb="5">
      <t>リツ</t>
    </rPh>
    <rPh sb="8" eb="9">
      <t>リツ</t>
    </rPh>
    <phoneticPr fontId="53"/>
  </si>
  <si>
    <t>∴</t>
    <phoneticPr fontId="53"/>
  </si>
  <si>
    <t>E</t>
    <phoneticPr fontId="53"/>
  </si>
  <si>
    <t>Y*{N,S}*R5率</t>
    <rPh sb="10" eb="11">
      <t>リツ</t>
    </rPh>
    <phoneticPr fontId="53"/>
  </si>
  <si>
    <t>Y*{N,S}*R4率</t>
    <rPh sb="10" eb="11">
      <t>リツ</t>
    </rPh>
    <phoneticPr fontId="53"/>
  </si>
  <si>
    <t>Y*{N,S}*R3率</t>
    <rPh sb="10" eb="11">
      <t>リツ</t>
    </rPh>
    <phoneticPr fontId="53"/>
  </si>
  <si>
    <t>50%-H-C</t>
    <phoneticPr fontId="53"/>
  </si>
  <si>
    <t>Y*{W}-A</t>
    <phoneticPr fontId="53"/>
  </si>
  <si>
    <t>5%-J-L-M-E</t>
    <phoneticPr fontId="53"/>
  </si>
  <si>
    <t>Y*{N,S R3less} - G</t>
    <phoneticPr fontId="53"/>
  </si>
  <si>
    <t>R6境界前後</t>
    <rPh sb="2" eb="4">
      <t>キョウカイ</t>
    </rPh>
    <rPh sb="4" eb="6">
      <t>ゼンゴ</t>
    </rPh>
    <phoneticPr fontId="20"/>
  </si>
  <si>
    <t>R6事後開放N,S</t>
    <rPh sb="2" eb="6">
      <t>ジゴカイホウ</t>
    </rPh>
    <phoneticPr fontId="20"/>
  </si>
  <si>
    <t>PremiumW3</t>
    <phoneticPr fontId="20"/>
  </si>
  <si>
    <t>PremiumW4</t>
    <phoneticPr fontId="20"/>
  </si>
  <si>
    <t>ラベル確率</t>
    <rPh sb="3" eb="5">
      <t>カクリツ</t>
    </rPh>
    <phoneticPr fontId="20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</si>
  <si>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</si>
  <si>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</si>
  <si>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</si>
  <si>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</si>
  <si>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</si>
  <si>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0"/>
  </si>
  <si>
    <t>PremiumSS5R5only</t>
  </si>
  <si>
    <t>計算用中間データ</t>
    <rPh sb="0" eb="3">
      <t>ケイサンヨウ</t>
    </rPh>
    <rPh sb="3" eb="5">
      <t>チュウカン</t>
    </rPh>
    <phoneticPr fontId="20"/>
  </si>
  <si>
    <t>X</t>
    <phoneticPr fontId="20"/>
  </si>
  <si>
    <t>Y</t>
    <phoneticPr fontId="20"/>
  </si>
  <si>
    <t>対象数</t>
    <rPh sb="0" eb="3">
      <t>タイショウスウ</t>
    </rPh>
    <phoneticPr fontId="20"/>
  </si>
  <si>
    <t>PremiumW</t>
    <phoneticPr fontId="20"/>
  </si>
  <si>
    <t>PremiumN</t>
    <phoneticPr fontId="20"/>
  </si>
  <si>
    <t>PremiumS</t>
    <phoneticPr fontId="20"/>
  </si>
  <si>
    <t>PremiumSS</t>
    <phoneticPr fontId="20"/>
  </si>
  <si>
    <t>←R6分はここから差し引く</t>
    <rPh sb="3" eb="4">
      <t>ブン</t>
    </rPh>
    <rPh sb="9" eb="10">
      <t>サシヒク</t>
    </rPh>
    <phoneticPr fontId="20"/>
  </si>
  <si>
    <t>除外確率</t>
    <rPh sb="0" eb="2">
      <t>ジョガイ</t>
    </rPh>
    <rPh sb="2" eb="4">
      <t>カクリツ</t>
    </rPh>
    <phoneticPr fontId="20"/>
  </si>
  <si>
    <t>除外数</t>
    <rPh sb="0" eb="3">
      <t>ジョガイスウ</t>
    </rPh>
    <phoneticPr fontId="20"/>
  </si>
  <si>
    <t>もうここは手で入れよう…</t>
    <rPh sb="5" eb="6">
      <t>テ</t>
    </rPh>
    <rPh sb="7" eb="8">
      <t>イレヨウ</t>
    </rPh>
    <phoneticPr fontId="20"/>
  </si>
  <si>
    <t>通常weight</t>
    <rPh sb="0" eb="2">
      <t>ツウジョウ</t>
    </rPh>
    <phoneticPr fontId="20"/>
  </si>
  <si>
    <t>A</t>
    <phoneticPr fontId="20"/>
  </si>
  <si>
    <t>B</t>
    <phoneticPr fontId="20"/>
  </si>
  <si>
    <t>PremiumW4</t>
    <phoneticPr fontId="20"/>
  </si>
  <si>
    <t>C</t>
    <phoneticPr fontId="20"/>
  </si>
  <si>
    <t>Premium3</t>
    <phoneticPr fontId="20"/>
  </si>
  <si>
    <t>D</t>
    <phoneticPr fontId="20"/>
  </si>
  <si>
    <t>Premium4</t>
    <phoneticPr fontId="20"/>
  </si>
  <si>
    <t>E</t>
    <phoneticPr fontId="20"/>
  </si>
  <si>
    <t>Premium5</t>
    <phoneticPr fontId="20"/>
  </si>
  <si>
    <t>F</t>
    <phoneticPr fontId="20"/>
  </si>
  <si>
    <t>Premium4R3less</t>
    <phoneticPr fontId="20"/>
  </si>
  <si>
    <t>G</t>
    <phoneticPr fontId="20"/>
  </si>
  <si>
    <t>Premium5R3less</t>
    <phoneticPr fontId="20"/>
  </si>
  <si>
    <t>H</t>
    <phoneticPr fontId="20"/>
  </si>
  <si>
    <t>I</t>
    <phoneticPr fontId="20"/>
  </si>
  <si>
    <t>J</t>
    <phoneticPr fontId="20"/>
  </si>
  <si>
    <t>K</t>
    <phoneticPr fontId="20"/>
  </si>
  <si>
    <t>Premium3R6release</t>
    <phoneticPr fontId="20"/>
  </si>
  <si>
    <t>Premium4R6release</t>
    <phoneticPr fontId="20"/>
  </si>
  <si>
    <t>Premium5R6release</t>
    <phoneticPr fontId="20"/>
  </si>
  <si>
    <t>PremiumSS4</t>
    <phoneticPr fontId="20"/>
  </si>
  <si>
    <t>PremiumSS5</t>
    <phoneticPr fontId="20"/>
  </si>
  <si>
    <t>L</t>
    <phoneticPr fontId="20"/>
  </si>
  <si>
    <t>M</t>
    <phoneticPr fontId="20"/>
  </si>
  <si>
    <t>PremiumSS5R5only</t>
    <phoneticPr fontId="20"/>
  </si>
  <si>
    <t>50% - H - C</t>
    <phoneticPr fontId="20"/>
  </si>
  <si>
    <t>PremiumSSS4R3less</t>
    <phoneticPr fontId="20"/>
  </si>
  <si>
    <t>PremiumSSS5R3less</t>
    <phoneticPr fontId="20"/>
  </si>
  <si>
    <t>skip</t>
    <phoneticPr fontId="20"/>
  </si>
  <si>
    <t>通常確率</t>
    <phoneticPr fontId="20"/>
  </si>
  <si>
    <t>通常確率</t>
    <phoneticPr fontId="20"/>
  </si>
  <si>
    <t>tables_363104</t>
    <phoneticPr fontId="20"/>
  </si>
  <si>
    <t>tables_363105</t>
    <phoneticPr fontId="20"/>
  </si>
  <si>
    <t>tables_363100</t>
    <phoneticPr fontId="20"/>
  </si>
  <si>
    <t>gacha_settle_tables_</t>
    <phoneticPr fontId="20"/>
  </si>
  <si>
    <t>.tmp</t>
    <phoneticPr fontId="53"/>
  </si>
  <si>
    <t>PremiumSSw</t>
    <phoneticPr fontId="20"/>
  </si>
  <si>
    <t>PremiumSSw</t>
    <phoneticPr fontId="20"/>
  </si>
  <si>
    <t>old</t>
    <phoneticPr fontId="20"/>
  </si>
  <si>
    <t>tables_500100</t>
  </si>
  <si>
    <t>tables_500010</t>
  </si>
  <si>
    <t>tables_settle_500100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</si>
</sst>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8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19" fillId="0" borderId="0"/>
    <xf numFmtId="0" fontId="23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8" fillId="0" borderId="0"/>
    <xf numFmtId="0" fontId="30" fillId="5" borderId="2" applyNumberFormat="0" applyAlignment="0" applyProtection="0"/>
    <xf numFmtId="0" fontId="31" fillId="6" borderId="0" applyNumberFormat="0" applyBorder="0" applyAlignment="0" applyProtection="0"/>
    <xf numFmtId="0" fontId="32" fillId="7" borderId="3" applyNumberFormat="0" applyAlignment="0" applyProtection="0"/>
    <xf numFmtId="0" fontId="33" fillId="0" borderId="0" applyNumberFormat="0" applyFill="0" applyBorder="0" applyAlignment="0" applyProtection="0"/>
    <xf numFmtId="0" fontId="34" fillId="8" borderId="0" applyNumberFormat="0" applyBorder="0" applyAlignment="0" applyProtection="0"/>
    <xf numFmtId="0" fontId="35" fillId="9" borderId="4" applyNumberFormat="0" applyAlignment="0" applyProtection="0"/>
    <xf numFmtId="0" fontId="36" fillId="0" borderId="0" applyNumberFormat="0" applyFill="0" applyBorder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7" borderId="0" applyNumberFormat="0" applyBorder="0" applyAlignment="0" applyProtection="0"/>
    <xf numFmtId="0" fontId="40" fillId="6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1" borderId="0" applyNumberFormat="0" applyBorder="0" applyAlignment="0" applyProtection="0"/>
    <xf numFmtId="0" fontId="40" fillId="5" borderId="0" applyNumberFormat="0" applyBorder="0" applyAlignment="0" applyProtection="0"/>
    <xf numFmtId="0" fontId="40" fillId="7" borderId="0" applyNumberFormat="0" applyBorder="0" applyAlignment="0" applyProtection="0"/>
    <xf numFmtId="0" fontId="40" fillId="12" borderId="0" applyNumberFormat="0" applyBorder="0" applyAlignment="0" applyProtection="0"/>
    <xf numFmtId="0" fontId="40" fillId="10" borderId="0" applyNumberFormat="0" applyBorder="0" applyAlignment="0" applyProtection="0"/>
    <xf numFmtId="0" fontId="40" fillId="7" borderId="0" applyNumberFormat="0" applyBorder="0" applyAlignment="0" applyProtection="0"/>
    <xf numFmtId="0" fontId="40" fillId="13" borderId="0" applyNumberFormat="0" applyBorder="0" applyAlignment="0" applyProtection="0"/>
    <xf numFmtId="0" fontId="40" fillId="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4" borderId="0" applyNumberFormat="0" applyBorder="0" applyAlignment="0" applyProtection="0"/>
    <xf numFmtId="0" fontId="41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41" fillId="14" borderId="0" applyNumberFormat="0" applyBorder="0" applyAlignment="0" applyProtection="0"/>
    <xf numFmtId="0" fontId="41" fillId="15" borderId="0" applyNumberFormat="0" applyBorder="0" applyAlignment="0" applyProtection="0"/>
    <xf numFmtId="0" fontId="41" fillId="10" borderId="0" applyNumberFormat="0" applyBorder="0" applyAlignment="0" applyProtection="0"/>
    <xf numFmtId="0" fontId="41" fillId="16" borderId="0" applyNumberFormat="0" applyBorder="0" applyAlignment="0" applyProtection="0"/>
    <xf numFmtId="0" fontId="41" fillId="14" borderId="0" applyNumberFormat="0" applyBorder="0" applyAlignment="0" applyProtection="0"/>
    <xf numFmtId="0" fontId="41" fillId="12" borderId="0" applyNumberFormat="0" applyBorder="0" applyAlignment="0" applyProtection="0"/>
    <xf numFmtId="0" fontId="42" fillId="17" borderId="0" applyNumberFormat="0" applyBorder="0" applyAlignment="0" applyProtection="0"/>
    <xf numFmtId="0" fontId="31" fillId="6" borderId="0" applyNumberFormat="0" applyBorder="0" applyAlignment="0" applyProtection="0"/>
    <xf numFmtId="0" fontId="43" fillId="0" borderId="8" applyNumberFormat="0" applyFill="0" applyAlignment="0" applyProtection="0"/>
    <xf numFmtId="0" fontId="44" fillId="7" borderId="9" applyNumberFormat="0" applyAlignment="0" applyProtection="0"/>
    <xf numFmtId="0" fontId="44" fillId="18" borderId="9" applyNumberFormat="0" applyAlignment="0" applyProtection="0"/>
    <xf numFmtId="0" fontId="32" fillId="6" borderId="3" applyNumberFormat="0" applyAlignment="0" applyProtection="0"/>
    <xf numFmtId="0" fontId="45" fillId="0" borderId="10" applyNumberFormat="0" applyFill="0" applyAlignment="0" applyProtection="0"/>
    <xf numFmtId="0" fontId="46" fillId="18" borderId="3" applyNumberFormat="0" applyAlignment="0" applyProtection="0"/>
    <xf numFmtId="0" fontId="47" fillId="0" borderId="0" applyNumberFormat="0" applyFill="0" applyBorder="0" applyAlignment="0" applyProtection="0"/>
    <xf numFmtId="0" fontId="47" fillId="0" borderId="0" applyNumberFormat="0" applyFill="0" applyBorder="0" applyAlignment="0" applyProtection="0"/>
    <xf numFmtId="0" fontId="48" fillId="0" borderId="11" applyNumberFormat="0" applyFill="0" applyAlignment="0" applyProtection="0"/>
    <xf numFmtId="38" fontId="18" fillId="0" borderId="0" applyFont="0" applyFill="0" applyBorder="0" applyAlignment="0" applyProtection="0">
      <alignment vertical="center"/>
    </xf>
    <xf numFmtId="0" fontId="49" fillId="19" borderId="0" applyNumberFormat="0" applyBorder="0" applyAlignment="0" applyProtection="0"/>
    <xf numFmtId="0" fontId="50" fillId="20" borderId="0" applyNumberFormat="0" applyBorder="0" applyAlignment="0" applyProtection="0"/>
    <xf numFmtId="0" fontId="18" fillId="0" borderId="0"/>
    <xf numFmtId="0" fontId="51" fillId="20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3" fillId="0" borderId="0"/>
    <xf numFmtId="0" fontId="54" fillId="0" borderId="0">
      <alignment vertical="center"/>
    </xf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11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9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" fillId="0" borderId="0"/>
    <xf numFmtId="38" fontId="55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96">
    <xf numFmtId="0" fontId="0" fillId="0" borderId="0" xfId="0"/>
    <xf numFmtId="0" fontId="25" fillId="0" borderId="0" xfId="2" applyFont="1" applyAlignment="1">
      <alignment vertical="center"/>
    </xf>
    <xf numFmtId="0" fontId="25" fillId="0" borderId="1" xfId="2" applyFont="1" applyBorder="1" applyAlignment="1">
      <alignment vertical="center"/>
    </xf>
    <xf numFmtId="0" fontId="25" fillId="3" borderId="1" xfId="2" applyFont="1" applyFill="1" applyBorder="1" applyAlignment="1">
      <alignment horizontal="center" vertical="center"/>
    </xf>
    <xf numFmtId="0" fontId="25" fillId="0" borderId="0" xfId="2" applyFont="1" applyAlignment="1">
      <alignment horizontal="center" vertical="center"/>
    </xf>
    <xf numFmtId="0" fontId="25" fillId="4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horizontal="right" vertical="center"/>
    </xf>
    <xf numFmtId="0" fontId="25" fillId="3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vertical="center"/>
    </xf>
    <xf numFmtId="0" fontId="25" fillId="0" borderId="13" xfId="2" applyFont="1" applyBorder="1" applyAlignment="1">
      <alignment vertical="center"/>
    </xf>
    <xf numFmtId="0" fontId="24" fillId="4" borderId="12" xfId="0" applyFont="1" applyFill="1" applyBorder="1" applyAlignment="1">
      <alignment horizontal="right" vertical="center"/>
    </xf>
    <xf numFmtId="0" fontId="24" fillId="4" borderId="14" xfId="0" applyFont="1" applyFill="1" applyBorder="1" applyAlignment="1">
      <alignment horizontal="right" vertical="center"/>
    </xf>
    <xf numFmtId="0" fontId="25" fillId="0" borderId="15" xfId="2" applyFont="1" applyBorder="1" applyAlignment="1">
      <alignment vertical="center"/>
    </xf>
    <xf numFmtId="0" fontId="25" fillId="2" borderId="1" xfId="2" applyFont="1" applyFill="1" applyBorder="1" applyAlignment="1">
      <alignment horizontal="left" vertical="center"/>
    </xf>
    <xf numFmtId="0" fontId="52" fillId="21" borderId="1" xfId="0" applyFont="1" applyFill="1" applyBorder="1" applyAlignment="1">
      <alignment horizontal="left" vertical="center"/>
    </xf>
    <xf numFmtId="0" fontId="25" fillId="2" borderId="1" xfId="2" applyFont="1" applyFill="1" applyBorder="1" applyAlignment="1">
      <alignment horizontal="center" vertical="center"/>
    </xf>
    <xf numFmtId="0" fontId="27" fillId="22" borderId="1" xfId="2978" applyFont="1" applyFill="1" applyBorder="1"/>
    <xf numFmtId="0" fontId="13" fillId="22" borderId="1" xfId="2978" applyFill="1" applyBorder="1"/>
    <xf numFmtId="0" fontId="13" fillId="0" borderId="0" xfId="2978"/>
    <xf numFmtId="0" fontId="13" fillId="0" borderId="1" xfId="2978" applyBorder="1"/>
    <xf numFmtId="0" fontId="13" fillId="2" borderId="1" xfId="2978" applyFill="1" applyBorder="1"/>
    <xf numFmtId="0" fontId="17" fillId="2" borderId="1" xfId="19" applyFont="1" applyFill="1" applyBorder="1"/>
    <xf numFmtId="0" fontId="18" fillId="2" borderId="1" xfId="19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5" fillId="2" borderId="1" xfId="19" applyFont="1" applyFill="1" applyBorder="1"/>
    <xf numFmtId="0" fontId="13" fillId="2" borderId="1" xfId="19" applyFont="1" applyFill="1" applyBorder="1"/>
    <xf numFmtId="0" fontId="12" fillId="0" borderId="1" xfId="2978" applyFont="1" applyBorder="1"/>
    <xf numFmtId="0" fontId="27" fillId="22" borderId="1" xfId="0" applyFont="1" applyFill="1" applyBorder="1"/>
    <xf numFmtId="0" fontId="52" fillId="23" borderId="1" xfId="0" applyFont="1" applyFill="1" applyBorder="1" applyAlignment="1">
      <alignment horizontal="center" vertical="center"/>
    </xf>
    <xf numFmtId="0" fontId="52" fillId="3" borderId="1" xfId="0" applyFont="1" applyFill="1" applyBorder="1" applyAlignment="1">
      <alignment vertical="center"/>
    </xf>
    <xf numFmtId="0" fontId="0" fillId="4" borderId="0" xfId="0" applyFill="1"/>
    <xf numFmtId="0" fontId="10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9" fillId="2" borderId="1" xfId="19" applyFont="1" applyFill="1" applyBorder="1"/>
    <xf numFmtId="0" fontId="9" fillId="4" borderId="1" xfId="2978" applyFont="1" applyFill="1" applyBorder="1"/>
    <xf numFmtId="0" fontId="0" fillId="2" borderId="0" xfId="0" applyFill="1"/>
    <xf numFmtId="0" fontId="52" fillId="30" borderId="1" xfId="0" applyFont="1" applyFill="1" applyBorder="1" applyAlignment="1">
      <alignment horizontal="left" vertical="center"/>
    </xf>
    <xf numFmtId="0" fontId="25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4" fillId="25" borderId="1" xfId="0" applyFont="1" applyFill="1" applyBorder="1" applyAlignment="1">
      <alignment horizontal="right" vertical="center"/>
    </xf>
    <xf numFmtId="0" fontId="8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7" fillId="0" borderId="0" xfId="3662"/>
    <xf numFmtId="0" fontId="7" fillId="4" borderId="0" xfId="3662" applyFill="1"/>
    <xf numFmtId="9" fontId="7" fillId="0" borderId="0" xfId="3662" applyNumberFormat="1"/>
    <xf numFmtId="0" fontId="7" fillId="0" borderId="0" xfId="3662" applyFill="1"/>
    <xf numFmtId="9" fontId="7" fillId="0" borderId="0" xfId="3662" applyNumberFormat="1" applyAlignment="1"/>
    <xf numFmtId="0" fontId="7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6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7" fillId="32" borderId="1" xfId="0" applyNumberFormat="1" applyFont="1" applyFill="1" applyBorder="1"/>
    <xf numFmtId="38" fontId="25" fillId="4" borderId="1" xfId="3663" quotePrefix="1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6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5" fillId="0" borderId="0" xfId="2" applyFont="1" applyFill="1" applyBorder="1" applyAlignment="1">
      <alignment vertical="center"/>
    </xf>
    <xf numFmtId="0" fontId="5" fillId="0" borderId="1" xfId="3036" applyFont="1" applyBorder="1"/>
    <xf numFmtId="0" fontId="24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4" fillId="4" borderId="1" xfId="2978" applyFont="1" applyFill="1" applyBorder="1"/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178" fontId="0" fillId="0" borderId="0" xfId="0" applyNumberFormat="1"/>
    <xf numFmtId="0" fontId="2" fillId="4" borderId="1" xfId="2978" applyFont="1" applyFill="1" applyBorder="1"/>
    <xf numFmtId="0" fontId="2" fillId="0" borderId="1" xfId="3036" applyFont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あけおめダック２０１７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attack</v>
          </cell>
          <cell r="L1171" t="str">
            <v>攻撃タイプ</v>
          </cell>
          <cell r="M1171" t="str">
            <v>academia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rabbit01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rabbit02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fox01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fox02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wildboar01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wolf01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wolf02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raccoon01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raccoon02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sloth01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sloth02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hedgehog01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hedgehog02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mole01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bear01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giraffe01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sheep01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lion01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goat01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camel01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weasel01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tiger01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tiger02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zebra01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zebra02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elephant01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elephant02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leopard01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leopard02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霊司の神憑 タマヨリヒメ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神心を射る穂神 クシナダヒメ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1427</v>
          </cell>
          <cell r="B1376" t="str">
            <v>ja</v>
          </cell>
          <cell r="C1376" t="str">
            <v>超覚醒シュヴァルツシルト</v>
          </cell>
          <cell r="H1376" t="str">
            <v>blue</v>
          </cell>
          <cell r="I1376">
            <v>6</v>
          </cell>
          <cell r="J1376" t="str">
            <v>PremiumSSS</v>
          </cell>
          <cell r="K1376" t="str">
            <v>attack</v>
          </cell>
          <cell r="L1376" t="str">
            <v>攻撃タイプ</v>
          </cell>
          <cell r="M1376" t="str">
            <v>academia</v>
          </cell>
        </row>
        <row r="1377">
          <cell r="A1377">
            <v>5001</v>
          </cell>
          <cell r="B1377" t="str">
            <v>ja</v>
          </cell>
          <cell r="C1377" t="str">
            <v>ガルーダ</v>
          </cell>
          <cell r="D1377" t="str">
            <v>ノーマルクエスト</v>
          </cell>
          <cell r="E1377" t="str">
            <v>QoH</v>
          </cell>
          <cell r="F1377" t="str">
            <v>世界観</v>
          </cell>
          <cell r="G1377" t="str">
            <v>不明</v>
          </cell>
          <cell r="H1377" t="str">
            <v>red</v>
          </cell>
          <cell r="I1377">
            <v>5</v>
          </cell>
          <cell r="J1377" t="str">
            <v>PremiumSSw</v>
          </cell>
          <cell r="K1377" t="str">
            <v>attack</v>
          </cell>
          <cell r="L1377" t="str">
            <v>攻撃タイプ</v>
          </cell>
          <cell r="M1377" t="str">
            <v>god</v>
          </cell>
        </row>
        <row r="1378">
          <cell r="A1378">
            <v>5002</v>
          </cell>
          <cell r="B1378" t="str">
            <v>ja</v>
          </cell>
          <cell r="C1378" t="str">
            <v>ガルーダ★６</v>
          </cell>
          <cell r="D1378" t="str">
            <v>ノーマルクエスト</v>
          </cell>
          <cell r="E1378" t="str">
            <v>アバター</v>
          </cell>
          <cell r="F1378" t="str">
            <v>世界観</v>
          </cell>
          <cell r="G1378" t="str">
            <v>男性</v>
          </cell>
          <cell r="H1378" t="str">
            <v>red</v>
          </cell>
          <cell r="I1378">
            <v>6</v>
          </cell>
          <cell r="J1378" t="str">
            <v>PremiumSSw</v>
          </cell>
          <cell r="K1378" t="str">
            <v>attack</v>
          </cell>
          <cell r="L1378" t="str">
            <v>攻撃タイプ</v>
          </cell>
          <cell r="M1378" t="str">
            <v>god</v>
          </cell>
        </row>
        <row r="1379">
          <cell r="A1379">
            <v>5003</v>
          </cell>
          <cell r="B1379" t="str">
            <v>ja</v>
          </cell>
          <cell r="C1379" t="str">
            <v>ナーガ</v>
          </cell>
          <cell r="D1379" t="str">
            <v>リンクガチャ:4神</v>
          </cell>
          <cell r="E1379" t="str">
            <v>守護神</v>
          </cell>
          <cell r="F1379" t="str">
            <v>格好いい</v>
          </cell>
          <cell r="G1379" t="str">
            <v>不明</v>
          </cell>
          <cell r="H1379" t="str">
            <v>green</v>
          </cell>
          <cell r="I1379">
            <v>5</v>
          </cell>
          <cell r="J1379" t="str">
            <v>DropWizS</v>
          </cell>
          <cell r="K1379" t="str">
            <v>technical</v>
          </cell>
          <cell r="L1379" t="str">
            <v>テクニカルタイプ</v>
          </cell>
          <cell r="M1379" t="str">
            <v>animal</v>
          </cell>
        </row>
        <row r="1380">
          <cell r="A1380">
            <v>5004</v>
          </cell>
          <cell r="B1380" t="str">
            <v>ja</v>
          </cell>
          <cell r="C1380" t="str">
            <v>ナーガ★６</v>
          </cell>
          <cell r="D1380" t="str">
            <v>ノーマルクエスト</v>
          </cell>
          <cell r="E1380" t="str">
            <v>アバター</v>
          </cell>
          <cell r="F1380" t="str">
            <v>世界観</v>
          </cell>
          <cell r="G1380" t="str">
            <v>不明</v>
          </cell>
          <cell r="H1380" t="str">
            <v>green</v>
          </cell>
          <cell r="I1380">
            <v>6</v>
          </cell>
          <cell r="J1380" t="str">
            <v>DropWizS</v>
          </cell>
          <cell r="K1380" t="str">
            <v>technical</v>
          </cell>
          <cell r="L1380" t="str">
            <v>テクニカルタイプ</v>
          </cell>
          <cell r="M1380" t="str">
            <v>animal</v>
          </cell>
        </row>
        <row r="1381">
          <cell r="A1381">
            <v>6001</v>
          </cell>
          <cell r="B1381" t="str">
            <v>ja</v>
          </cell>
          <cell r="C1381" t="str">
            <v>ジェリー</v>
          </cell>
          <cell r="D1381" t="str">
            <v>ノーマルクエスト</v>
          </cell>
          <cell r="E1381" t="str">
            <v>QoH</v>
          </cell>
          <cell r="F1381" t="str">
            <v>世界観</v>
          </cell>
          <cell r="G1381" t="str">
            <v>不明</v>
          </cell>
          <cell r="H1381" t="str">
            <v>red</v>
          </cell>
          <cell r="I1381">
            <v>1</v>
          </cell>
          <cell r="J1381" t="str">
            <v>Drop1T</v>
          </cell>
          <cell r="K1381" t="str">
            <v>ra</v>
          </cell>
          <cell r="L1381" t="str">
            <v>ラグランジュチャレンジ</v>
          </cell>
          <cell r="M1381" t="str">
            <v>unknown</v>
          </cell>
        </row>
        <row r="1382">
          <cell r="A1382">
            <v>6002</v>
          </cell>
          <cell r="B1382" t="str">
            <v>ja</v>
          </cell>
          <cell r="C1382" t="str">
            <v>ヨシタカ</v>
          </cell>
          <cell r="D1382" t="str">
            <v>ノーマルクエスト</v>
          </cell>
          <cell r="E1382" t="str">
            <v>アバター</v>
          </cell>
          <cell r="F1382" t="str">
            <v>世界観</v>
          </cell>
          <cell r="G1382" t="str">
            <v>男性</v>
          </cell>
          <cell r="H1382" t="str">
            <v>red</v>
          </cell>
          <cell r="I1382">
            <v>2</v>
          </cell>
          <cell r="J1382" t="str">
            <v>Drop1N</v>
          </cell>
          <cell r="K1382" t="str">
            <v>ra</v>
          </cell>
          <cell r="L1382" t="str">
            <v>ラグランジュチャレンジ</v>
          </cell>
          <cell r="M1382" t="str">
            <v>human</v>
          </cell>
        </row>
        <row r="1383">
          <cell r="A1383">
            <v>6003</v>
          </cell>
          <cell r="B1383" t="str">
            <v>ja</v>
          </cell>
          <cell r="C1383" t="str">
            <v>朱雀</v>
          </cell>
          <cell r="D1383" t="str">
            <v>リンクガチャ:4神</v>
          </cell>
          <cell r="E1383" t="str">
            <v>守護神</v>
          </cell>
          <cell r="F1383" t="str">
            <v>格好いい</v>
          </cell>
          <cell r="G1383" t="str">
            <v>不明</v>
          </cell>
          <cell r="H1383" t="str">
            <v>red</v>
          </cell>
          <cell r="I1383">
            <v>3</v>
          </cell>
          <cell r="J1383" t="str">
            <v>Drop2N</v>
          </cell>
          <cell r="K1383" t="str">
            <v>ra</v>
          </cell>
          <cell r="L1383" t="str">
            <v>ラグランジュチャレンジ</v>
          </cell>
          <cell r="M1383" t="str">
            <v>animal</v>
          </cell>
        </row>
        <row r="1384">
          <cell r="A1384">
            <v>6004</v>
          </cell>
          <cell r="B1384" t="str">
            <v>ja</v>
          </cell>
          <cell r="C1384" t="str">
            <v>ブレット</v>
          </cell>
          <cell r="D1384" t="str">
            <v>ノーマルクエスト</v>
          </cell>
          <cell r="E1384" t="str">
            <v>アバター</v>
          </cell>
          <cell r="F1384" t="str">
            <v>世界観</v>
          </cell>
          <cell r="G1384" t="str">
            <v>不明</v>
          </cell>
          <cell r="H1384" t="str">
            <v>red</v>
          </cell>
          <cell r="I1384">
            <v>1</v>
          </cell>
          <cell r="J1384" t="str">
            <v>Drop1W</v>
          </cell>
          <cell r="K1384" t="str">
            <v>ra</v>
          </cell>
          <cell r="L1384" t="str">
            <v>ラグランジュチャレンジ</v>
          </cell>
          <cell r="M1384" t="str">
            <v>animal</v>
          </cell>
        </row>
        <row r="1385">
          <cell r="A1385">
            <v>6005</v>
          </cell>
          <cell r="B1385" t="str">
            <v>ja</v>
          </cell>
          <cell r="C1385" t="str">
            <v>孤神 テティス</v>
          </cell>
          <cell r="D1385" t="str">
            <v>初期ガチャ</v>
          </cell>
          <cell r="E1385" t="str">
            <v>管理者</v>
          </cell>
          <cell r="F1385" t="str">
            <v>美しい</v>
          </cell>
          <cell r="G1385" t="str">
            <v>女性</v>
          </cell>
          <cell r="H1385" t="str">
            <v>blue</v>
          </cell>
          <cell r="I1385">
            <v>4</v>
          </cell>
          <cell r="J1385" t="str">
            <v>PremiumN</v>
          </cell>
          <cell r="K1385" t="str">
            <v>ra</v>
          </cell>
          <cell r="L1385" t="str">
            <v>ラグランジュチャレンジ</v>
          </cell>
          <cell r="M1385" t="str">
            <v>god</v>
          </cell>
        </row>
        <row r="1386">
          <cell r="A1386">
            <v>6006</v>
          </cell>
          <cell r="B1386" t="str">
            <v>ja</v>
          </cell>
          <cell r="C1386" t="str">
            <v>海底の孤高神 テティス</v>
          </cell>
          <cell r="D1386" t="str">
            <v>初期ガチャ</v>
          </cell>
          <cell r="E1386" t="str">
            <v>管理者</v>
          </cell>
          <cell r="F1386" t="str">
            <v>美しい</v>
          </cell>
          <cell r="G1386" t="str">
            <v>女性</v>
          </cell>
          <cell r="H1386" t="str">
            <v>blue</v>
          </cell>
          <cell r="I1386">
            <v>5</v>
          </cell>
          <cell r="J1386" t="str">
            <v>PremiumN</v>
          </cell>
          <cell r="K1386" t="str">
            <v>ra</v>
          </cell>
          <cell r="L1386" t="str">
            <v>ラグランジュチャレンジ</v>
          </cell>
          <cell r="M1386" t="str">
            <v>god</v>
          </cell>
        </row>
        <row r="1387">
          <cell r="A1387">
            <v>6007</v>
          </cell>
          <cell r="B1387" t="str">
            <v>ja</v>
          </cell>
          <cell r="C1387" t="str">
            <v>番犬 ケルベロス</v>
          </cell>
          <cell r="D1387" t="str">
            <v>初期ガチャ</v>
          </cell>
          <cell r="E1387" t="str">
            <v>破界者</v>
          </cell>
          <cell r="F1387" t="str">
            <v>可愛い</v>
          </cell>
          <cell r="G1387" t="str">
            <v>女性</v>
          </cell>
          <cell r="H1387" t="str">
            <v>red</v>
          </cell>
          <cell r="I1387">
            <v>4</v>
          </cell>
          <cell r="J1387" t="str">
            <v>PremiumN</v>
          </cell>
          <cell r="K1387" t="str">
            <v>ra</v>
          </cell>
          <cell r="L1387" t="str">
            <v>ラグランジュチャレンジ</v>
          </cell>
          <cell r="M1387" t="str">
            <v>animal</v>
          </cell>
        </row>
        <row r="1388">
          <cell r="A1388">
            <v>6008</v>
          </cell>
          <cell r="B1388" t="str">
            <v>ja</v>
          </cell>
          <cell r="C1388" t="str">
            <v>焔神 プロメテウス</v>
          </cell>
          <cell r="D1388" t="str">
            <v>初期ガチャ</v>
          </cell>
          <cell r="E1388" t="str">
            <v>管理者</v>
          </cell>
          <cell r="F1388" t="str">
            <v>格好いい</v>
          </cell>
          <cell r="G1388" t="str">
            <v>男性</v>
          </cell>
          <cell r="H1388" t="str">
            <v>red</v>
          </cell>
          <cell r="I1388">
            <v>4</v>
          </cell>
          <cell r="J1388" t="str">
            <v>PremiumN</v>
          </cell>
          <cell r="K1388" t="str">
            <v>ra</v>
          </cell>
          <cell r="L1388" t="str">
            <v>ラグランジュチャレンジ</v>
          </cell>
          <cell r="M1388" t="str">
            <v>god</v>
          </cell>
        </row>
        <row r="1389">
          <cell r="A1389">
            <v>6009</v>
          </cell>
          <cell r="B1389" t="str">
            <v>ja</v>
          </cell>
          <cell r="C1389" t="str">
            <v>超越自我 ラグランジュ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女性</v>
          </cell>
          <cell r="H1389" t="str">
            <v>red</v>
          </cell>
          <cell r="I1389">
            <v>5</v>
          </cell>
          <cell r="J1389" t="str">
            <v>PremiumSSS</v>
          </cell>
          <cell r="K1389" t="str">
            <v>ra</v>
          </cell>
          <cell r="L1389" t="str">
            <v>ラグランジュチャレンジ</v>
          </cell>
          <cell r="M1389" t="str">
            <v>human</v>
          </cell>
        </row>
        <row r="1390">
          <cell r="A1390">
            <v>6010</v>
          </cell>
          <cell r="B1390" t="str">
            <v>ja</v>
          </cell>
          <cell r="C1390" t="str">
            <v>超越凌駕 ラグランジュ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女性</v>
          </cell>
          <cell r="H1390" t="str">
            <v>red</v>
          </cell>
          <cell r="I1390">
            <v>6</v>
          </cell>
          <cell r="J1390" t="str">
            <v>PremiumSSS</v>
          </cell>
          <cell r="K1390" t="str">
            <v>ra</v>
          </cell>
          <cell r="L1390" t="str">
            <v>ラグランジュチャレンジ</v>
          </cell>
          <cell r="M1390" t="str">
            <v>human</v>
          </cell>
        </row>
        <row r="1391">
          <cell r="A1391">
            <v>6011</v>
          </cell>
          <cell r="B1391" t="str">
            <v>ja</v>
          </cell>
          <cell r="C1391" t="str">
            <v>パトドッグリーダー ポチ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2</v>
          </cell>
          <cell r="J1391" t="str">
            <v>Drop1T</v>
          </cell>
          <cell r="K1391" t="str">
            <v>ra002</v>
          </cell>
          <cell r="L1391" t="str">
            <v>ユークリッドチャレンジ</v>
          </cell>
          <cell r="M1391" t="str">
            <v>unknown</v>
          </cell>
        </row>
        <row r="1392">
          <cell r="A1392">
            <v>6012</v>
          </cell>
          <cell r="B1392" t="str">
            <v>ja</v>
          </cell>
          <cell r="C1392" t="str">
            <v>ミミ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yellow</v>
          </cell>
          <cell r="I1392">
            <v>1</v>
          </cell>
          <cell r="J1392" t="str">
            <v>Drop1W</v>
          </cell>
          <cell r="K1392" t="str">
            <v>ra002</v>
          </cell>
          <cell r="L1392" t="str">
            <v>ユークリッドチャレンジ</v>
          </cell>
          <cell r="M1392" t="str">
            <v>animal</v>
          </cell>
        </row>
        <row r="1393">
          <cell r="A1393">
            <v>6013</v>
          </cell>
          <cell r="B1393" t="str">
            <v>ja</v>
          </cell>
          <cell r="C1393" t="str">
            <v>護衛機人 スケアクロウ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blue</v>
          </cell>
          <cell r="I1393">
            <v>2</v>
          </cell>
          <cell r="J1393" t="str">
            <v>Drop1N</v>
          </cell>
          <cell r="K1393" t="str">
            <v>ra002</v>
          </cell>
          <cell r="L1393" t="str">
            <v>ユークリッドチャレンジ</v>
          </cell>
          <cell r="M1393" t="str">
            <v>machine</v>
          </cell>
        </row>
        <row r="1394">
          <cell r="A1394">
            <v>6014</v>
          </cell>
          <cell r="B1394" t="str">
            <v>ja</v>
          </cell>
          <cell r="C1394" t="str">
            <v>月下の人狼 ローレンス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blue</v>
          </cell>
          <cell r="I1394">
            <v>4</v>
          </cell>
          <cell r="J1394" t="str">
            <v>PremiumW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6015</v>
          </cell>
          <cell r="B1395" t="str">
            <v>ja</v>
          </cell>
          <cell r="C1395" t="str">
            <v>フレイヤ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PremiumSS</v>
          </cell>
          <cell r="K1395" t="str">
            <v>ra002</v>
          </cell>
          <cell r="L1395" t="str">
            <v>ユークリッドチャレンジ</v>
          </cell>
          <cell r="M1395" t="str">
            <v>animal</v>
          </cell>
        </row>
        <row r="1396">
          <cell r="A1396">
            <v>6016</v>
          </cell>
          <cell r="B1396" t="str">
            <v>ja</v>
          </cell>
          <cell r="C1396" t="str">
            <v>根原論理 ユークリッド</v>
          </cell>
          <cell r="D1396" t="str">
            <v>ガチャ:フィーバーフェス02</v>
          </cell>
          <cell r="E1396" t="str">
            <v>執行者</v>
          </cell>
          <cell r="F1396" t="str">
            <v>格好いい</v>
          </cell>
          <cell r="G1396" t="str">
            <v>男性</v>
          </cell>
          <cell r="H1396" t="str">
            <v>blue</v>
          </cell>
          <cell r="I1396">
            <v>5</v>
          </cell>
          <cell r="J1396" t="str">
            <v>PremiumSSS</v>
          </cell>
          <cell r="K1396" t="str">
            <v>ra002</v>
          </cell>
          <cell r="L1396" t="str">
            <v>ユークリッドチャレンジ</v>
          </cell>
          <cell r="M1396" t="str">
            <v>human</v>
          </cell>
        </row>
        <row r="1397">
          <cell r="A1397">
            <v>6017</v>
          </cell>
          <cell r="B1397" t="str">
            <v>ja</v>
          </cell>
          <cell r="C1397" t="str">
            <v>不朽の極論 ユークリッド</v>
          </cell>
          <cell r="D1397" t="str">
            <v>ガチャ:フィーバーフェス02</v>
          </cell>
          <cell r="E1397" t="str">
            <v>執行者</v>
          </cell>
          <cell r="F1397" t="str">
            <v>格好いい</v>
          </cell>
          <cell r="G1397" t="str">
            <v>男性</v>
          </cell>
          <cell r="H1397" t="str">
            <v>blue</v>
          </cell>
          <cell r="I1397">
            <v>6</v>
          </cell>
          <cell r="J1397" t="str">
            <v>PremiumSSS</v>
          </cell>
          <cell r="K1397" t="str">
            <v>ra002</v>
          </cell>
          <cell r="L1397" t="str">
            <v>ユークリッドチャレンジ</v>
          </cell>
          <cell r="M1397" t="str">
            <v>human</v>
          </cell>
        </row>
        <row r="1398">
          <cell r="A1398">
            <v>6018</v>
          </cell>
          <cell r="B1398" t="str">
            <v>ja</v>
          </cell>
          <cell r="C1398" t="str">
            <v>ハヅル</v>
          </cell>
          <cell r="D1398" t="str">
            <v>ガチャ:フィーバーフェス02</v>
          </cell>
          <cell r="E1398" t="str">
            <v>執行者</v>
          </cell>
          <cell r="F1398" t="str">
            <v>格好いい</v>
          </cell>
          <cell r="G1398" t="str">
            <v>男性</v>
          </cell>
          <cell r="H1398" t="str">
            <v>red</v>
          </cell>
          <cell r="I1398">
            <v>4</v>
          </cell>
          <cell r="J1398" t="str">
            <v>PremiumSS</v>
          </cell>
          <cell r="K1398" t="str">
            <v>ra002</v>
          </cell>
          <cell r="L1398" t="str">
            <v>ユークリッドチャレンジ</v>
          </cell>
          <cell r="M1398" t="str">
            <v>animal</v>
          </cell>
        </row>
        <row r="1399">
          <cell r="A1399">
            <v>6019</v>
          </cell>
          <cell r="B1399" t="str">
            <v>ja</v>
          </cell>
          <cell r="C1399" t="str">
            <v>天織羽鶴 ハヅル</v>
          </cell>
          <cell r="D1399" t="str">
            <v>ガチャ:フィーバーフェス02</v>
          </cell>
          <cell r="E1399" t="str">
            <v>執行者</v>
          </cell>
          <cell r="F1399" t="str">
            <v>格好いい</v>
          </cell>
          <cell r="G1399" t="str">
            <v>男性</v>
          </cell>
          <cell r="H1399" t="str">
            <v>red</v>
          </cell>
          <cell r="I1399">
            <v>5</v>
          </cell>
          <cell r="J1399" t="str">
            <v>PremiumSS</v>
          </cell>
          <cell r="K1399" t="str">
            <v>ra002</v>
          </cell>
          <cell r="L1399" t="str">
            <v>ユークリッドチャレンジ</v>
          </cell>
          <cell r="M1399" t="str">
            <v>animal</v>
          </cell>
        </row>
        <row r="1400">
          <cell r="A1400">
            <v>6020</v>
          </cell>
          <cell r="B1400" t="str">
            <v>ja</v>
          </cell>
          <cell r="C1400" t="str">
            <v>ミズチ</v>
          </cell>
          <cell r="D1400" t="str">
            <v>ガチャ:フィーバーフェス02</v>
          </cell>
          <cell r="E1400" t="str">
            <v>執行者</v>
          </cell>
          <cell r="F1400" t="str">
            <v>格好いい</v>
          </cell>
          <cell r="G1400" t="str">
            <v>男性</v>
          </cell>
          <cell r="H1400" t="str">
            <v>blue</v>
          </cell>
          <cell r="I1400">
            <v>4</v>
          </cell>
          <cell r="J1400" t="str">
            <v>PremiumS</v>
          </cell>
          <cell r="K1400" t="str">
            <v>ra002</v>
          </cell>
          <cell r="L1400" t="str">
            <v>ユークリッドチャレンジ</v>
          </cell>
          <cell r="M1400" t="str">
            <v>dragon</v>
          </cell>
        </row>
        <row r="1401">
          <cell r="A1401">
            <v>8001</v>
          </cell>
          <cell r="B1401" t="str">
            <v>ja</v>
          </cell>
          <cell r="C1401" t="str">
            <v>媽祖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女性</v>
          </cell>
          <cell r="H1401" t="str">
            <v>yellow</v>
          </cell>
          <cell r="I1401">
            <v>5</v>
          </cell>
          <cell r="J1401" t="str">
            <v>PremiumSS</v>
          </cell>
          <cell r="K1401" t="str">
            <v>attack</v>
          </cell>
          <cell r="L1401" t="str">
            <v>攻撃タイプ</v>
          </cell>
          <cell r="M1401" t="str">
            <v>god</v>
          </cell>
        </row>
        <row r="1402">
          <cell r="A1402">
            <v>8002</v>
          </cell>
          <cell r="B1402" t="str">
            <v>ja</v>
          </cell>
          <cell r="C1402" t="str">
            <v>宣導する天海妃 媽祖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女性</v>
          </cell>
          <cell r="H1402" t="str">
            <v>yellow</v>
          </cell>
          <cell r="I1402">
            <v>6</v>
          </cell>
          <cell r="J1402" t="str">
            <v>PremiumSS</v>
          </cell>
          <cell r="K1402" t="str">
            <v>attack</v>
          </cell>
          <cell r="L1402" t="str">
            <v>攻撃タイプ</v>
          </cell>
          <cell r="M1402" t="str">
            <v>god</v>
          </cell>
        </row>
        <row r="1403">
          <cell r="A1403">
            <v>8003</v>
          </cell>
          <cell r="B1403" t="str">
            <v>ja</v>
          </cell>
          <cell r="C1403" t="str">
            <v>蛟龍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blue</v>
          </cell>
          <cell r="I1403">
            <v>5</v>
          </cell>
          <cell r="J1403" t="str">
            <v>DropWizS</v>
          </cell>
          <cell r="K1403" t="str">
            <v>hp</v>
          </cell>
          <cell r="L1403" t="str">
            <v>体力タイプ</v>
          </cell>
          <cell r="M1403" t="str">
            <v>dragon</v>
          </cell>
        </row>
        <row r="1404">
          <cell r="A1404">
            <v>8004</v>
          </cell>
          <cell r="B1404" t="str">
            <v>ja</v>
          </cell>
          <cell r="C1404" t="str">
            <v>呼嵐の蒼棲龍 蛟龍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blue</v>
          </cell>
          <cell r="I1404">
            <v>6</v>
          </cell>
          <cell r="J1404" t="str">
            <v>DropWizS</v>
          </cell>
          <cell r="K1404" t="str">
            <v>hp</v>
          </cell>
          <cell r="L1404" t="str">
            <v>体力タイプ</v>
          </cell>
          <cell r="M1404" t="str">
            <v>dragon</v>
          </cell>
        </row>
        <row r="1405">
          <cell r="A1405">
            <v>8005</v>
          </cell>
          <cell r="B1405" t="str">
            <v>ja</v>
          </cell>
          <cell r="C1405" t="str">
            <v>三蔵法師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blue</v>
          </cell>
          <cell r="I1405">
            <v>5</v>
          </cell>
          <cell r="J1405" t="str">
            <v>PremiumSS</v>
          </cell>
          <cell r="K1405" t="str">
            <v>balance</v>
          </cell>
          <cell r="L1405" t="str">
            <v>バランスタイプ</v>
          </cell>
          <cell r="M1405" t="str">
            <v>human</v>
          </cell>
        </row>
        <row r="1406">
          <cell r="A1406">
            <v>8006</v>
          </cell>
          <cell r="B1406" t="str">
            <v>ja</v>
          </cell>
          <cell r="C1406" t="str">
            <v>慈戒の呪封使 三蔵法師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不明</v>
          </cell>
          <cell r="H1406" t="str">
            <v>blue</v>
          </cell>
          <cell r="I1406">
            <v>6</v>
          </cell>
          <cell r="J1406" t="str">
            <v>PremiumSS</v>
          </cell>
          <cell r="K1406" t="str">
            <v>balance</v>
          </cell>
          <cell r="L1406" t="str">
            <v>バランスタイプ</v>
          </cell>
          <cell r="M1406" t="str">
            <v>human</v>
          </cell>
        </row>
        <row r="1407">
          <cell r="A1407">
            <v>8007</v>
          </cell>
          <cell r="B1407" t="str">
            <v>ja</v>
          </cell>
          <cell r="C1407" t="str">
            <v>孫悟空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不明</v>
          </cell>
          <cell r="H1407" t="str">
            <v>red</v>
          </cell>
          <cell r="I1407">
            <v>5</v>
          </cell>
          <cell r="J1407" t="str">
            <v>DropWizS</v>
          </cell>
          <cell r="K1407" t="str">
            <v>attack</v>
          </cell>
          <cell r="L1407" t="str">
            <v>攻撃タイプ</v>
          </cell>
          <cell r="M1407" t="str">
            <v>animal</v>
          </cell>
        </row>
        <row r="1408">
          <cell r="A1408">
            <v>8008</v>
          </cell>
          <cell r="B1408" t="str">
            <v>ja</v>
          </cell>
          <cell r="C1408" t="str">
            <v>花果の天猿仙人 孫悟空</v>
          </cell>
          <cell r="D1408" t="str">
            <v>イベント:ミクコラボ01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DropWizS</v>
          </cell>
          <cell r="K1408" t="str">
            <v>attack</v>
          </cell>
          <cell r="L1408" t="str">
            <v>攻撃タイプ</v>
          </cell>
          <cell r="M1408" t="str">
            <v>animal</v>
          </cell>
        </row>
        <row r="1409">
          <cell r="A1409">
            <v>8009</v>
          </cell>
          <cell r="B1409" t="str">
            <v>ja</v>
          </cell>
          <cell r="C1409" t="str">
            <v>西王娘娘</v>
          </cell>
          <cell r="D1409" t="str">
            <v>イベント:ミクコラボ01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5</v>
          </cell>
          <cell r="J1409" t="str">
            <v>PremiumSS</v>
          </cell>
          <cell r="K1409" t="str">
            <v>attack</v>
          </cell>
          <cell r="L1409" t="str">
            <v>攻撃タイプ</v>
          </cell>
          <cell r="M1409" t="str">
            <v>god</v>
          </cell>
        </row>
        <row r="1410">
          <cell r="A1410">
            <v>8010</v>
          </cell>
          <cell r="B1410" t="str">
            <v>ja</v>
          </cell>
          <cell r="C1410" t="str">
            <v>極楽瑶池の聖母 西王娘娘</v>
          </cell>
          <cell r="D1410" t="str">
            <v>イベント:ミクコラボ01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green</v>
          </cell>
          <cell r="I1410">
            <v>6</v>
          </cell>
          <cell r="J1410" t="str">
            <v>PremiumSS</v>
          </cell>
          <cell r="K1410" t="str">
            <v>attack</v>
          </cell>
          <cell r="L1410" t="str">
            <v>攻撃タイプ</v>
          </cell>
          <cell r="M1410" t="str">
            <v>god</v>
          </cell>
        </row>
        <row r="1411">
          <cell r="A1411">
            <v>8011</v>
          </cell>
          <cell r="B1411" t="str">
            <v>ja</v>
          </cell>
          <cell r="C1411" t="str">
            <v>月下老人</v>
          </cell>
          <cell r="D1411" t="str">
            <v>イベント:ミクコラボ01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yellow</v>
          </cell>
          <cell r="I1411">
            <v>5</v>
          </cell>
          <cell r="J1411" t="str">
            <v>DropWizS</v>
          </cell>
          <cell r="K1411" t="str">
            <v>balance</v>
          </cell>
          <cell r="L1411" t="str">
            <v>バランスタイプ</v>
          </cell>
          <cell r="M1411" t="str">
            <v>god</v>
          </cell>
        </row>
        <row r="1412">
          <cell r="A1412">
            <v>8012</v>
          </cell>
          <cell r="B1412" t="str">
            <v>ja</v>
          </cell>
          <cell r="C1412" t="str">
            <v>破戀斬る縁剣 月下老人</v>
          </cell>
          <cell r="D1412" t="str">
            <v>イベント:ミクコラボ01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yellow</v>
          </cell>
          <cell r="I1412">
            <v>6</v>
          </cell>
          <cell r="J1412" t="str">
            <v>DropWizS</v>
          </cell>
          <cell r="K1412" t="str">
            <v>balance</v>
          </cell>
          <cell r="L1412" t="str">
            <v>バランスタイプ</v>
          </cell>
          <cell r="M1412" t="str">
            <v>god</v>
          </cell>
        </row>
        <row r="1413">
          <cell r="A1413">
            <v>8013</v>
          </cell>
          <cell r="B1413" t="str">
            <v>ja</v>
          </cell>
          <cell r="C1413" t="str">
            <v>初音ミクV3</v>
          </cell>
          <cell r="D1413" t="str">
            <v>初音ミクV3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yellow</v>
          </cell>
          <cell r="I1413">
            <v>4</v>
          </cell>
          <cell r="J1413" t="str">
            <v>DropWizS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8014</v>
          </cell>
          <cell r="B1414" t="str">
            <v>ja</v>
          </cell>
          <cell r="C1414" t="str">
            <v>初音ミクV3</v>
          </cell>
          <cell r="D1414" t="str">
            <v>初音ミクV3</v>
          </cell>
          <cell r="E1414" t="str">
            <v>執行者</v>
          </cell>
          <cell r="F1414" t="str">
            <v>格好いい</v>
          </cell>
          <cell r="G1414" t="str">
            <v>女性</v>
          </cell>
          <cell r="H1414" t="str">
            <v>yellow</v>
          </cell>
          <cell r="I1414">
            <v>5</v>
          </cell>
          <cell r="J1414" t="str">
            <v>DropWizS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8015</v>
          </cell>
          <cell r="B1415" t="str">
            <v>ja</v>
          </cell>
          <cell r="C1415" t="str">
            <v>初音ミク・アペンド</v>
          </cell>
          <cell r="D1415" t="str">
            <v>初音ミク・アペンド</v>
          </cell>
          <cell r="E1415" t="str">
            <v>執行者</v>
          </cell>
          <cell r="F1415" t="str">
            <v>格好いい</v>
          </cell>
          <cell r="G1415" t="str">
            <v>女性</v>
          </cell>
          <cell r="H1415" t="str">
            <v>green</v>
          </cell>
          <cell r="I1415">
            <v>4</v>
          </cell>
          <cell r="J1415" t="str">
            <v>PremiumSSS</v>
          </cell>
          <cell r="K1415" t="str">
            <v>technical</v>
          </cell>
          <cell r="L1415" t="str">
            <v>テクニカルタイプ</v>
          </cell>
          <cell r="M1415" t="str">
            <v>unknown</v>
          </cell>
        </row>
        <row r="1416">
          <cell r="A1416">
            <v>8016</v>
          </cell>
          <cell r="B1416" t="str">
            <v>ja</v>
          </cell>
          <cell r="C1416" t="str">
            <v>初音ミク・アペンド</v>
          </cell>
          <cell r="D1416" t="str">
            <v>初音ミク・アペンド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green</v>
          </cell>
          <cell r="I1416">
            <v>5</v>
          </cell>
          <cell r="J1416" t="str">
            <v>PremiumSSS</v>
          </cell>
          <cell r="K1416" t="str">
            <v>technical</v>
          </cell>
          <cell r="L1416" t="str">
            <v>テクニカルタイプ</v>
          </cell>
          <cell r="M1416" t="str">
            <v>unknown</v>
          </cell>
        </row>
        <row r="1417">
          <cell r="A1417">
            <v>8017</v>
          </cell>
          <cell r="B1417" t="str">
            <v>ja</v>
          </cell>
          <cell r="C1417" t="str">
            <v>初音ミク</v>
          </cell>
          <cell r="D1417" t="str">
            <v>初音ミク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green</v>
          </cell>
          <cell r="I1417">
            <v>4</v>
          </cell>
          <cell r="J1417" t="str">
            <v>PremiumSSS</v>
          </cell>
          <cell r="K1417" t="str">
            <v>balance</v>
          </cell>
          <cell r="L1417" t="str">
            <v>バランスタイプ</v>
          </cell>
          <cell r="M1417" t="str">
            <v>unknown</v>
          </cell>
        </row>
        <row r="1418">
          <cell r="A1418">
            <v>8018</v>
          </cell>
          <cell r="B1418" t="str">
            <v>ja</v>
          </cell>
          <cell r="C1418" t="str">
            <v>初音ミク</v>
          </cell>
          <cell r="D1418" t="str">
            <v>初音ミク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green</v>
          </cell>
          <cell r="I1418">
            <v>5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unknown</v>
          </cell>
        </row>
        <row r="1419">
          <cell r="A1419">
            <v>8019</v>
          </cell>
          <cell r="B1419" t="str">
            <v>ja</v>
          </cell>
          <cell r="C1419" t="str">
            <v>鏡音リン</v>
          </cell>
          <cell r="D1419" t="str">
            <v>鏡音リン</v>
          </cell>
          <cell r="E1419" t="str">
            <v>執行者</v>
          </cell>
          <cell r="F1419" t="str">
            <v>格好いい</v>
          </cell>
          <cell r="G1419" t="str">
            <v>男性</v>
          </cell>
          <cell r="H1419" t="str">
            <v>yellow</v>
          </cell>
          <cell r="I1419">
            <v>4</v>
          </cell>
          <cell r="J1419" t="str">
            <v>PremiumSS</v>
          </cell>
          <cell r="K1419" t="str">
            <v>balance</v>
          </cell>
          <cell r="L1419" t="str">
            <v>バランスタイプ</v>
          </cell>
          <cell r="M1419" t="str">
            <v>unknown</v>
          </cell>
        </row>
        <row r="1420">
          <cell r="A1420">
            <v>8020</v>
          </cell>
          <cell r="B1420" t="str">
            <v>ja</v>
          </cell>
          <cell r="C1420" t="str">
            <v>鏡音リン</v>
          </cell>
          <cell r="D1420" t="str">
            <v>鏡音リン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yellow</v>
          </cell>
          <cell r="I1420">
            <v>5</v>
          </cell>
          <cell r="J1420" t="str">
            <v>PremiumSS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8021</v>
          </cell>
          <cell r="B1421" t="str">
            <v>ja</v>
          </cell>
          <cell r="C1421" t="str">
            <v>鏡音レン</v>
          </cell>
          <cell r="D1421" t="str">
            <v>鏡音レン</v>
          </cell>
          <cell r="E1421" t="str">
            <v>執行者</v>
          </cell>
          <cell r="F1421" t="str">
            <v>格好いい</v>
          </cell>
          <cell r="G1421" t="str">
            <v>女性</v>
          </cell>
          <cell r="H1421" t="str">
            <v>yellow</v>
          </cell>
          <cell r="I1421">
            <v>4</v>
          </cell>
          <cell r="J1421" t="str">
            <v>PremiumSS</v>
          </cell>
          <cell r="K1421" t="str">
            <v>heal</v>
          </cell>
          <cell r="L1421" t="str">
            <v>回復タイプ</v>
          </cell>
          <cell r="M1421" t="str">
            <v>unknown</v>
          </cell>
        </row>
        <row r="1422">
          <cell r="A1422">
            <v>8022</v>
          </cell>
          <cell r="B1422" t="str">
            <v>ja</v>
          </cell>
          <cell r="C1422" t="str">
            <v>鏡音レン</v>
          </cell>
          <cell r="D1422" t="str">
            <v>鏡音レン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yellow</v>
          </cell>
          <cell r="I1422">
            <v>5</v>
          </cell>
          <cell r="J1422" t="str">
            <v>PremiumSS</v>
          </cell>
          <cell r="K1422" t="str">
            <v>heal</v>
          </cell>
          <cell r="L1422" t="str">
            <v>回復タイプ</v>
          </cell>
          <cell r="M1422" t="str">
            <v>unknown</v>
          </cell>
        </row>
        <row r="1423">
          <cell r="A1423">
            <v>8023</v>
          </cell>
          <cell r="B1423" t="str">
            <v>ja</v>
          </cell>
          <cell r="C1423" t="str">
            <v>巡音ルカ</v>
          </cell>
          <cell r="D1423" t="str">
            <v>巡音ルカ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red</v>
          </cell>
          <cell r="I1423">
            <v>3</v>
          </cell>
          <cell r="J1423" t="str">
            <v>PremiumS</v>
          </cell>
          <cell r="K1423" t="str">
            <v>attack</v>
          </cell>
          <cell r="L1423" t="str">
            <v>攻撃タイプ</v>
          </cell>
          <cell r="M1423" t="str">
            <v>unknown</v>
          </cell>
        </row>
        <row r="1424">
          <cell r="A1424">
            <v>8024</v>
          </cell>
          <cell r="B1424" t="str">
            <v>ja</v>
          </cell>
          <cell r="C1424" t="str">
            <v>巡音ルカ</v>
          </cell>
          <cell r="D1424" t="str">
            <v>巡音ルカ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red</v>
          </cell>
          <cell r="I1424">
            <v>4</v>
          </cell>
          <cell r="J1424" t="str">
            <v>PremiumS</v>
          </cell>
          <cell r="K1424" t="str">
            <v>attack</v>
          </cell>
          <cell r="L1424" t="str">
            <v>攻撃タイプ</v>
          </cell>
          <cell r="M1424" t="str">
            <v>unknown</v>
          </cell>
        </row>
        <row r="1425">
          <cell r="A1425">
            <v>8025</v>
          </cell>
          <cell r="B1425" t="str">
            <v>ja</v>
          </cell>
          <cell r="C1425" t="str">
            <v>MEIKO</v>
          </cell>
          <cell r="D1425" t="str">
            <v>MEIKO</v>
          </cell>
          <cell r="E1425" t="str">
            <v>執行者</v>
          </cell>
          <cell r="F1425" t="str">
            <v>格好いい</v>
          </cell>
          <cell r="G1425" t="str">
            <v>男性</v>
          </cell>
          <cell r="H1425" t="str">
            <v>red</v>
          </cell>
          <cell r="I1425">
            <v>3</v>
          </cell>
          <cell r="J1425" t="str">
            <v>PremiumS</v>
          </cell>
          <cell r="K1425" t="str">
            <v>hp</v>
          </cell>
          <cell r="L1425" t="str">
            <v>体力タイプ</v>
          </cell>
          <cell r="M1425" t="str">
            <v>unknown</v>
          </cell>
        </row>
        <row r="1426">
          <cell r="A1426">
            <v>8026</v>
          </cell>
          <cell r="B1426" t="str">
            <v>ja</v>
          </cell>
          <cell r="C1426" t="str">
            <v>MEIKO</v>
          </cell>
          <cell r="D1426" t="str">
            <v>MEIKO</v>
          </cell>
          <cell r="E1426" t="str">
            <v>執行者</v>
          </cell>
          <cell r="F1426" t="str">
            <v>格好いい</v>
          </cell>
          <cell r="G1426" t="str">
            <v>男性</v>
          </cell>
          <cell r="H1426" t="str">
            <v>red</v>
          </cell>
          <cell r="I1426">
            <v>4</v>
          </cell>
          <cell r="J1426" t="str">
            <v>PremiumS</v>
          </cell>
          <cell r="K1426" t="str">
            <v>hp</v>
          </cell>
          <cell r="L1426" t="str">
            <v>体力タイプ</v>
          </cell>
          <cell r="M1426" t="str">
            <v>unknown</v>
          </cell>
        </row>
        <row r="1427">
          <cell r="A1427">
            <v>8027</v>
          </cell>
          <cell r="B1427" t="str">
            <v>ja</v>
          </cell>
          <cell r="C1427" t="str">
            <v>KAITO</v>
          </cell>
          <cell r="D1427" t="str">
            <v>KAITO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blue</v>
          </cell>
          <cell r="I1427">
            <v>3</v>
          </cell>
          <cell r="J1427" t="str">
            <v>PremiumS</v>
          </cell>
          <cell r="K1427" t="str">
            <v>technical</v>
          </cell>
          <cell r="L1427" t="str">
            <v>テクニカルタイプ</v>
          </cell>
          <cell r="M1427" t="str">
            <v>unknown</v>
          </cell>
        </row>
        <row r="1428">
          <cell r="A1428">
            <v>8028</v>
          </cell>
          <cell r="B1428" t="str">
            <v>ja</v>
          </cell>
          <cell r="C1428" t="str">
            <v>KAITO</v>
          </cell>
          <cell r="D1428" t="str">
            <v>KAITO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blue</v>
          </cell>
          <cell r="I1428">
            <v>4</v>
          </cell>
          <cell r="J1428" t="str">
            <v>PremiumS</v>
          </cell>
          <cell r="K1428" t="str">
            <v>technical</v>
          </cell>
          <cell r="L1428" t="str">
            <v>テクニカルタイプ</v>
          </cell>
          <cell r="M1428" t="str">
            <v>unknown</v>
          </cell>
        </row>
        <row r="1429">
          <cell r="A1429">
            <v>8029</v>
          </cell>
          <cell r="B1429" t="str">
            <v>ja</v>
          </cell>
          <cell r="C1429" t="str">
            <v>Expoミク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blue</v>
          </cell>
          <cell r="I1429">
            <v>4</v>
          </cell>
          <cell r="J1429" t="str">
            <v>Drop2N</v>
          </cell>
          <cell r="K1429" t="str">
            <v>heal</v>
          </cell>
          <cell r="L1429" t="str">
            <v>回復タイプ</v>
          </cell>
          <cell r="M1429" t="str">
            <v>unknown</v>
          </cell>
        </row>
        <row r="1430">
          <cell r="A1430">
            <v>8030</v>
          </cell>
          <cell r="B1430" t="str">
            <v>ja</v>
          </cell>
          <cell r="C1430" t="str">
            <v>Expoミク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Drop2N</v>
          </cell>
          <cell r="K1430" t="str">
            <v>heal</v>
          </cell>
          <cell r="L1430" t="str">
            <v>回復タイプ</v>
          </cell>
          <cell r="M1430" t="str">
            <v>unknown</v>
          </cell>
        </row>
        <row r="1431">
          <cell r="A1431">
            <v>8031</v>
          </cell>
          <cell r="B1431" t="str">
            <v>ja</v>
          </cell>
          <cell r="C1431" t="str">
            <v>閻羅王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red</v>
          </cell>
          <cell r="I1431">
            <v>5</v>
          </cell>
          <cell r="J1431" t="str">
            <v>PremiumSS</v>
          </cell>
          <cell r="K1431" t="str">
            <v>balance</v>
          </cell>
          <cell r="L1431" t="str">
            <v>バランスタイプ</v>
          </cell>
          <cell r="M1431" t="str">
            <v>god</v>
          </cell>
        </row>
        <row r="1432">
          <cell r="A1432">
            <v>8032</v>
          </cell>
          <cell r="B1432" t="str">
            <v>ja</v>
          </cell>
          <cell r="C1432" t="str">
            <v>六道輪廻の絶獄 閻羅王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6</v>
          </cell>
          <cell r="J1432" t="str">
            <v>PremiumSS</v>
          </cell>
          <cell r="K1432" t="str">
            <v>balance</v>
          </cell>
          <cell r="L1432" t="str">
            <v>バランスタイプ</v>
          </cell>
          <cell r="M1432" t="str">
            <v>god</v>
          </cell>
        </row>
        <row r="1433">
          <cell r="A1433">
            <v>8033</v>
          </cell>
          <cell r="B1433" t="str">
            <v>ja</v>
          </cell>
          <cell r="C1433" t="str">
            <v>牛頭馬面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green</v>
          </cell>
          <cell r="I1433">
            <v>5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god</v>
          </cell>
        </row>
        <row r="1434">
          <cell r="A1434">
            <v>8034</v>
          </cell>
          <cell r="B1434" t="str">
            <v>ja</v>
          </cell>
          <cell r="C1434" t="str">
            <v>冥府狩る魂使 牛頭馬面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green</v>
          </cell>
          <cell r="I1434">
            <v>6</v>
          </cell>
          <cell r="J1434" t="str">
            <v>DropWizS</v>
          </cell>
          <cell r="K1434" t="str">
            <v>attack</v>
          </cell>
          <cell r="L1434" t="str">
            <v>攻撃タイプ</v>
          </cell>
          <cell r="M1434" t="str">
            <v>god</v>
          </cell>
        </row>
        <row r="1435">
          <cell r="A1435">
            <v>8035</v>
          </cell>
          <cell r="B1435" t="str">
            <v>ja</v>
          </cell>
          <cell r="C1435" t="str">
            <v>飛衛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blue</v>
          </cell>
          <cell r="I1435">
            <v>5</v>
          </cell>
          <cell r="J1435" t="str">
            <v>PremiumSS</v>
          </cell>
          <cell r="K1435" t="str">
            <v>heal</v>
          </cell>
          <cell r="L1435" t="str">
            <v>回復タイプ</v>
          </cell>
          <cell r="M1435" t="str">
            <v>human</v>
          </cell>
        </row>
        <row r="1436">
          <cell r="A1436">
            <v>8036</v>
          </cell>
          <cell r="B1436" t="str">
            <v>ja</v>
          </cell>
          <cell r="C1436" t="str">
            <v>レア６飛衛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6</v>
          </cell>
          <cell r="J1436" t="str">
            <v>PremiumSS</v>
          </cell>
          <cell r="K1436" t="str">
            <v>heal</v>
          </cell>
          <cell r="L1436" t="str">
            <v>回復タイプ</v>
          </cell>
          <cell r="M1436" t="str">
            <v>human</v>
          </cell>
        </row>
        <row r="1437">
          <cell r="A1437">
            <v>8037</v>
          </cell>
          <cell r="B1437" t="str">
            <v>ja</v>
          </cell>
          <cell r="C1437" t="str">
            <v>紀昌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red</v>
          </cell>
          <cell r="I1437">
            <v>5</v>
          </cell>
          <cell r="J1437" t="str">
            <v>DropWizS</v>
          </cell>
          <cell r="K1437" t="str">
            <v>attack</v>
          </cell>
          <cell r="L1437" t="str">
            <v>攻撃タイプ</v>
          </cell>
          <cell r="M1437" t="str">
            <v>human</v>
          </cell>
        </row>
        <row r="1438">
          <cell r="A1438">
            <v>8038</v>
          </cell>
          <cell r="B1438" t="str">
            <v>ja</v>
          </cell>
          <cell r="C1438" t="str">
            <v>レア６紀昌</v>
          </cell>
          <cell r="D1438" t="str">
            <v>Expoミク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red</v>
          </cell>
          <cell r="I1438">
            <v>6</v>
          </cell>
          <cell r="J1438" t="str">
            <v>DropWizS</v>
          </cell>
          <cell r="K1438" t="str">
            <v>attack</v>
          </cell>
          <cell r="L1438" t="str">
            <v>攻撃タイプ</v>
          </cell>
          <cell r="M1438" t="str">
            <v>human</v>
          </cell>
        </row>
        <row r="1439">
          <cell r="A1439">
            <v>8039</v>
          </cell>
          <cell r="B1439" t="str">
            <v>ja</v>
          </cell>
          <cell r="C1439" t="str">
            <v>何仙姑</v>
          </cell>
          <cell r="D1439" t="str">
            <v>Expoミク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yellow</v>
          </cell>
          <cell r="I1439">
            <v>5</v>
          </cell>
          <cell r="J1439" t="str">
            <v>PremiumSSw</v>
          </cell>
          <cell r="K1439" t="str">
            <v>hp</v>
          </cell>
          <cell r="L1439" t="str">
            <v>体力タイプ</v>
          </cell>
          <cell r="M1439" t="str">
            <v>god</v>
          </cell>
        </row>
        <row r="1440">
          <cell r="A1440">
            <v>8040</v>
          </cell>
          <cell r="B1440" t="str">
            <v>ja</v>
          </cell>
          <cell r="C1440" t="str">
            <v>レア６何仙姑</v>
          </cell>
          <cell r="D1440" t="str">
            <v>Expoミク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6</v>
          </cell>
          <cell r="J1440" t="str">
            <v>PremiumSSw</v>
          </cell>
          <cell r="K1440" t="str">
            <v>hp</v>
          </cell>
          <cell r="L1440" t="str">
            <v>体力タイプ</v>
          </cell>
          <cell r="M1440" t="str">
            <v>god</v>
          </cell>
        </row>
        <row r="1441">
          <cell r="A1441">
            <v>8041</v>
          </cell>
          <cell r="B1441" t="str">
            <v>ja</v>
          </cell>
          <cell r="C1441" t="str">
            <v>藍采和</v>
          </cell>
          <cell r="D1441" t="str">
            <v>Expoミク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blue</v>
          </cell>
          <cell r="I1441">
            <v>5</v>
          </cell>
          <cell r="J1441" t="str">
            <v>DropWizS</v>
          </cell>
          <cell r="K1441" t="str">
            <v>balance</v>
          </cell>
          <cell r="L1441" t="str">
            <v>バランスタイプ</v>
          </cell>
          <cell r="M1441" t="str">
            <v>god</v>
          </cell>
        </row>
        <row r="1442">
          <cell r="A1442">
            <v>8042</v>
          </cell>
          <cell r="B1442" t="str">
            <v>ja</v>
          </cell>
          <cell r="C1442" t="str">
            <v>レア６藍采和</v>
          </cell>
          <cell r="D1442" t="str">
            <v>Expoミク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blue</v>
          </cell>
          <cell r="I1442">
            <v>6</v>
          </cell>
          <cell r="J1442" t="str">
            <v>DropWizS</v>
          </cell>
          <cell r="K1442" t="str">
            <v>balance</v>
          </cell>
          <cell r="L1442" t="str">
            <v>バランスタイプ</v>
          </cell>
          <cell r="M1442" t="str">
            <v>god</v>
          </cell>
        </row>
        <row r="1443">
          <cell r="A1443">
            <v>8043</v>
          </cell>
          <cell r="B1443" t="str">
            <v>ja</v>
          </cell>
          <cell r="C1443" t="str">
            <v>サンリオキャラ大集合+アザゼル</v>
          </cell>
          <cell r="D1443" t="str">
            <v>サンリオキャラ大集合+アザゼル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green</v>
          </cell>
          <cell r="I1443">
            <v>5</v>
          </cell>
          <cell r="J1443" t="str">
            <v>DropWizS</v>
          </cell>
          <cell r="K1443" t="str">
            <v>technical</v>
          </cell>
          <cell r="L1443" t="str">
            <v>テクニカルタイプ</v>
          </cell>
          <cell r="M1443" t="str">
            <v>ss</v>
          </cell>
        </row>
        <row r="1444">
          <cell r="A1444">
            <v>8044</v>
          </cell>
          <cell r="B1444" t="str">
            <v>ja</v>
          </cell>
          <cell r="C1444" t="str">
            <v>サンリオキャラ大集合+アザゼル</v>
          </cell>
          <cell r="D1444" t="str">
            <v>サンリオキャラ大集合+アザゼル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green</v>
          </cell>
          <cell r="I1444">
            <v>6</v>
          </cell>
          <cell r="J1444" t="str">
            <v>DropWizS</v>
          </cell>
          <cell r="K1444" t="str">
            <v>technical</v>
          </cell>
          <cell r="L1444" t="str">
            <v>テクニカルタイプ</v>
          </cell>
          <cell r="M1444" t="str">
            <v>ss</v>
          </cell>
        </row>
        <row r="1445">
          <cell r="A1445">
            <v>8045</v>
          </cell>
          <cell r="B1445" t="str">
            <v>ja</v>
          </cell>
          <cell r="C1445" t="str">
            <v>ニムダ_サンリオキャラ混じり</v>
          </cell>
          <cell r="D1445" t="str">
            <v>ニムダ_サンリオキャラ混じり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yellow</v>
          </cell>
          <cell r="I1445">
            <v>4</v>
          </cell>
          <cell r="J1445" t="str">
            <v>Drop2N</v>
          </cell>
          <cell r="K1445" t="str">
            <v>technical</v>
          </cell>
          <cell r="L1445" t="str">
            <v>テクニカルタイプ</v>
          </cell>
          <cell r="M1445" t="str">
            <v>ss</v>
          </cell>
        </row>
        <row r="1446">
          <cell r="A1446">
            <v>8046</v>
          </cell>
          <cell r="B1446" t="str">
            <v>ja</v>
          </cell>
          <cell r="C1446" t="str">
            <v>ニムダ_サンリオキャラ混じり</v>
          </cell>
          <cell r="D1446" t="str">
            <v>ニムダ_サンリオキャラ混じり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yellow</v>
          </cell>
          <cell r="I1446">
            <v>5</v>
          </cell>
          <cell r="J1446" t="str">
            <v>Drop2N</v>
          </cell>
          <cell r="K1446" t="str">
            <v>technical</v>
          </cell>
          <cell r="L1446" t="str">
            <v>テクニカルタイプ</v>
          </cell>
          <cell r="M1446" t="str">
            <v>ss</v>
          </cell>
        </row>
        <row r="1447">
          <cell r="A1447">
            <v>8047</v>
          </cell>
          <cell r="B1447" t="str">
            <v>ja</v>
          </cell>
          <cell r="C1447" t="str">
            <v>ハローキティ</v>
          </cell>
          <cell r="D1447" t="str">
            <v>ハローキティ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balance</v>
          </cell>
          <cell r="L1447" t="str">
            <v>バランスタイプ</v>
          </cell>
          <cell r="M1447" t="str">
            <v>ss</v>
          </cell>
        </row>
        <row r="1448">
          <cell r="A1448">
            <v>8048</v>
          </cell>
          <cell r="B1448" t="str">
            <v>ja</v>
          </cell>
          <cell r="C1448" t="str">
            <v>ハローキティ</v>
          </cell>
          <cell r="D1448" t="str">
            <v>ハローキティ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Drop2N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8049</v>
          </cell>
          <cell r="B1449" t="str">
            <v>ja</v>
          </cell>
          <cell r="C1449" t="str">
            <v>KIRIMIちゃん</v>
          </cell>
          <cell r="D1449" t="str">
            <v>KIRIMIちゃん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4</v>
          </cell>
          <cell r="J1449" t="str">
            <v>Drop2N</v>
          </cell>
          <cell r="K1449" t="str">
            <v>hp</v>
          </cell>
          <cell r="L1449" t="str">
            <v>体力タイプ</v>
          </cell>
          <cell r="M1449" t="str">
            <v>ss</v>
          </cell>
        </row>
        <row r="1450">
          <cell r="A1450">
            <v>8050</v>
          </cell>
          <cell r="B1450" t="str">
            <v>ja</v>
          </cell>
          <cell r="C1450" t="str">
            <v>KIRIMIちゃん</v>
          </cell>
          <cell r="D1450" t="str">
            <v>KIRIMIちゃん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5</v>
          </cell>
          <cell r="J1450" t="str">
            <v>Drop2N</v>
          </cell>
          <cell r="K1450" t="str">
            <v>hp</v>
          </cell>
          <cell r="L1450" t="str">
            <v>体力タイプ</v>
          </cell>
          <cell r="M1450" t="str">
            <v>ss</v>
          </cell>
        </row>
        <row r="1451">
          <cell r="A1451">
            <v>8051</v>
          </cell>
          <cell r="B1451" t="str">
            <v>ja</v>
          </cell>
          <cell r="C1451" t="str">
            <v>ハローキティのリボン</v>
          </cell>
          <cell r="D1451" t="str">
            <v>ハローキティのリボン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Drop2N</v>
          </cell>
          <cell r="K1451" t="str">
            <v>evolution</v>
          </cell>
          <cell r="L1451" t="str">
            <v>覚醒素材タイプ</v>
          </cell>
          <cell r="M1451" t="str">
            <v>ss</v>
          </cell>
        </row>
        <row r="1452">
          <cell r="A1452">
            <v>8052</v>
          </cell>
          <cell r="B1452" t="str">
            <v>ja</v>
          </cell>
          <cell r="C1452" t="str">
            <v>ママの作ったアップルパイ</v>
          </cell>
          <cell r="D1452" t="str">
            <v>ママの作ったアップルパイ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red</v>
          </cell>
          <cell r="I1452">
            <v>4</v>
          </cell>
          <cell r="J1452" t="str">
            <v>Drop2N</v>
          </cell>
          <cell r="K1452" t="str">
            <v>evolution</v>
          </cell>
          <cell r="L1452" t="str">
            <v>覚醒素材タイプ</v>
          </cell>
          <cell r="M1452" t="str">
            <v>ss</v>
          </cell>
        </row>
        <row r="1453">
          <cell r="A1453">
            <v>8053</v>
          </cell>
          <cell r="B1453" t="str">
            <v>ja</v>
          </cell>
          <cell r="C1453" t="str">
            <v>D.R.T.H__キティコスプレ</v>
          </cell>
          <cell r="D1453" t="str">
            <v>D.R.T.H__キティコスプレ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red</v>
          </cell>
          <cell r="I1453">
            <v>5</v>
          </cell>
          <cell r="J1453" t="str">
            <v>PremiumSS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8054</v>
          </cell>
          <cell r="B1454" t="str">
            <v>ja</v>
          </cell>
          <cell r="C1454" t="str">
            <v>D.R.T.H__キティコスプレ</v>
          </cell>
          <cell r="D1454" t="str">
            <v>D.R.T.H__キティコスプレ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red</v>
          </cell>
          <cell r="I1454">
            <v>6</v>
          </cell>
          <cell r="J1454" t="str">
            <v>PremiumSS</v>
          </cell>
          <cell r="K1454" t="str">
            <v>balance</v>
          </cell>
          <cell r="L1454" t="str">
            <v>バランスタイプ</v>
          </cell>
          <cell r="M1454" t="str">
            <v>ss</v>
          </cell>
        </row>
        <row r="1455">
          <cell r="A1455">
            <v>8055</v>
          </cell>
          <cell r="B1455" t="str">
            <v>ja</v>
          </cell>
          <cell r="C1455" t="str">
            <v>マイメロディ</v>
          </cell>
          <cell r="D1455" t="str">
            <v>マイメロディ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red</v>
          </cell>
          <cell r="I1455">
            <v>4</v>
          </cell>
          <cell r="J1455" t="str">
            <v>PremiumS</v>
          </cell>
          <cell r="K1455" t="str">
            <v>attack</v>
          </cell>
          <cell r="L1455" t="str">
            <v>攻撃タイプ</v>
          </cell>
          <cell r="M1455" t="str">
            <v>ss</v>
          </cell>
        </row>
        <row r="1456">
          <cell r="A1456">
            <v>8056</v>
          </cell>
          <cell r="B1456" t="str">
            <v>ja</v>
          </cell>
          <cell r="C1456" t="str">
            <v>マイメロディ</v>
          </cell>
          <cell r="D1456" t="str">
            <v>マイメロディ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red</v>
          </cell>
          <cell r="I1456">
            <v>5</v>
          </cell>
          <cell r="J1456" t="str">
            <v>PremiumS</v>
          </cell>
          <cell r="K1456" t="str">
            <v>attack</v>
          </cell>
          <cell r="L1456" t="str">
            <v>攻撃タイプ</v>
          </cell>
          <cell r="M1456" t="str">
            <v>ss</v>
          </cell>
        </row>
        <row r="1457">
          <cell r="A1457">
            <v>8057</v>
          </cell>
          <cell r="B1457" t="str">
            <v>ja</v>
          </cell>
          <cell r="C1457" t="str">
            <v>ニーベルゲン_シナモロールコスプレ</v>
          </cell>
          <cell r="D1457" t="str">
            <v>ニーベルゲン_シナモロールコスプレ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8058</v>
          </cell>
          <cell r="B1458" t="str">
            <v>ja</v>
          </cell>
          <cell r="C1458" t="str">
            <v>ニーベルゲン_シナモロールコスプレ</v>
          </cell>
          <cell r="D1458" t="str">
            <v>ニーベルゲン_シナモロールコスプレ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green</v>
          </cell>
          <cell r="I1458">
            <v>5</v>
          </cell>
          <cell r="J1458" t="str">
            <v>PremiumS</v>
          </cell>
          <cell r="K1458" t="str">
            <v>balance</v>
          </cell>
          <cell r="L1458" t="str">
            <v>バランスタイプ</v>
          </cell>
          <cell r="M1458" t="str">
            <v>ss</v>
          </cell>
        </row>
        <row r="1459">
          <cell r="A1459">
            <v>8059</v>
          </cell>
          <cell r="B1459" t="str">
            <v>ja</v>
          </cell>
          <cell r="C1459" t="str">
            <v>カカシ_マイメロディコスプレ</v>
          </cell>
          <cell r="D1459" t="str">
            <v>カカシ_マイメロディコスプレ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green</v>
          </cell>
          <cell r="I1459">
            <v>4</v>
          </cell>
          <cell r="J1459" t="str">
            <v>PremiumS</v>
          </cell>
          <cell r="K1459" t="str">
            <v>technical</v>
          </cell>
          <cell r="L1459" t="str">
            <v>テクニカルタイプ</v>
          </cell>
          <cell r="M1459" t="str">
            <v>ss</v>
          </cell>
        </row>
        <row r="1460">
          <cell r="A1460">
            <v>8060</v>
          </cell>
          <cell r="B1460" t="str">
            <v>ja</v>
          </cell>
          <cell r="C1460" t="str">
            <v>カカシ_マイメロディコスプレ</v>
          </cell>
          <cell r="D1460" t="str">
            <v>カカシ_マイメロディコスプレ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green</v>
          </cell>
          <cell r="I1460">
            <v>5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8061</v>
          </cell>
          <cell r="B1461" t="str">
            <v>ja</v>
          </cell>
          <cell r="C1461" t="str">
            <v>ケロケロけろっぴ</v>
          </cell>
          <cell r="D1461" t="str">
            <v>ケロケロけろっぴ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green</v>
          </cell>
          <cell r="I1461">
            <v>3</v>
          </cell>
          <cell r="J1461" t="str">
            <v>PremiumS</v>
          </cell>
          <cell r="K1461" t="str">
            <v>balance</v>
          </cell>
          <cell r="L1461" t="str">
            <v>バランスタイプ</v>
          </cell>
          <cell r="M1461" t="str">
            <v>ss</v>
          </cell>
        </row>
        <row r="1462">
          <cell r="A1462">
            <v>8062</v>
          </cell>
          <cell r="B1462" t="str">
            <v>ja</v>
          </cell>
          <cell r="C1462" t="str">
            <v>ケロケロけろっぴ</v>
          </cell>
          <cell r="D1462" t="str">
            <v>ケロケロけろっぴ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green</v>
          </cell>
          <cell r="I1462">
            <v>4</v>
          </cell>
          <cell r="J1462" t="str">
            <v>PremiumS</v>
          </cell>
          <cell r="K1462" t="str">
            <v>balance</v>
          </cell>
          <cell r="L1462" t="str">
            <v>バランスタイプ</v>
          </cell>
          <cell r="M1462" t="str">
            <v>ss</v>
          </cell>
        </row>
        <row r="1463">
          <cell r="A1463">
            <v>8063</v>
          </cell>
          <cell r="B1463" t="str">
            <v>ja</v>
          </cell>
          <cell r="C1463" t="str">
            <v>モルドレッド_ポムポムプリンコスプレ</v>
          </cell>
          <cell r="D1463" t="str">
            <v>モルドレッド_ポムポムプリンコスプレ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5</v>
          </cell>
          <cell r="J1463" t="str">
            <v>PremiumSS</v>
          </cell>
          <cell r="K1463" t="str">
            <v>heal</v>
          </cell>
          <cell r="L1463" t="str">
            <v>回復タイプ</v>
          </cell>
          <cell r="M1463" t="str">
            <v>ss</v>
          </cell>
        </row>
        <row r="1464">
          <cell r="A1464">
            <v>8064</v>
          </cell>
          <cell r="B1464" t="str">
            <v>ja</v>
          </cell>
          <cell r="C1464" t="str">
            <v>モルドレッド_ポムポムプリンコスプレ</v>
          </cell>
          <cell r="D1464" t="str">
            <v>モルドレッド_ポムポムプリンコスプレ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blue</v>
          </cell>
          <cell r="I1464">
            <v>6</v>
          </cell>
          <cell r="J1464" t="str">
            <v>PremiumSS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8065</v>
          </cell>
          <cell r="B1465" t="str">
            <v>ja</v>
          </cell>
          <cell r="C1465" t="str">
            <v>クロミ</v>
          </cell>
          <cell r="D1465" t="str">
            <v>クロミ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blue</v>
          </cell>
          <cell r="I1465">
            <v>3</v>
          </cell>
          <cell r="J1465" t="str">
            <v>PremiumS</v>
          </cell>
          <cell r="K1465" t="str">
            <v>technical</v>
          </cell>
          <cell r="L1465" t="str">
            <v>テクニカルタイプ</v>
          </cell>
          <cell r="M1465" t="str">
            <v>ss</v>
          </cell>
        </row>
        <row r="1466">
          <cell r="A1466">
            <v>8066</v>
          </cell>
          <cell r="B1466" t="str">
            <v>ja</v>
          </cell>
          <cell r="C1466" t="str">
            <v>クロミ</v>
          </cell>
          <cell r="D1466" t="str">
            <v>クロミ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blue</v>
          </cell>
          <cell r="I1466">
            <v>4</v>
          </cell>
          <cell r="J1466" t="str">
            <v>PremiumS</v>
          </cell>
          <cell r="K1466" t="str">
            <v>technical</v>
          </cell>
          <cell r="L1466" t="str">
            <v>テクニカルタイプ</v>
          </cell>
          <cell r="M1466" t="str">
            <v>ss</v>
          </cell>
        </row>
        <row r="1467">
          <cell r="A1467">
            <v>8067</v>
          </cell>
          <cell r="B1467" t="str">
            <v>ja</v>
          </cell>
          <cell r="C1467" t="str">
            <v>バッドばつ丸</v>
          </cell>
          <cell r="D1467" t="str">
            <v>バッドばつ丸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blue</v>
          </cell>
          <cell r="I1467">
            <v>3</v>
          </cell>
          <cell r="J1467" t="str">
            <v>PremiumS</v>
          </cell>
          <cell r="K1467" t="str">
            <v>attack</v>
          </cell>
          <cell r="L1467" t="str">
            <v>攻撃タイプ</v>
          </cell>
          <cell r="M1467" t="str">
            <v>ss</v>
          </cell>
        </row>
        <row r="1468">
          <cell r="A1468">
            <v>8068</v>
          </cell>
          <cell r="B1468" t="str">
            <v>ja</v>
          </cell>
          <cell r="C1468" t="str">
            <v>バッドばつ丸</v>
          </cell>
          <cell r="D1468" t="str">
            <v>バッドばつ丸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4</v>
          </cell>
          <cell r="J1468" t="str">
            <v>PremiumS</v>
          </cell>
          <cell r="K1468" t="str">
            <v>attack</v>
          </cell>
          <cell r="L1468" t="str">
            <v>攻撃タイプ</v>
          </cell>
          <cell r="M1468" t="str">
            <v>ss</v>
          </cell>
        </row>
        <row r="1469">
          <cell r="A1469">
            <v>8069</v>
          </cell>
          <cell r="B1469" t="str">
            <v>ja</v>
          </cell>
          <cell r="C1469" t="str">
            <v>シナモロール</v>
          </cell>
          <cell r="D1469" t="str">
            <v>シナモロール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yellow</v>
          </cell>
          <cell r="I1469">
            <v>4</v>
          </cell>
          <cell r="J1469" t="str">
            <v>PremiumS</v>
          </cell>
          <cell r="K1469" t="str">
            <v>heal</v>
          </cell>
          <cell r="L1469" t="str">
            <v>回復タイプ</v>
          </cell>
          <cell r="M1469" t="str">
            <v>ss</v>
          </cell>
        </row>
        <row r="1470">
          <cell r="A1470">
            <v>8070</v>
          </cell>
          <cell r="B1470" t="str">
            <v>ja</v>
          </cell>
          <cell r="C1470" t="str">
            <v>シナモロール</v>
          </cell>
          <cell r="D1470" t="str">
            <v>シナモロール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yellow</v>
          </cell>
          <cell r="I1470">
            <v>5</v>
          </cell>
          <cell r="J1470" t="str">
            <v>PremiumS</v>
          </cell>
          <cell r="K1470" t="str">
            <v>heal</v>
          </cell>
          <cell r="L1470" t="str">
            <v>回復タイプ</v>
          </cell>
          <cell r="M1470" t="str">
            <v>ss</v>
          </cell>
        </row>
        <row r="1471">
          <cell r="A1471">
            <v>8071</v>
          </cell>
          <cell r="B1471" t="str">
            <v>ja</v>
          </cell>
          <cell r="C1471" t="str">
            <v>ポムポムプリン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yellow</v>
          </cell>
          <cell r="I1471">
            <v>3</v>
          </cell>
          <cell r="J1471" t="str">
            <v>PremiumS</v>
          </cell>
          <cell r="K1471" t="str">
            <v>hp</v>
          </cell>
          <cell r="L1471" t="str">
            <v>体力タイプ</v>
          </cell>
          <cell r="M1471" t="str">
            <v>ss</v>
          </cell>
        </row>
        <row r="1472">
          <cell r="A1472">
            <v>8072</v>
          </cell>
          <cell r="B1472" t="str">
            <v>ja</v>
          </cell>
          <cell r="C1472" t="str">
            <v>ポムポムプリン</v>
          </cell>
          <cell r="D1472" t="str">
            <v>ポムポムプリン</v>
          </cell>
          <cell r="E1472" t="str">
            <v>執行者</v>
          </cell>
          <cell r="F1472" t="str">
            <v>格好いい</v>
          </cell>
          <cell r="G1472" t="str">
            <v>女性</v>
          </cell>
          <cell r="H1472" t="str">
            <v>yellow</v>
          </cell>
          <cell r="I1472">
            <v>4</v>
          </cell>
          <cell r="J1472" t="str">
            <v>PremiumS</v>
          </cell>
          <cell r="K1472" t="str">
            <v>hp</v>
          </cell>
          <cell r="L1472" t="str">
            <v>体力タイプ</v>
          </cell>
          <cell r="M1472" t="str">
            <v>ss</v>
          </cell>
        </row>
        <row r="1473">
          <cell r="A1473">
            <v>8073</v>
          </cell>
          <cell r="B1473" t="str">
            <v>ja</v>
          </cell>
          <cell r="C1473" t="str">
            <v>媽祖_超覚醒</v>
          </cell>
          <cell r="D1473" t="str">
            <v>Expoミク</v>
          </cell>
          <cell r="E1473" t="str">
            <v>執行者</v>
          </cell>
          <cell r="F1473" t="str">
            <v>格好いい</v>
          </cell>
          <cell r="G1473" t="str">
            <v>女性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attack</v>
          </cell>
          <cell r="L1473" t="str">
            <v>攻撃タイプ</v>
          </cell>
          <cell r="M1473" t="str">
            <v>human</v>
          </cell>
        </row>
        <row r="1474">
          <cell r="A1474">
            <v>8074</v>
          </cell>
          <cell r="B1474" t="str">
            <v>ja</v>
          </cell>
          <cell r="C1474" t="str">
            <v>蛟龍_超覚醒</v>
          </cell>
          <cell r="D1474" t="str">
            <v>Expoミク</v>
          </cell>
          <cell r="E1474" t="str">
            <v>執行者</v>
          </cell>
          <cell r="F1474" t="str">
            <v>格好いい</v>
          </cell>
          <cell r="G1474" t="str">
            <v>女性</v>
          </cell>
          <cell r="H1474" t="str">
            <v>blue</v>
          </cell>
          <cell r="I1474">
            <v>6</v>
          </cell>
          <cell r="J1474" t="str">
            <v>DropWizS</v>
          </cell>
          <cell r="K1474" t="str">
            <v>hp</v>
          </cell>
          <cell r="L1474" t="str">
            <v>体力タイプ</v>
          </cell>
          <cell r="M1474" t="str">
            <v>dragon</v>
          </cell>
        </row>
        <row r="1475">
          <cell r="A1475">
            <v>8075</v>
          </cell>
          <cell r="B1475" t="str">
            <v>ja</v>
          </cell>
          <cell r="C1475" t="str">
            <v>三蔵法師_超覚醒</v>
          </cell>
          <cell r="D1475" t="str">
            <v>Expoミク</v>
          </cell>
          <cell r="E1475" t="str">
            <v>執行者</v>
          </cell>
          <cell r="F1475" t="str">
            <v>格好いい</v>
          </cell>
          <cell r="G1475" t="str">
            <v>女性</v>
          </cell>
          <cell r="H1475" t="str">
            <v>blue</v>
          </cell>
          <cell r="I1475">
            <v>6</v>
          </cell>
          <cell r="J1475" t="str">
            <v>PremiumSS</v>
          </cell>
          <cell r="K1475" t="str">
            <v>balance</v>
          </cell>
          <cell r="L1475" t="str">
            <v>バランスタイプ</v>
          </cell>
          <cell r="M1475" t="str">
            <v>human</v>
          </cell>
        </row>
        <row r="1476">
          <cell r="A1476">
            <v>8076</v>
          </cell>
          <cell r="B1476" t="str">
            <v>ja</v>
          </cell>
          <cell r="C1476" t="str">
            <v>孫悟空_超覚醒</v>
          </cell>
          <cell r="D1476" t="str">
            <v>Expoミク</v>
          </cell>
          <cell r="E1476" t="str">
            <v>執行者</v>
          </cell>
          <cell r="F1476" t="str">
            <v>格好いい</v>
          </cell>
          <cell r="G1476" t="str">
            <v>女性</v>
          </cell>
          <cell r="H1476" t="str">
            <v>red</v>
          </cell>
          <cell r="I1476">
            <v>6</v>
          </cell>
          <cell r="J1476" t="str">
            <v>DropWizS</v>
          </cell>
          <cell r="K1476" t="str">
            <v>attack</v>
          </cell>
          <cell r="L1476" t="str">
            <v>攻撃タイプ</v>
          </cell>
          <cell r="M1476" t="str">
            <v>animal</v>
          </cell>
        </row>
        <row r="1477">
          <cell r="A1477">
            <v>8077</v>
          </cell>
          <cell r="B1477" t="str">
            <v>ja</v>
          </cell>
          <cell r="C1477" t="str">
            <v>鄭成功</v>
          </cell>
          <cell r="D1477" t="str">
            <v>ポムポムプリン</v>
          </cell>
          <cell r="E1477" t="str">
            <v>執行者</v>
          </cell>
          <cell r="F1477" t="str">
            <v>格好いい</v>
          </cell>
          <cell r="G1477" t="str">
            <v>女性</v>
          </cell>
          <cell r="H1477" t="str">
            <v>blue</v>
          </cell>
          <cell r="I1477">
            <v>5</v>
          </cell>
          <cell r="J1477" t="str">
            <v>PremiumSS</v>
          </cell>
          <cell r="K1477" t="str">
            <v>attack</v>
          </cell>
          <cell r="L1477" t="str">
            <v>攻撃タイプ</v>
          </cell>
          <cell r="M1477" t="str">
            <v>human</v>
          </cell>
        </row>
        <row r="1478">
          <cell r="A1478">
            <v>8078</v>
          </cell>
          <cell r="B1478" t="str">
            <v>ja</v>
          </cell>
          <cell r="C1478" t="str">
            <v>レア６鄭成功</v>
          </cell>
          <cell r="D1478" t="str">
            <v>ポムポムプリン</v>
          </cell>
          <cell r="E1478" t="str">
            <v>執行者</v>
          </cell>
          <cell r="F1478" t="str">
            <v>格好いい</v>
          </cell>
          <cell r="G1478" t="str">
            <v>女性</v>
          </cell>
          <cell r="H1478" t="str">
            <v>blue</v>
          </cell>
          <cell r="I1478">
            <v>6</v>
          </cell>
          <cell r="J1478" t="str">
            <v>PremiumSS</v>
          </cell>
          <cell r="K1478" t="str">
            <v>attack</v>
          </cell>
          <cell r="L1478" t="str">
            <v>攻撃タイプ</v>
          </cell>
          <cell r="M1478" t="str">
            <v>human</v>
          </cell>
        </row>
        <row r="1479">
          <cell r="A1479">
            <v>8079</v>
          </cell>
          <cell r="B1479" t="str">
            <v>ja</v>
          </cell>
          <cell r="C1479" t="str">
            <v>赤鬼</v>
          </cell>
          <cell r="D1479" t="str">
            <v>ポムポムプリン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DropWizS</v>
          </cell>
          <cell r="K1479" t="str">
            <v>hp</v>
          </cell>
          <cell r="L1479" t="str">
            <v>体力タイプ</v>
          </cell>
          <cell r="M1479" t="str">
            <v>dragon</v>
          </cell>
        </row>
        <row r="1480">
          <cell r="A1480">
            <v>8080</v>
          </cell>
          <cell r="B1480" t="str">
            <v>ja</v>
          </cell>
          <cell r="C1480" t="str">
            <v>レア６赤鬼</v>
          </cell>
          <cell r="D1480" t="str">
            <v>ポムポムプリン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DropWizS</v>
          </cell>
          <cell r="K1480" t="str">
            <v>hp</v>
          </cell>
          <cell r="L1480" t="str">
            <v>体力タイプ</v>
          </cell>
          <cell r="M1480" t="str">
            <v>dragon</v>
          </cell>
        </row>
        <row r="1481">
          <cell r="A1481">
            <v>8095</v>
          </cell>
          <cell r="B1481" t="str">
            <v>ja</v>
          </cell>
          <cell r="C1481" t="str">
            <v>バハムートダック赤</v>
          </cell>
          <cell r="D1481" t="str">
            <v>ポムポムプリン</v>
          </cell>
          <cell r="E1481" t="str">
            <v>執行者</v>
          </cell>
          <cell r="F1481" t="str">
            <v>格好いい</v>
          </cell>
          <cell r="G1481" t="str">
            <v>女性</v>
          </cell>
          <cell r="H1481" t="str">
            <v>red</v>
          </cell>
          <cell r="I1481">
            <v>6</v>
          </cell>
          <cell r="J1481" t="str">
            <v>Material</v>
          </cell>
          <cell r="K1481" t="str">
            <v>exp</v>
          </cell>
          <cell r="L1481" t="str">
            <v>強化素材タイプ</v>
          </cell>
          <cell r="M1481" t="str">
            <v>unknown</v>
          </cell>
        </row>
        <row r="1482">
          <cell r="A1482">
            <v>8096</v>
          </cell>
          <cell r="B1482" t="str">
            <v>ja</v>
          </cell>
          <cell r="C1482" t="str">
            <v>バハムートダック緑</v>
          </cell>
          <cell r="D1482" t="str">
            <v>ポムポムプリン</v>
          </cell>
          <cell r="E1482" t="str">
            <v>執行者</v>
          </cell>
          <cell r="F1482" t="str">
            <v>格好いい</v>
          </cell>
          <cell r="G1482" t="str">
            <v>女性</v>
          </cell>
          <cell r="H1482" t="str">
            <v>green</v>
          </cell>
          <cell r="I1482">
            <v>6</v>
          </cell>
          <cell r="J1482" t="str">
            <v>Material</v>
          </cell>
          <cell r="K1482" t="str">
            <v>exp</v>
          </cell>
          <cell r="L1482" t="str">
            <v>強化素材タイプ</v>
          </cell>
          <cell r="M1482" t="str">
            <v>unknown</v>
          </cell>
        </row>
        <row r="1483">
          <cell r="A1483">
            <v>8097</v>
          </cell>
          <cell r="B1483" t="str">
            <v>ja</v>
          </cell>
          <cell r="C1483" t="str">
            <v>バハムートダック青</v>
          </cell>
          <cell r="D1483" t="str">
            <v>ポムポムプリン</v>
          </cell>
          <cell r="E1483" t="str">
            <v>執行者</v>
          </cell>
          <cell r="F1483" t="str">
            <v>格好いい</v>
          </cell>
          <cell r="G1483" t="str">
            <v>女性</v>
          </cell>
          <cell r="H1483" t="str">
            <v>blue</v>
          </cell>
          <cell r="I1483">
            <v>6</v>
          </cell>
          <cell r="J1483" t="str">
            <v>Material</v>
          </cell>
          <cell r="K1483" t="str">
            <v>exp</v>
          </cell>
          <cell r="L1483" t="str">
            <v>強化素材タイプ</v>
          </cell>
          <cell r="M1483" t="str">
            <v>unknown</v>
          </cell>
        </row>
        <row r="1484">
          <cell r="A1484">
            <v>8098</v>
          </cell>
          <cell r="B1484" t="str">
            <v>ja</v>
          </cell>
          <cell r="C1484" t="str">
            <v>バハムートダック黄</v>
          </cell>
          <cell r="D1484" t="str">
            <v>ポムポムプリン</v>
          </cell>
          <cell r="E1484" t="str">
            <v>執行者</v>
          </cell>
          <cell r="F1484" t="str">
            <v>格好いい</v>
          </cell>
          <cell r="G1484" t="str">
            <v>女性</v>
          </cell>
          <cell r="H1484" t="str">
            <v>yellow</v>
          </cell>
          <cell r="I1484">
            <v>6</v>
          </cell>
          <cell r="J1484" t="str">
            <v>Material</v>
          </cell>
          <cell r="K1484" t="str">
            <v>exp</v>
          </cell>
          <cell r="L1484" t="str">
            <v>強化素材タイプ</v>
          </cell>
          <cell r="M1484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0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2" sqref="F2: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251</v>
      </c>
      <c r="B2" s="61" t="s">
        <v>110</v>
      </c>
      <c r="C2" s="50" t="str">
        <f t="shared" ref="C2" si="0">RIGHT(F2,6)</f>
        <v>500100</v>
      </c>
      <c r="D2" s="19" t="s">
        <v>45</v>
      </c>
      <c r="E2" s="17" t="str">
        <f t="shared" ref="E2" si="1">B2&amp;C2&amp;D2</f>
        <v>gacha_select_tables_500100.tmp</v>
      </c>
      <c r="F2" s="94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251</v>
      </c>
      <c r="B3" s="61" t="s">
        <v>110</v>
      </c>
      <c r="C3" s="50" t="str">
        <f t="shared" ref="C3:C7" si="2">RIGHT(F3,6)</f>
        <v>500010</v>
      </c>
      <c r="D3" s="19" t="s">
        <v>45</v>
      </c>
      <c r="E3" s="17" t="str">
        <f t="shared" ref="E3:E10" si="3">B3&amp;C3&amp;D3</f>
        <v>gacha_select_tables_500010.tmp</v>
      </c>
      <c r="F3" s="94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251</v>
      </c>
      <c r="B4" s="91" t="s">
        <v>247</v>
      </c>
      <c r="C4" s="92" t="str">
        <f t="shared" si="2"/>
        <v>500100</v>
      </c>
      <c r="D4" s="19" t="s">
        <v>248</v>
      </c>
      <c r="E4" s="17" t="str">
        <f t="shared" si="3"/>
        <v>gacha_settle_tables_500100.tmp</v>
      </c>
      <c r="F4" s="94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6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6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6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G49" sqref="G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500010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2">
        <v>378</v>
      </c>
      <c r="M3" s="37" t="str">
        <f>VLOOKUP(L3,[1]characters!$A:$C,3,FALSE)</f>
        <v>オイラー</v>
      </c>
      <c r="N3" s="63">
        <v>2.5000000000000001E-3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VLOOKUP(L3,tables_500010!B:C,2,FALSE)</f>
        <v>PremiumSSS4R3less</v>
      </c>
      <c r="R3" s="62">
        <f t="shared" ref="R3:R20" si="1">N3*A$36</f>
        <v>14950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2">
        <v>379</v>
      </c>
      <c r="M4" s="37" t="str">
        <f>VLOOKUP(L4,[1]characters!$A:$C,3,FALSE)</f>
        <v>幾何の機刃 オイラー</v>
      </c>
      <c r="N4" s="63">
        <v>2.5000000000000001E-3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VLOOKUP(L4,tables_500010!B:C,2,FALSE)</f>
        <v>PremiumSSS5R3less</v>
      </c>
      <c r="R4" s="62">
        <f t="shared" si="1"/>
        <v>14950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4.2307692307692307E-3</v>
      </c>
      <c r="F5">
        <f>(COUNTIF(tables_500010!C:C,input_500010!A28)+COUNTIF(tables_500010!C:C,input_500010!A29))</f>
        <v>17</v>
      </c>
      <c r="H5" s="83">
        <v>0.02</v>
      </c>
      <c r="I5" s="31">
        <v>4</v>
      </c>
      <c r="L5" s="2">
        <v>750</v>
      </c>
      <c r="M5" s="37" t="str">
        <f>VLOOKUP(L5,[1]characters!$A:$C,3,FALSE)</f>
        <v>ポアソン</v>
      </c>
      <c r="N5" s="63"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VLOOKUP(L5,tables_500010!B:C,2,FALSE)</f>
        <v>PremiumSSS5R3less</v>
      </c>
      <c r="R5" s="62">
        <f t="shared" si="1"/>
        <v>29900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0.875</v>
      </c>
      <c r="D6" t="s">
        <v>202</v>
      </c>
      <c r="E6" s="76">
        <f>(B10-H6)/(F6-I6)</f>
        <v>4.021739130434783E-2</v>
      </c>
      <c r="F6">
        <f>(COUNTIF(tables_500010!C:C,input_500010!A25)+COUNTIF(tables_500010!C:C,input_500010!A18)+COUNTIF(tables_500010!C:C,input_500010!A20)+COUNTIF(tables_500010!C:C,input_500010!A22))</f>
        <v>23</v>
      </c>
      <c r="H6" s="88">
        <v>0</v>
      </c>
      <c r="I6" s="31">
        <v>0</v>
      </c>
      <c r="L6" s="2">
        <v>1159</v>
      </c>
      <c r="M6" s="37" t="str">
        <f>VLOOKUP(L6,[1]characters!$A:$C,3,FALSE)</f>
        <v>ガロア</v>
      </c>
      <c r="N6" s="63">
        <v>5.0000000000000001E-3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VLOOKUP(L6,tables_500010!B:C,2,FALSE)</f>
        <v>PremiumSSS5R3less</v>
      </c>
      <c r="R6" s="62">
        <f t="shared" si="1"/>
        <v>29900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0.125</v>
      </c>
      <c r="L7" s="2">
        <v>487</v>
      </c>
      <c r="M7" s="37" t="str">
        <f>VLOOKUP(L7,[1]characters!$A:$C,3,FALSE)</f>
        <v>暴創の造物 チューリング</v>
      </c>
      <c r="N7" s="63">
        <v>5.0000000000000001E-3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VLOOKUP(L7,tables_500010!B:C,2,FALSE)</f>
        <v>PremiumSSS5R3less</v>
      </c>
      <c r="R7" s="62">
        <f t="shared" si="1"/>
        <v>29900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VLOOKUP(L8,tables_500010!B:C,2,FALSE)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VLOOKUP(L9,tables_500010!B:C,2,FALSE)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VLOOKUP(L10,tables_500010!B:C,2,FALSE)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243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VLOOKUP(L11,tables_500010!B:C,2,FALSE)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VLOOKUP(L12,tables_500010!B:C,2,FALSE)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VLOOKUP(L13,tables_500010!B:C,2,FALSE)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VLOOKUP(L14,tables_500010!B:C,2,FALSE)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VLOOKUP(L15,tables_500010!B:C,2,FALSE)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VLOOKUP(L16,tables_500010!B:C,2,FALSE)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COUNTIF(tables_500010!C:C,input_500010!A17)-COUNTIF(Q:Q,A17)</f>
        <v>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VLOOKUP(L17,tables_500010!B:C,2,FALSE)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0.23818979933110371</v>
      </c>
      <c r="C18" s="84">
        <f t="shared" si="2"/>
        <v>0</v>
      </c>
      <c r="D18" s="74">
        <f t="shared" si="3"/>
        <v>0.23818979933110371</v>
      </c>
      <c r="E18">
        <f>COUNTIF(tables_500010!C:C,input_500010!A18)-COUNTIF(Q:Q,A18)</f>
        <v>5</v>
      </c>
      <c r="F18" s="43">
        <f>IFERROR(B18/E18,0)</f>
        <v>4.7637959866220742E-2</v>
      </c>
      <c r="G18">
        <f t="shared" si="4"/>
        <v>1424375.0000000002</v>
      </c>
      <c r="H18">
        <f t="shared" si="5"/>
        <v>284875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VLOOKUP(L18,tables_500010!B:C,2,FALSE)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COUNTIF(tables_500010!C:C,input_500010!A19)-COUNTIF(Q:Q,A19)</f>
        <v>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VLOOKUP(L19,tables_500010!B:C,2,FALSE)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E$6*E20*B$6-0.02</f>
        <v>0.43747282608695653</v>
      </c>
      <c r="C20" s="84">
        <f t="shared" si="2"/>
        <v>0</v>
      </c>
      <c r="D20" s="74">
        <f t="shared" si="3"/>
        <v>0.43747282608695653</v>
      </c>
      <c r="E20">
        <f>COUNTIF(tables_500010!C:C,input_500010!A20)-COUNTIF(Q:Q,A20)</f>
        <v>13</v>
      </c>
      <c r="F20" s="43">
        <f t="shared" si="8"/>
        <v>3.3651755852842809E-2</v>
      </c>
      <c r="G20">
        <f t="shared" si="4"/>
        <v>2616087.5</v>
      </c>
      <c r="H20">
        <f t="shared" si="5"/>
        <v>201237.5</v>
      </c>
      <c r="I20">
        <f t="shared" si="6"/>
        <v>0.5</v>
      </c>
      <c r="J20">
        <f t="shared" si="7"/>
        <v>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VLOOKUP(L20,tables_500010!B:C,2,FALSE)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2.8250418064634311E-2</v>
      </c>
      <c r="C21" s="84">
        <f t="shared" si="2"/>
        <v>0</v>
      </c>
      <c r="D21" s="74">
        <f t="shared" si="3"/>
        <v>2.8250418064634311E-2</v>
      </c>
      <c r="E21">
        <f>COUNTIF(tables_500010!C:C,input_500010!A21)-COUNTIF(Q:Q,A21)</f>
        <v>13</v>
      </c>
      <c r="F21" s="43">
        <f t="shared" si="8"/>
        <v>2.1731090818949469E-3</v>
      </c>
      <c r="G21">
        <f t="shared" si="4"/>
        <v>168937.50002651318</v>
      </c>
      <c r="H21">
        <f t="shared" si="5"/>
        <v>12995.19231</v>
      </c>
      <c r="I21">
        <f t="shared" si="6"/>
        <v>0.19231000000036147</v>
      </c>
      <c r="J21">
        <f t="shared" si="7"/>
        <v>5.199937600739017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0.13573369565217391</v>
      </c>
      <c r="C22" s="84">
        <f t="shared" si="2"/>
        <v>0</v>
      </c>
      <c r="D22" s="74">
        <f t="shared" si="3"/>
        <v>0.13573369565217391</v>
      </c>
      <c r="E22">
        <f>COUNTIF(tables_500010!C:C,input_500010!A22)-COUNTIF(Q:Q,A22)</f>
        <v>4</v>
      </c>
      <c r="F22" s="43">
        <f t="shared" si="8"/>
        <v>3.3933423913043478E-2</v>
      </c>
      <c r="G22">
        <f t="shared" si="4"/>
        <v>811687.5</v>
      </c>
      <c r="H22">
        <f t="shared" si="5"/>
        <v>202921.875</v>
      </c>
      <c r="I22">
        <f t="shared" si="6"/>
        <v>0.875</v>
      </c>
      <c r="J22">
        <f t="shared" si="7"/>
        <v>1.1428571428571428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2.5135869565217392E-2</v>
      </c>
      <c r="C23" s="84">
        <f t="shared" si="2"/>
        <v>0</v>
      </c>
      <c r="D23" s="74">
        <f t="shared" si="3"/>
        <v>2.5135869565217392E-2</v>
      </c>
      <c r="E23">
        <f>COUNTIF(tables_500010!C:C,input_500010!A23)-COUNTIF(Q:Q,A23)</f>
        <v>5</v>
      </c>
      <c r="F23" s="43">
        <f t="shared" si="8"/>
        <v>5.0271739130434787E-3</v>
      </c>
      <c r="G23">
        <f t="shared" si="4"/>
        <v>150312.5</v>
      </c>
      <c r="H23">
        <f t="shared" si="5"/>
        <v>30062.5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COUNTIF(tables_500010!C:C,input_500010!A24)-COUNTIF(Q:Q,A24)</f>
        <v>0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3.5190217391304353E-2</v>
      </c>
      <c r="C25" s="84">
        <f t="shared" si="2"/>
        <v>0</v>
      </c>
      <c r="D25" s="74">
        <f t="shared" si="3"/>
        <v>3.5190217391304353E-2</v>
      </c>
      <c r="E25">
        <f>COUNTIF(tables_500010!C:C,input_500010!A25)-COUNTIF(Q:Q,A25)</f>
        <v>1</v>
      </c>
      <c r="F25" s="43">
        <f t="shared" si="8"/>
        <v>3.5190217391304353E-2</v>
      </c>
      <c r="G25">
        <f t="shared" si="4"/>
        <v>210437.50000000003</v>
      </c>
      <c r="H25">
        <f t="shared" si="5"/>
        <v>210437.5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5.0271739130434787E-3</v>
      </c>
      <c r="C26" s="84">
        <f t="shared" si="2"/>
        <v>0</v>
      </c>
      <c r="D26" s="74">
        <f t="shared" si="3"/>
        <v>5.0271739130434787E-3</v>
      </c>
      <c r="E26">
        <f>COUNTIF(tables_500010!C:C,input_500010!A26)-COUNTIF(Q:Q,A26)</f>
        <v>1</v>
      </c>
      <c r="F26" s="43">
        <f t="shared" si="8"/>
        <v>5.0271739130434787E-3</v>
      </c>
      <c r="G26">
        <f t="shared" si="4"/>
        <v>30062.500000000004</v>
      </c>
      <c r="H26">
        <f t="shared" si="5"/>
        <v>30062.5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2.5913461538461538E-2</v>
      </c>
      <c r="C27" s="84">
        <f t="shared" si="2"/>
        <v>0</v>
      </c>
      <c r="D27" s="74">
        <f t="shared" si="3"/>
        <v>2.5913461538461538E-2</v>
      </c>
      <c r="E27">
        <f>COUNTIF(tables_500010!C:C,input_500010!A27)-COUNTIF(Q:Q,A27)</f>
        <v>7</v>
      </c>
      <c r="F27" s="43">
        <f>IFERROR(B27/E27,0)</f>
        <v>3.701923076923077E-3</v>
      </c>
      <c r="G27">
        <f t="shared" si="4"/>
        <v>154962.5</v>
      </c>
      <c r="H27">
        <f t="shared" si="5"/>
        <v>22137.5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3.7019230769230766E-3</v>
      </c>
      <c r="C28" s="84">
        <f t="shared" si="2"/>
        <v>0</v>
      </c>
      <c r="D28" s="74">
        <f t="shared" si="3"/>
        <v>3.7019230769230766E-3</v>
      </c>
      <c r="E28">
        <f>COUNTIF(tables_500010!C:C,input_500010!A28)-COUNTIF(Q:Q,A28)</f>
        <v>7</v>
      </c>
      <c r="F28" s="43">
        <f t="shared" si="8"/>
        <v>5.2884615384615383E-4</v>
      </c>
      <c r="G28">
        <f t="shared" si="4"/>
        <v>22137.499999999996</v>
      </c>
      <c r="H28">
        <f t="shared" si="5"/>
        <v>3162.5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E$5*E29-G49</f>
        <v>4.5384615384134283E-2</v>
      </c>
      <c r="C29" s="84">
        <f t="shared" si="2"/>
        <v>0</v>
      </c>
      <c r="D29" s="74">
        <f t="shared" si="3"/>
        <v>4.5384615384134283E-2</v>
      </c>
      <c r="E29">
        <f>COUNTIF(tables_500010!C:C,input_500010!A29)-COUNTIF(Q:Q,A29)</f>
        <v>10</v>
      </c>
      <c r="F29" s="43">
        <f t="shared" si="8"/>
        <v>4.5384615384134281E-3</v>
      </c>
      <c r="G29">
        <f t="shared" si="4"/>
        <v>271399.99999712303</v>
      </c>
      <c r="H29">
        <f t="shared" si="5"/>
        <v>27140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2.5000000000000001E-3</v>
      </c>
      <c r="D30" s="74">
        <f t="shared" si="3"/>
        <v>-2.5000000000000001E-3</v>
      </c>
      <c r="E30">
        <f>COUNTIF(tables_500010!C:C,input_500010!A30)-COUNTIF(Q:Q,A30)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1.7500000000000002E-2</v>
      </c>
      <c r="D31" s="74">
        <f t="shared" si="3"/>
        <v>-1.7500000000000002E-2</v>
      </c>
      <c r="E31">
        <f>COUNTIF(tables_500010!C:C,input_500010!A31)-COUNTIF(Q:Q,A31)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0.98000000000395271</v>
      </c>
      <c r="C32" s="41">
        <f>SUM(C19:C31)</f>
        <v>0.02</v>
      </c>
      <c r="D32" s="42">
        <f t="shared" si="3"/>
        <v>0.96000000000395269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1.7102842809364582E-2</v>
      </c>
      <c r="F34" s="55">
        <f ca="1">0.875-G41</f>
        <v>0</v>
      </c>
    </row>
    <row r="35" spans="1:7" x14ac:dyDescent="0.15">
      <c r="A35" t="s">
        <v>73</v>
      </c>
      <c r="E35">
        <v>1.7499999996047455E-2</v>
      </c>
      <c r="F35" s="93">
        <f ca="1">G42-B7</f>
        <v>5.0167092702224636E-12</v>
      </c>
    </row>
    <row r="36" spans="1:7" x14ac:dyDescent="0.15">
      <c r="A36" s="31">
        <f>LCM(F5-I5,F6-I6)*1000*2*2*5</f>
        <v>5980000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SUMIF(tables_500010!C:C,input_500010!A40,tables_500010!O:O)</f>
        <v>0</v>
      </c>
      <c r="C40" s="54">
        <f t="shared" ref="C40:C46" ca="1" si="9">B40/B$47</f>
        <v>0</v>
      </c>
      <c r="E40">
        <v>3</v>
      </c>
      <c r="F40">
        <f>SUMIF(tables_500010!J:J,input_500010!E40,tables_500010!O:O)</f>
        <v>0</v>
      </c>
      <c r="G40">
        <f>F40/A36</f>
        <v>0</v>
      </c>
    </row>
    <row r="41" spans="1:7" x14ac:dyDescent="0.15">
      <c r="A41" s="33" t="s">
        <v>104</v>
      </c>
      <c r="B41">
        <f ca="1">SUMIF(tables_500010!C:C,input_500010!A41,tables_500010!O:O)</f>
        <v>2616087.5</v>
      </c>
      <c r="C41" s="54">
        <f t="shared" ca="1" si="9"/>
        <v>0.88317930538836287</v>
      </c>
      <c r="E41">
        <v>4</v>
      </c>
      <c r="F41">
        <f ca="1">SUMIF(tables_500010!J:J,input_500010!E41,tables_500010!O:O)</f>
        <v>5232500</v>
      </c>
      <c r="G41">
        <f ca="1">F41/A36</f>
        <v>0.875</v>
      </c>
    </row>
    <row r="42" spans="1:7" x14ac:dyDescent="0.15">
      <c r="A42" s="33" t="s">
        <v>106</v>
      </c>
      <c r="B42">
        <f ca="1">SUMIF(tables_500010!C:C,input_500010!A42,tables_500010!O:O)</f>
        <v>154962.5</v>
      </c>
      <c r="C42" s="54">
        <f t="shared" ca="1" si="9"/>
        <v>5.2314638983307779E-2</v>
      </c>
      <c r="E42">
        <v>5</v>
      </c>
      <c r="F42">
        <f ca="1">SUMIF(tables_500010!J:J,input_500010!E42,tables_500010!O:O)</f>
        <v>747500.00003</v>
      </c>
      <c r="G42">
        <f ca="1">F42/A36</f>
        <v>0.12500000000501671</v>
      </c>
    </row>
    <row r="43" spans="1:7" x14ac:dyDescent="0.15">
      <c r="A43" s="33" t="s">
        <v>109</v>
      </c>
      <c r="B43">
        <f>SUMIF(tables_500010!C:C,input_500010!A43,tables_500010!O:O)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SUMIF(tables_500010!C:C,input_500010!A44,tables_500010!O:O)</f>
        <v>168937.50003000002</v>
      </c>
      <c r="C44" s="54">
        <f t="shared" ca="1" si="9"/>
        <v>5.7032535773571015E-2</v>
      </c>
      <c r="E44" t="s">
        <v>54</v>
      </c>
      <c r="F44" s="55"/>
    </row>
    <row r="45" spans="1:7" x14ac:dyDescent="0.15">
      <c r="A45" s="33" t="s">
        <v>107</v>
      </c>
      <c r="B45">
        <f ca="1">SUMIF(tables_500010!C:C,input_500010!A45,tables_500010!O:O)</f>
        <v>22137.5</v>
      </c>
      <c r="C45" s="54">
        <f t="shared" ca="1" si="9"/>
        <v>7.4735198547582543E-3</v>
      </c>
      <c r="E45" t="s">
        <v>204</v>
      </c>
      <c r="F45" s="55">
        <f ca="1">SUMIF(tables_500010!I:I,input_500010!E45,tables_500010!P:P)</f>
        <v>0.2432169732429271</v>
      </c>
    </row>
    <row r="46" spans="1:7" x14ac:dyDescent="0.15">
      <c r="A46" s="33" t="s">
        <v>108</v>
      </c>
      <c r="B46">
        <f>SUMIF(tables_500010!C:C,input_500010!A46,tables_500010!O:O)</f>
        <v>0</v>
      </c>
      <c r="C46" s="54">
        <f t="shared" ca="1" si="9"/>
        <v>0</v>
      </c>
      <c r="E46" t="s">
        <v>205</v>
      </c>
      <c r="F46" s="55">
        <f ca="1">SUMIF(tables_500010!I:I,input_500010!E46,tables_500010!P:P)</f>
        <v>0.18351685104255766</v>
      </c>
    </row>
    <row r="47" spans="1:7" x14ac:dyDescent="0.15">
      <c r="A47" s="39" t="s">
        <v>59</v>
      </c>
      <c r="B47">
        <f ca="1">SUM(B40:B46)</f>
        <v>2962125.0000300002</v>
      </c>
      <c r="C47" s="55">
        <f ca="1">SUM(C40:C46)</f>
        <v>1</v>
      </c>
      <c r="E47" t="s">
        <v>206</v>
      </c>
      <c r="F47" s="55">
        <f ca="1">SUMIF(tables_500010!I:I,input_500010!E47,tables_500010!P:P)</f>
        <v>0.47826617571499208</v>
      </c>
    </row>
    <row r="48" spans="1:7" x14ac:dyDescent="0.15">
      <c r="E48" t="s">
        <v>207</v>
      </c>
      <c r="F48" s="55">
        <f ca="1">SUMIF(tables_500010!I:I,input_500010!E48,tables_500010!P:P)</f>
        <v>6.5923076922746238E-2</v>
      </c>
      <c r="G48" s="55">
        <f ca="1">F48+F49-B11</f>
        <v>-3.7621294968204211E-13</v>
      </c>
    </row>
    <row r="49" spans="5:7" x14ac:dyDescent="0.15">
      <c r="E49" t="s">
        <v>249</v>
      </c>
      <c r="F49" s="55">
        <f ca="1">SUMIF(tables_500010!I:I,input_500010!E49,tables_500010!P:P)</f>
        <v>9.0769230768775432E-3</v>
      </c>
      <c r="G49">
        <v>-3.076923076441973E-3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72"/>
  <sheetViews>
    <sheetView showGridLines="0" zoomScale="75" zoomScaleNormal="75" zoomScalePageLayoutView="75" workbookViewId="0">
      <pane ySplit="1" topLeftCell="A40" activePane="bottomLeft" state="frozen"/>
      <selection activeCell="H276" sqref="H276"/>
      <selection pane="bottomLeft" activeCell="B72" sqref="B2:B7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input_500010!A$2</f>
        <v>500010</v>
      </c>
      <c r="B2" s="6">
        <v>129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孤高の狼憑き アマラ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IFERROR(VLOOKUP(B2,input_500010!L:R,7,FALSE),VLOOKUP(tables_500010!C2,input_500010!A:H,8,FALSE))</f>
        <v>284875</v>
      </c>
      <c r="P2" s="46">
        <f t="shared" ref="P2:P33" ca="1" si="1">O2/SUM(O:O)</f>
        <v>4.7637959865981766E-2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input_500010!A$2</f>
        <v>500010</v>
      </c>
      <c r="B3" s="6">
        <v>137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清福の仕立屋 チハヤ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IFERROR(VLOOKUP(B3,input_500010!L:R,7,FALSE),VLOOKUP(tables_500010!C3,input_500010!A:H,8,FALSE))</f>
        <v>284875</v>
      </c>
      <c r="P3" s="46">
        <f t="shared" ca="1" si="1"/>
        <v>4.7637959865981766E-2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input_500010!A$2</f>
        <v>500010</v>
      </c>
      <c r="B4" s="6">
        <v>145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魔性妖艶 かぐや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IFERROR(VLOOKUP(B4,input_500010!L:R,7,FALSE),VLOOKUP(tables_500010!C4,input_500010!A:H,8,FALSE))</f>
        <v>284875</v>
      </c>
      <c r="P4" s="46">
        <f t="shared" ca="1" si="1"/>
        <v>4.7637959865981766E-2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input_500010!A$2</f>
        <v>500010</v>
      </c>
      <c r="B5" s="6">
        <v>153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拳聖ランラン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heal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IFERROR(VLOOKUP(B5,input_500010!L:R,7,FALSE),VLOOKUP(tables_500010!C5,input_500010!A:H,8,FALSE))</f>
        <v>284875</v>
      </c>
      <c r="P5" s="46">
        <f t="shared" ca="1" si="1"/>
        <v>4.7637959865981766E-2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input_500010!A$2</f>
        <v>500010</v>
      </c>
      <c r="B6" s="6">
        <v>161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咆哮の先導者 クリエ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f ca="1">IFERROR(VLOOKUP(B6,input_500010!L:R,7,FALSE),VLOOKUP(tables_500010!C6,input_500010!A:H,8,FALSE))</f>
        <v>284875</v>
      </c>
      <c r="P6" s="46">
        <f t="shared" ca="1" si="1"/>
        <v>4.7637959865981766E-2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input_500010!A$2</f>
        <v>500010</v>
      </c>
      <c r="B7" s="6">
        <v>170</v>
      </c>
      <c r="C7" s="7" t="str">
        <f t="shared" si="0"/>
        <v>Premium4R6release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識徒 オセ</v>
      </c>
      <c r="I7" s="7" t="str">
        <f>VLOOKUP(B7,[1]characters!$A:$J,10,FALSE)</f>
        <v>PremiumN</v>
      </c>
      <c r="J7" s="7">
        <f>VLOOKUP(B7,[1]characters!$A:$I,9,FALSE)</f>
        <v>4</v>
      </c>
      <c r="K7" s="7" t="str">
        <f>VLOOKUP(B7,[1]characters!$A:$H,8,FALSE)</f>
        <v>green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f ca="1">IFERROR(VLOOKUP(B7,input_500010!L:R,7,FALSE),VLOOKUP(tables_500010!C7,input_500010!A:H,8,FALSE))</f>
        <v>210437.5</v>
      </c>
      <c r="P7" s="46">
        <f t="shared" ca="1" si="1"/>
        <v>3.519021739112782E-2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input_500010!A$2</f>
        <v>500010</v>
      </c>
      <c r="B8" s="6">
        <v>171</v>
      </c>
      <c r="C8" s="7" t="str">
        <f t="shared" si="0"/>
        <v>Premium5R6release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>R6release</v>
      </c>
      <c r="G8" s="7"/>
      <c r="H8" s="7" t="str">
        <f>VLOOKUP(B8,[1]characters!$A:$C,3,FALSE)</f>
        <v>精解の預知者 オセ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女性</v>
      </c>
      <c r="O8" s="45">
        <f ca="1">IFERROR(VLOOKUP(B8,input_500010!L:R,7,FALSE),VLOOKUP(tables_500010!C8,input_500010!A:H,8,FALSE))</f>
        <v>30062.5</v>
      </c>
      <c r="P8" s="46">
        <f t="shared" ca="1" si="1"/>
        <v>5.0271739130182602E-3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input_500010!A$2</f>
        <v>500010</v>
      </c>
      <c r="B9" s="6">
        <v>182</v>
      </c>
      <c r="C9" s="7" t="str">
        <f t="shared" si="0"/>
        <v>Premium4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放蕩者 ベヒモス</v>
      </c>
      <c r="I9" s="7" t="str">
        <f>VLOOKUP(B9,[1]characters!$A:$J,10,FALSE)</f>
        <v>PremiumN</v>
      </c>
      <c r="J9" s="7">
        <f>VLOOKUP(B9,[1]characters!$A:$I,9,FALSE)</f>
        <v>4</v>
      </c>
      <c r="K9" s="7" t="str">
        <f>VLOOKUP(B9,[1]characters!$A:$H,8,FALSE)</f>
        <v>green</v>
      </c>
      <c r="L9" s="7" t="str">
        <f>VLOOKUP(B9,[1]characters!$A:$K,11,FALSE)</f>
        <v>hp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ca="1">IFERROR(VLOOKUP(B9,input_500010!L:R,7,FALSE),VLOOKUP(tables_500010!C9,input_500010!A:H,8,FALSE))</f>
        <v>201237.5</v>
      </c>
      <c r="P9" s="46">
        <f t="shared" ca="1" si="1"/>
        <v>3.3651755852673999E-2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input_500010!A$2</f>
        <v>500010</v>
      </c>
      <c r="B10" s="6">
        <v>183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鈍重な彷徨者 ベヒモス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hp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f ca="1">IFERROR(VLOOKUP(B10,input_500010!L:R,7,FALSE),VLOOKUP(tables_500010!C10,input_500010!A:H,8,FALSE))</f>
        <v>12995.19231</v>
      </c>
      <c r="P10" s="46">
        <f t="shared" ca="1" si="1"/>
        <v>2.1731090819288985E-3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input_500010!A$2</f>
        <v>500010</v>
      </c>
      <c r="B11" s="6">
        <v>194</v>
      </c>
      <c r="C11" s="7" t="str">
        <f t="shared" si="0"/>
        <v>Premium4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スナイパー ロビンフッド</v>
      </c>
      <c r="I11" s="7" t="str">
        <f>VLOOKUP(B11,[1]characters!$A:$J,10,FALSE)</f>
        <v>PremiumN</v>
      </c>
      <c r="J11" s="7">
        <f>VLOOKUP(B11,[1]characters!$A:$I,9,FALSE)</f>
        <v>4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IFERROR(VLOOKUP(B11,input_500010!L:R,7,FALSE),VLOOKUP(tables_500010!C11,input_500010!A:H,8,FALSE))</f>
        <v>201237.5</v>
      </c>
      <c r="P11" s="46">
        <f t="shared" ca="1" si="1"/>
        <v>3.3651755852673999E-2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input_500010!A$2</f>
        <v>500010</v>
      </c>
      <c r="B12" s="8">
        <v>195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グランドハンター ロビンフッド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IFERROR(VLOOKUP(B12,input_500010!L:R,7,FALSE),VLOOKUP(tables_500010!C12,input_500010!A:H,8,FALSE))</f>
        <v>12995.19231</v>
      </c>
      <c r="P12" s="46">
        <f t="shared" ca="1" si="1"/>
        <v>2.1731090819288985E-3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input_500010!A$2</f>
        <v>500010</v>
      </c>
      <c r="B13" s="8">
        <v>206</v>
      </c>
      <c r="C13" s="7" t="str">
        <f t="shared" si="0"/>
        <v>Premium4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美神 アフロディーテ</v>
      </c>
      <c r="I13" s="7" t="str">
        <f>VLOOKUP(B13,[1]characters!$A:$J,10,FALSE)</f>
        <v>PremiumN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hp</v>
      </c>
      <c r="M13" s="7" t="str">
        <f>VLOOKUP(B13,[1]characters!$A:$M,13,FALSE)</f>
        <v>god</v>
      </c>
      <c r="N13" s="7" t="str">
        <f>VLOOKUP(B13,[1]characters!$A:$G,7,FALSE)</f>
        <v>女性</v>
      </c>
      <c r="O13" s="45">
        <f ca="1">IFERROR(VLOOKUP(B13,input_500010!L:R,7,FALSE),VLOOKUP(tables_500010!C13,input_500010!A:H,8,FALSE))</f>
        <v>201237.5</v>
      </c>
      <c r="P13" s="46">
        <f t="shared" ca="1" si="1"/>
        <v>3.3651755852673999E-2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input_500010!A$2</f>
        <v>500010</v>
      </c>
      <c r="B14" s="6">
        <v>207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豊穣の麗神・アフロディーテ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女性</v>
      </c>
      <c r="O14" s="45">
        <f ca="1">IFERROR(VLOOKUP(B14,input_500010!L:R,7,FALSE),VLOOKUP(tables_500010!C14,input_500010!A:H,8,FALSE))</f>
        <v>12995.19231</v>
      </c>
      <c r="P14" s="46">
        <f t="shared" ca="1" si="1"/>
        <v>2.1731090819288985E-3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input_500010!A$2</f>
        <v>500010</v>
      </c>
      <c r="B15" s="6">
        <v>218</v>
      </c>
      <c r="C15" s="7" t="str">
        <f t="shared" si="0"/>
        <v>Premium4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聖蛇 ケツァクアトル</v>
      </c>
      <c r="I15" s="7" t="str">
        <f>VLOOKUP(B15,[1]characters!$A:$J,10,FALSE)</f>
        <v>PremiumN</v>
      </c>
      <c r="J15" s="7">
        <f>VLOOKUP(B15,[1]characters!$A:$I,9,FALSE)</f>
        <v>4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dragon</v>
      </c>
      <c r="N15" s="7" t="str">
        <f>VLOOKUP(B15,[1]characters!$A:$G,7,FALSE)</f>
        <v>女性</v>
      </c>
      <c r="O15" s="45">
        <f ca="1">IFERROR(VLOOKUP(B15,input_500010!L:R,7,FALSE),VLOOKUP(tables_500010!C15,input_500010!A:H,8,FALSE))</f>
        <v>201237.5</v>
      </c>
      <c r="P15" s="46">
        <f t="shared" ca="1" si="1"/>
        <v>3.3651755852673999E-2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input_500010!A$2</f>
        <v>500010</v>
      </c>
      <c r="B16" s="10">
        <v>219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覇翼の聖蛇竜 ケツァクアトル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green</v>
      </c>
      <c r="L16" s="7" t="str">
        <f>VLOOKUP(B16,[1]characters!$A:$K,11,FALSE)</f>
        <v>hp</v>
      </c>
      <c r="M16" s="7" t="str">
        <f>VLOOKUP(B16,[1]characters!$A:$M,13,FALSE)</f>
        <v>dragon</v>
      </c>
      <c r="N16" s="7" t="str">
        <f>VLOOKUP(B16,[1]characters!$A:$G,7,FALSE)</f>
        <v>女性</v>
      </c>
      <c r="O16" s="45">
        <f ca="1">IFERROR(VLOOKUP(B16,input_500010!L:R,7,FALSE),VLOOKUP(tables_500010!C16,input_500010!A:H,8,FALSE))</f>
        <v>12995.19231</v>
      </c>
      <c r="P16" s="46">
        <f t="shared" ca="1" si="1"/>
        <v>2.1731090819288985E-3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input_500010!A$2</f>
        <v>500010</v>
      </c>
      <c r="B17" s="11">
        <v>230</v>
      </c>
      <c r="C17" s="7" t="str">
        <f t="shared" si="0"/>
        <v>Premium4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毒銃 ヨルムンガンド</v>
      </c>
      <c r="I17" s="7" t="str">
        <f>VLOOKUP(B17,[1]characters!$A:$J,10,FALSE)</f>
        <v>PremiumS</v>
      </c>
      <c r="J17" s="7">
        <f>VLOOKUP(B17,[1]characters!$A:$I,9,FALSE)</f>
        <v>4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dragon</v>
      </c>
      <c r="N17" s="7" t="str">
        <f>VLOOKUP(B17,[1]characters!$A:$G,7,FALSE)</f>
        <v>女性</v>
      </c>
      <c r="O17" s="45">
        <f ca="1">IFERROR(VLOOKUP(B17,input_500010!L:R,7,FALSE),VLOOKUP(tables_500010!C17,input_500010!A:H,8,FALSE))</f>
        <v>201237.5</v>
      </c>
      <c r="P17" s="46">
        <f t="shared" ca="1" si="1"/>
        <v>3.3651755852673999E-2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input_500010!A$2</f>
        <v>500010</v>
      </c>
      <c r="B18" s="6">
        <v>231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必中の咬銃 ヨルムンガンド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technical</v>
      </c>
      <c r="M18" s="7" t="str">
        <f>VLOOKUP(B18,[1]characters!$A:$M,13,FALSE)</f>
        <v>dragon</v>
      </c>
      <c r="N18" s="7" t="str">
        <f>VLOOKUP(B18,[1]characters!$A:$G,7,FALSE)</f>
        <v>女性</v>
      </c>
      <c r="O18" s="45">
        <f ca="1">IFERROR(VLOOKUP(B18,input_500010!L:R,7,FALSE),VLOOKUP(tables_500010!C18,input_500010!A:H,8,FALSE))</f>
        <v>12995.19231</v>
      </c>
      <c r="P18" s="46">
        <f t="shared" ca="1" si="1"/>
        <v>2.1731090819288985E-3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input_500010!A$2</f>
        <v>500010</v>
      </c>
      <c r="B19" s="6">
        <v>242</v>
      </c>
      <c r="C19" s="7" t="str">
        <f t="shared" si="0"/>
        <v>Premium4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百花の天使 ガブリエル</v>
      </c>
      <c r="I19" s="7" t="str">
        <f>VLOOKUP(B19,[1]characters!$A:$J,10,FALSE)</f>
        <v>PremiumS</v>
      </c>
      <c r="J19" s="7">
        <f>VLOOKUP(B19,[1]characters!$A:$I,9,FALSE)</f>
        <v>4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machine</v>
      </c>
      <c r="N19" s="7" t="str">
        <f>VLOOKUP(B19,[1]characters!$A:$G,7,FALSE)</f>
        <v>女性</v>
      </c>
      <c r="O19" s="45">
        <f ca="1">IFERROR(VLOOKUP(B19,input_500010!L:R,7,FALSE),VLOOKUP(tables_500010!C19,input_500010!A:H,8,FALSE))</f>
        <v>201237.5</v>
      </c>
      <c r="P19" s="46">
        <f t="shared" ca="1" si="1"/>
        <v>3.3651755852673999E-2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input_500010!A$2</f>
        <v>500010</v>
      </c>
      <c r="B20" s="10">
        <v>243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万花の天使 ガブリエル・ブルーム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balance</v>
      </c>
      <c r="M20" s="7" t="str">
        <f>VLOOKUP(B20,[1]characters!$A:$M,13,FALSE)</f>
        <v>machine</v>
      </c>
      <c r="N20" s="7" t="str">
        <f>VLOOKUP(B20,[1]characters!$A:$G,7,FALSE)</f>
        <v>女性</v>
      </c>
      <c r="O20" s="45">
        <f ca="1">IFERROR(VLOOKUP(B20,input_500010!L:R,7,FALSE),VLOOKUP(tables_500010!C20,input_500010!A:H,8,FALSE))</f>
        <v>12995.19231</v>
      </c>
      <c r="P20" s="46">
        <f t="shared" ca="1" si="1"/>
        <v>2.1731090819288985E-3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input_500010!A$2</f>
        <v>500010</v>
      </c>
      <c r="B21" s="6">
        <v>254</v>
      </c>
      <c r="C21" s="7" t="str">
        <f t="shared" si="0"/>
        <v>Premium4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怠惰 ベルフェゴール</v>
      </c>
      <c r="I21" s="7" t="str">
        <f>VLOOKUP(B21,[1]characters!$A:$J,10,FALSE)</f>
        <v>PremiumS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technical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f ca="1">IFERROR(VLOOKUP(B21,input_500010!L:R,7,FALSE),VLOOKUP(tables_500010!C21,input_500010!A:H,8,FALSE))</f>
        <v>201237.5</v>
      </c>
      <c r="P21" s="46">
        <f t="shared" ca="1" si="1"/>
        <v>3.3651755852673999E-2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input_500010!A$2</f>
        <v>500010</v>
      </c>
      <c r="B22" s="6">
        <v>255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怠惰の頂点 ベルフェゴール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technical</v>
      </c>
      <c r="M22" s="7" t="str">
        <f>VLOOKUP(B22,[1]characters!$A:$M,13,FALSE)</f>
        <v>god</v>
      </c>
      <c r="N22" s="7" t="str">
        <f>VLOOKUP(B22,[1]characters!$A:$G,7,FALSE)</f>
        <v>女性</v>
      </c>
      <c r="O22" s="45">
        <f ca="1">IFERROR(VLOOKUP(B22,input_500010!L:R,7,FALSE),VLOOKUP(tables_500010!C22,input_500010!A:H,8,FALSE))</f>
        <v>12995.19231</v>
      </c>
      <c r="P22" s="46">
        <f t="shared" ca="1" si="1"/>
        <v>2.1731090819288985E-3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input_500010!A$2</f>
        <v>500010</v>
      </c>
      <c r="B23" s="6">
        <v>322</v>
      </c>
      <c r="C23" s="7" t="str">
        <f t="shared" si="0"/>
        <v>PremiumSS4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愛志士 土方歳三</v>
      </c>
      <c r="I23" s="7" t="str">
        <f>VLOOKUP(B23,[1]characters!$A:$J,10,FALSE)</f>
        <v>PremiumSS</v>
      </c>
      <c r="J23" s="7">
        <f>VLOOKUP(B23,[1]characters!$A:$I,9,FALSE)</f>
        <v>4</v>
      </c>
      <c r="K23" s="7" t="str">
        <f>VLOOKUP(B23,[1]characters!$A:$H,8,FALSE)</f>
        <v>green</v>
      </c>
      <c r="L23" s="7" t="str">
        <f>VLOOKUP(B23,[1]characters!$A:$K,11,FALSE)</f>
        <v>attack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IFERROR(VLOOKUP(B23,input_500010!L:R,7,FALSE),VLOOKUP(tables_500010!C23,input_500010!A:H,8,FALSE))</f>
        <v>22137.5</v>
      </c>
      <c r="P23" s="46">
        <f t="shared" ca="1" si="1"/>
        <v>3.7019230769045068E-3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input_500010!A$2</f>
        <v>500010</v>
      </c>
      <c r="B24" s="6">
        <v>323</v>
      </c>
      <c r="C24" s="7" t="str">
        <f t="shared" si="0"/>
        <v>PremiumSS5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流麗の愛志士 土方歳三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green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IFERROR(VLOOKUP(B24,input_500010!L:R,7,FALSE),VLOOKUP(tables_500010!C24,input_500010!A:H,8,FALSE))</f>
        <v>3162.5</v>
      </c>
      <c r="P24" s="46">
        <f t="shared" ca="1" si="1"/>
        <v>5.2884615384350101E-4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input_500010!A$2</f>
        <v>500010</v>
      </c>
      <c r="B25" s="6">
        <v>383</v>
      </c>
      <c r="C25" s="7" t="str">
        <f t="shared" si="0"/>
        <v>PremiumSS4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酒宴の蟒蛇 ヤマタノオロチ</v>
      </c>
      <c r="I25" s="7" t="str">
        <f>VLOOKUP(B25,[1]characters!$A:$J,10,FALSE)</f>
        <v>PremiumSS</v>
      </c>
      <c r="J25" s="7">
        <f>VLOOKUP(B25,[1]characters!$A:$I,9,FALSE)</f>
        <v>4</v>
      </c>
      <c r="K25" s="7" t="str">
        <f>VLOOKUP(B25,[1]characters!$A:$H,8,FALSE)</f>
        <v>green</v>
      </c>
      <c r="L25" s="7" t="str">
        <f>VLOOKUP(B25,[1]characters!$A:$K,11,FALSE)</f>
        <v>hp</v>
      </c>
      <c r="M25" s="7" t="str">
        <f>VLOOKUP(B25,[1]characters!$A:$M,13,FALSE)</f>
        <v>dragon</v>
      </c>
      <c r="N25" s="7" t="str">
        <f>VLOOKUP(B25,[1]characters!$A:$G,7,FALSE)</f>
        <v>女性</v>
      </c>
      <c r="O25" s="45">
        <f ca="1">IFERROR(VLOOKUP(B25,input_500010!L:R,7,FALSE),VLOOKUP(tables_500010!C25,input_500010!A:H,8,FALSE))</f>
        <v>22137.5</v>
      </c>
      <c r="P25" s="46">
        <f t="shared" ca="1" si="1"/>
        <v>3.7019230769045068E-3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input_500010!A$2</f>
        <v>500010</v>
      </c>
      <c r="B26" s="6">
        <v>384</v>
      </c>
      <c r="C26" s="7" t="str">
        <f t="shared" si="0"/>
        <v>PremiumSS5</v>
      </c>
      <c r="D26" s="7" t="str">
        <f t="shared" si="2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破国の呑龍 ヤマタノオロチ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hp</v>
      </c>
      <c r="M26" s="7" t="str">
        <f>VLOOKUP(B26,[1]characters!$A:$M,13,FALSE)</f>
        <v>dragon</v>
      </c>
      <c r="N26" s="7" t="str">
        <f>VLOOKUP(B26,[1]characters!$A:$G,7,FALSE)</f>
        <v>女性</v>
      </c>
      <c r="O26" s="45">
        <f ca="1">IFERROR(VLOOKUP(B26,input_500010!L:R,7,FALSE),VLOOKUP(tables_500010!C26,input_500010!A:H,8,FALSE))</f>
        <v>3162.5</v>
      </c>
      <c r="P26" s="46">
        <f t="shared" ca="1" si="1"/>
        <v>5.2884615384350101E-4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input_500010!A$2</f>
        <v>500010</v>
      </c>
      <c r="B27" s="6">
        <v>393</v>
      </c>
      <c r="C27" s="7" t="str">
        <f t="shared" si="0"/>
        <v>Premium4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影縫い ピーターパン</v>
      </c>
      <c r="I27" s="7" t="str">
        <f>VLOOKUP(B27,[1]characters!$A:$J,10,FALSE)</f>
        <v>PremiumS</v>
      </c>
      <c r="J27" s="7">
        <f>VLOOKUP(B27,[1]characters!$A:$I,9,FALSE)</f>
        <v>4</v>
      </c>
      <c r="K27" s="7" t="str">
        <f>VLOOKUP(B27,[1]characters!$A:$H,8,FALSE)</f>
        <v>green</v>
      </c>
      <c r="L27" s="7" t="str">
        <f>VLOOKUP(B27,[1]characters!$A:$K,11,FALSE)</f>
        <v>attack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f ca="1">IFERROR(VLOOKUP(B27,input_500010!L:R,7,FALSE),VLOOKUP(tables_500010!C27,input_500010!A:H,8,FALSE))</f>
        <v>201237.5</v>
      </c>
      <c r="P27" s="46">
        <f t="shared" ca="1" si="1"/>
        <v>3.3651755852673999E-2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input_500010!A$2</f>
        <v>500010</v>
      </c>
      <c r="B28" s="6">
        <v>394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影求の悪童 ピーターパン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green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5">
        <f ca="1">IFERROR(VLOOKUP(B28,input_500010!L:R,7,FALSE),VLOOKUP(tables_500010!C28,input_500010!A:H,8,FALSE))</f>
        <v>12995.19231</v>
      </c>
      <c r="P28" s="46">
        <f t="shared" ca="1" si="1"/>
        <v>2.1731090819288985E-3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input_500010!A$2</f>
        <v>500010</v>
      </c>
      <c r="B29" s="6">
        <v>403</v>
      </c>
      <c r="C29" s="7" t="str">
        <f t="shared" si="0"/>
        <v>PremiumSS4</v>
      </c>
      <c r="D29" s="7" t="str">
        <f t="shared" si="2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静撃の翠眼 八咫烏</v>
      </c>
      <c r="I29" s="7" t="str">
        <f>VLOOKUP(B29,[1]characters!$A:$J,10,FALSE)</f>
        <v>PremiumSS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balance</v>
      </c>
      <c r="M29" s="7" t="str">
        <f>VLOOKUP(B29,[1]characters!$A:$M,13,FALSE)</f>
        <v>animal</v>
      </c>
      <c r="N29" s="7" t="str">
        <f>VLOOKUP(B29,[1]characters!$A:$G,7,FALSE)</f>
        <v>女性</v>
      </c>
      <c r="O29" s="45">
        <f ca="1">IFERROR(VLOOKUP(B29,input_500010!L:R,7,FALSE),VLOOKUP(tables_500010!C29,input_500010!A:H,8,FALSE))</f>
        <v>22137.5</v>
      </c>
      <c r="P29" s="46">
        <f t="shared" ca="1" si="1"/>
        <v>3.7019230769045068E-3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input_500010!A$2</f>
        <v>500010</v>
      </c>
      <c r="B30" s="6">
        <v>404</v>
      </c>
      <c r="C30" s="7" t="str">
        <f t="shared" si="0"/>
        <v>PremiumSS5</v>
      </c>
      <c r="D30" s="7" t="str">
        <f t="shared" si="2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空襲の神眼 八咫烏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animal</v>
      </c>
      <c r="N30" s="7" t="str">
        <f>VLOOKUP(B30,[1]characters!$A:$G,7,FALSE)</f>
        <v>女性</v>
      </c>
      <c r="O30" s="45">
        <f ca="1">IFERROR(VLOOKUP(B30,input_500010!L:R,7,FALSE),VLOOKUP(tables_500010!C30,input_500010!A:H,8,FALSE))</f>
        <v>3162.5</v>
      </c>
      <c r="P30" s="46">
        <f t="shared" ca="1" si="1"/>
        <v>5.2884615384350101E-4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input_500010!A$2</f>
        <v>500010</v>
      </c>
      <c r="B31" s="6">
        <v>437</v>
      </c>
      <c r="C31" s="7" t="str">
        <f t="shared" si="0"/>
        <v>Premium4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忘却者 カカシ</v>
      </c>
      <c r="I31" s="7" t="str">
        <f>VLOOKUP(B31,[1]characters!$A:$J,10,FALSE)</f>
        <v>PremiumS</v>
      </c>
      <c r="J31" s="7">
        <f>VLOOKUP(B31,[1]characters!$A:$I,9,FALSE)</f>
        <v>4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45">
        <f ca="1">IFERROR(VLOOKUP(B31,input_500010!L:R,7,FALSE),VLOOKUP(tables_500010!C31,input_500010!A:H,8,FALSE))</f>
        <v>201237.5</v>
      </c>
      <c r="P31" s="46">
        <f t="shared" ca="1" si="1"/>
        <v>3.3651755852673999E-2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input_500010!A$2</f>
        <v>500010</v>
      </c>
      <c r="B32" s="6">
        <v>438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記憶の奪還 カカシ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technical</v>
      </c>
      <c r="M32" s="7" t="str">
        <f>VLOOKUP(B32,[1]characters!$A:$M,13,FALSE)</f>
        <v>human</v>
      </c>
      <c r="N32" s="7" t="str">
        <f>VLOOKUP(B32,[1]characters!$A:$G,7,FALSE)</f>
        <v>男性</v>
      </c>
      <c r="O32" s="45">
        <f ca="1">IFERROR(VLOOKUP(B32,input_500010!L:R,7,FALSE),VLOOKUP(tables_500010!C32,input_500010!A:H,8,FALSE))</f>
        <v>12995.19231</v>
      </c>
      <c r="P32" s="46">
        <f t="shared" ca="1" si="1"/>
        <v>2.1731090819288985E-3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input_500010!A$2</f>
        <v>500010</v>
      </c>
      <c r="B33" s="6">
        <v>465</v>
      </c>
      <c r="C33" s="7" t="str">
        <f t="shared" si="0"/>
        <v>PremiumSS4</v>
      </c>
      <c r="D33" s="7" t="str">
        <f t="shared" si="2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真撃 ランスロット</v>
      </c>
      <c r="I33" s="7" t="str">
        <f>VLOOKUP(B33,[1]characters!$A:$J,10,FALSE)</f>
        <v>PremiumSS</v>
      </c>
      <c r="J33" s="7">
        <f>VLOOKUP(B33,[1]characters!$A:$I,9,FALSE)</f>
        <v>4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human</v>
      </c>
      <c r="N33" s="7" t="str">
        <f>VLOOKUP(B33,[1]characters!$A:$G,7,FALSE)</f>
        <v>男性</v>
      </c>
      <c r="O33" s="45">
        <f ca="1">IFERROR(VLOOKUP(B33,input_500010!L:R,7,FALSE),VLOOKUP(tables_500010!C33,input_500010!A:H,8,FALSE))</f>
        <v>22137.5</v>
      </c>
      <c r="P33" s="46">
        <f t="shared" ca="1" si="1"/>
        <v>3.7019230769045068E-3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input_500010!A$2</f>
        <v>500010</v>
      </c>
      <c r="B34" s="6">
        <v>466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真断の勇覇 ランスロット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green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ca="1">IFERROR(VLOOKUP(B34,input_500010!L:R,7,FALSE),VLOOKUP(tables_500010!C34,input_500010!A:H,8,FALSE))</f>
        <v>3162.5</v>
      </c>
      <c r="P34" s="46">
        <f t="shared" ref="P34:P65" ca="1" si="3">O34/SUM(O:O)</f>
        <v>5.2884615384350101E-4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input_500010!A$2</f>
        <v>500010</v>
      </c>
      <c r="B35" s="6">
        <v>477</v>
      </c>
      <c r="C35" s="7" t="str">
        <f t="shared" si="0"/>
        <v>Premium4</v>
      </c>
      <c r="D35" s="7" t="str">
        <f t="shared" si="2"/>
        <v>Premium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愛羽妖精 ファータ</v>
      </c>
      <c r="I35" s="7" t="str">
        <f>VLOOKUP(B35,[1]characters!$A:$J,10,FALSE)</f>
        <v>PremiumS</v>
      </c>
      <c r="J35" s="7">
        <f>VLOOKUP(B35,[1]characters!$A:$I,9,FALSE)</f>
        <v>4</v>
      </c>
      <c r="K35" s="7" t="str">
        <f>VLOOKUP(B35,[1]characters!$A:$H,8,FALSE)</f>
        <v>green</v>
      </c>
      <c r="L35" s="7" t="str">
        <f>VLOOKUP(B35,[1]characters!$A:$K,11,FALSE)</f>
        <v>heal</v>
      </c>
      <c r="M35" s="7" t="str">
        <f>VLOOKUP(B35,[1]characters!$A:$M,13,FALSE)</f>
        <v>unknown</v>
      </c>
      <c r="N35" s="7" t="str">
        <f>VLOOKUP(B35,[1]characters!$A:$G,7,FALSE)</f>
        <v>女性</v>
      </c>
      <c r="O35" s="45">
        <f ca="1">IFERROR(VLOOKUP(B35,input_500010!L:R,7,FALSE),VLOOKUP(tables_500010!C35,input_500010!A:H,8,FALSE))</f>
        <v>201237.5</v>
      </c>
      <c r="P35" s="46">
        <f t="shared" ca="1" si="3"/>
        <v>3.3651755852673999E-2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input_500010!A$2</f>
        <v>500010</v>
      </c>
      <c r="B36" s="6">
        <v>478</v>
      </c>
      <c r="C36" s="7" t="str">
        <f t="shared" si="0"/>
        <v>Premium5</v>
      </c>
      <c r="D36" s="7" t="str">
        <f t="shared" si="2"/>
        <v>Premium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時計仕掛けの愛羽妖精 ファータ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green</v>
      </c>
      <c r="L36" s="7" t="str">
        <f>VLOOKUP(B36,[1]characters!$A:$K,11,FALSE)</f>
        <v>heal</v>
      </c>
      <c r="M36" s="7" t="str">
        <f>VLOOKUP(B36,[1]characters!$A:$M,13,FALSE)</f>
        <v>unknown</v>
      </c>
      <c r="N36" s="7" t="str">
        <f>VLOOKUP(B36,[1]characters!$A:$G,7,FALSE)</f>
        <v>女性</v>
      </c>
      <c r="O36" s="45">
        <f ca="1">IFERROR(VLOOKUP(B36,input_500010!L:R,7,FALSE),VLOOKUP(tables_500010!C36,input_500010!A:H,8,FALSE))</f>
        <v>12995.19231</v>
      </c>
      <c r="P36" s="46">
        <f t="shared" ca="1" si="3"/>
        <v>2.1731090819288985E-3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input_500010!A$2</f>
        <v>500010</v>
      </c>
      <c r="B37" s="6">
        <v>494</v>
      </c>
      <c r="C37" s="7" t="str">
        <f t="shared" si="0"/>
        <v>PremiumSS4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ハーメルン</v>
      </c>
      <c r="I37" s="7" t="str">
        <f>VLOOKUP(B37,[1]characters!$A:$J,10,FALSE)</f>
        <v>PremiumSS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f ca="1">IFERROR(VLOOKUP(B37,input_500010!L:R,7,FALSE),VLOOKUP(tables_500010!C37,input_500010!A:H,8,FALSE))</f>
        <v>22137.5</v>
      </c>
      <c r="P37" s="46">
        <f t="shared" ca="1" si="3"/>
        <v>3.7019230769045068E-3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input_500010!A$2</f>
        <v>500010</v>
      </c>
      <c r="B38" s="6">
        <v>495</v>
      </c>
      <c r="C38" s="7" t="str">
        <f t="shared" si="0"/>
        <v>PremiumSS5</v>
      </c>
      <c r="D38" s="7" t="str">
        <f t="shared" si="2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鼠災呼ぶ笛音 ハーメルン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technical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f ca="1">IFERROR(VLOOKUP(B38,input_500010!L:R,7,FALSE),VLOOKUP(tables_500010!C38,input_500010!A:H,8,FALSE))</f>
        <v>3162.5</v>
      </c>
      <c r="P38" s="46">
        <f t="shared" ca="1" si="3"/>
        <v>5.2884615384350101E-4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input_500010!A$2</f>
        <v>500010</v>
      </c>
      <c r="B39" s="6">
        <v>561</v>
      </c>
      <c r="C39" s="7" t="str">
        <f t="shared" si="0"/>
        <v>premium5R3less</v>
      </c>
      <c r="D39" s="7" t="str">
        <f t="shared" si="2"/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森翠統べる獣姫 アマラ</v>
      </c>
      <c r="I39" s="7" t="str">
        <f>VLOOKUP(B39,[1]characters!$A:$J,10,FALSE)</f>
        <v>PremiumW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IFERROR(VLOOKUP(B39,input_500010!L:R,7,FALSE),VLOOKUP(tables_500010!C39,input_500010!A:H,8,FALSE))</f>
        <v>30062.5</v>
      </c>
      <c r="P39" s="46">
        <f t="shared" ca="1" si="3"/>
        <v>5.0271739130182602E-3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input_500010!A$2</f>
        <v>500010</v>
      </c>
      <c r="B40" s="6">
        <v>589</v>
      </c>
      <c r="C40" s="7" t="str">
        <f t="shared" si="0"/>
        <v>Premium4</v>
      </c>
      <c r="D40" s="7" t="str">
        <f t="shared" si="2"/>
        <v>Premium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不幸の円環 ニーベルゲン</v>
      </c>
      <c r="I40" s="7" t="str">
        <f>VLOOKUP(B40,[1]characters!$A:$J,10,FALSE)</f>
        <v>PremiumS</v>
      </c>
      <c r="J40" s="7">
        <f>VLOOKUP(B40,[1]characters!$A:$I,9,FALSE)</f>
        <v>4</v>
      </c>
      <c r="K40" s="7" t="str">
        <f>VLOOKUP(B40,[1]characters!$A:$H,8,FALSE)</f>
        <v>green</v>
      </c>
      <c r="L40" s="7" t="str">
        <f>VLOOKUP(B40,[1]characters!$A:$K,11,FALSE)</f>
        <v>balance</v>
      </c>
      <c r="M40" s="7" t="str">
        <f>VLOOKUP(B40,[1]characters!$A:$M,13,FALSE)</f>
        <v>unknown</v>
      </c>
      <c r="N40" s="7" t="str">
        <f>VLOOKUP(B40,[1]characters!$A:$G,7,FALSE)</f>
        <v>女性</v>
      </c>
      <c r="O40" s="45">
        <f ca="1">IFERROR(VLOOKUP(B40,input_500010!L:R,7,FALSE),VLOOKUP(tables_500010!C40,input_500010!A:H,8,FALSE))</f>
        <v>201237.5</v>
      </c>
      <c r="P40" s="46">
        <f t="shared" ca="1" si="3"/>
        <v>3.3651755852673999E-2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input_500010!A$2</f>
        <v>500010</v>
      </c>
      <c r="B41" s="6">
        <v>590</v>
      </c>
      <c r="C41" s="7" t="str">
        <f t="shared" si="0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永遠を廻る呪い ニーベルゲン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balance</v>
      </c>
      <c r="M41" s="7" t="str">
        <f>VLOOKUP(B41,[1]characters!$A:$M,13,FALSE)</f>
        <v>unknown</v>
      </c>
      <c r="N41" s="7" t="str">
        <f>VLOOKUP(B41,[1]characters!$A:$G,7,FALSE)</f>
        <v>女性</v>
      </c>
      <c r="O41" s="45">
        <f ca="1">IFERROR(VLOOKUP(B41,input_500010!L:R,7,FALSE),VLOOKUP(tables_500010!C41,input_500010!A:H,8,FALSE))</f>
        <v>12995.19231</v>
      </c>
      <c r="P41" s="46">
        <f t="shared" ca="1" si="3"/>
        <v>2.1731090819288985E-3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input_500010!A$2</f>
        <v>500010</v>
      </c>
      <c r="B42" s="6">
        <v>600</v>
      </c>
      <c r="C42" s="7" t="str">
        <f t="shared" si="0"/>
        <v>Premium4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界下に潜む蛇 ニーズヘッグ</v>
      </c>
      <c r="I42" s="7" t="str">
        <f>VLOOKUP(B42,[1]characters!$A:$J,10,FALSE)</f>
        <v>PremiumS</v>
      </c>
      <c r="J42" s="7">
        <f>VLOOKUP(B42,[1]characters!$A:$I,9,FALSE)</f>
        <v>4</v>
      </c>
      <c r="K42" s="7" t="str">
        <f>VLOOKUP(B42,[1]characters!$A:$H,8,FALSE)</f>
        <v>green</v>
      </c>
      <c r="L42" s="7" t="str">
        <f>VLOOKUP(B42,[1]characters!$A:$K,11,FALSE)</f>
        <v>attack</v>
      </c>
      <c r="M42" s="7" t="str">
        <f>VLOOKUP(B42,[1]characters!$A:$M,13,FALSE)</f>
        <v>dragon</v>
      </c>
      <c r="N42" s="7" t="str">
        <f>VLOOKUP(B42,[1]characters!$A:$G,7,FALSE)</f>
        <v>不明</v>
      </c>
      <c r="O42" s="45">
        <f ca="1">IFERROR(VLOOKUP(B42,input_500010!L:R,7,FALSE),VLOOKUP(tables_500010!C42,input_500010!A:H,8,FALSE))</f>
        <v>201237.5</v>
      </c>
      <c r="P42" s="46">
        <f t="shared" ca="1" si="3"/>
        <v>3.3651755852673999E-2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input_500010!A$2</f>
        <v>500010</v>
      </c>
      <c r="B43" s="6">
        <v>601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界根蝕む悪食 ニーズヘッグ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dragon</v>
      </c>
      <c r="N43" s="7" t="str">
        <f>VLOOKUP(B43,[1]characters!$A:$G,7,FALSE)</f>
        <v>不明</v>
      </c>
      <c r="O43" s="45">
        <f ca="1">IFERROR(VLOOKUP(B43,input_500010!L:R,7,FALSE),VLOOKUP(tables_500010!C43,input_500010!A:H,8,FALSE))</f>
        <v>12995.19231</v>
      </c>
      <c r="P43" s="46">
        <f t="shared" ca="1" si="3"/>
        <v>2.1731090819288985E-3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input_500010!A$2</f>
        <v>500010</v>
      </c>
      <c r="B44" s="6">
        <v>660</v>
      </c>
      <c r="C44" s="7" t="str">
        <f t="shared" si="0"/>
        <v>PremiumSS4</v>
      </c>
      <c r="D44" s="7" t="str">
        <f t="shared" si="2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烏天狗 フウガ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男性</v>
      </c>
      <c r="O44" s="45">
        <f ca="1">IFERROR(VLOOKUP(B44,input_500010!L:R,7,FALSE),VLOOKUP(tables_500010!C44,input_500010!A:H,8,FALSE))</f>
        <v>22137.5</v>
      </c>
      <c r="P44" s="46">
        <f t="shared" ca="1" si="3"/>
        <v>3.7019230769045068E-3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input_500010!A$2</f>
        <v>500010</v>
      </c>
      <c r="B45" s="6">
        <v>661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疾風の天狗礫 フウガ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green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男性</v>
      </c>
      <c r="O45" s="45">
        <f ca="1">IFERROR(VLOOKUP(B45,input_500010!L:R,7,FALSE),VLOOKUP(tables_500010!C45,input_500010!A:H,8,FALSE))</f>
        <v>3162.5</v>
      </c>
      <c r="P45" s="46">
        <f t="shared" ca="1" si="3"/>
        <v>5.2884615384350101E-4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input_500010!A$2</f>
        <v>500010</v>
      </c>
      <c r="B46" s="6">
        <v>672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西遊韋駄天 ハヌマーン</v>
      </c>
      <c r="I46" s="7" t="str">
        <f>VLOOKUP(B46,[1]characters!$A:$J,10,FALSE)</f>
        <v>PremiumS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男性</v>
      </c>
      <c r="O46" s="45">
        <f ca="1">IFERROR(VLOOKUP(B46,input_500010!L:R,7,FALSE),VLOOKUP(tables_500010!C46,input_500010!A:H,8,FALSE))</f>
        <v>201237.5</v>
      </c>
      <c r="P46" s="46">
        <f t="shared" ca="1" si="3"/>
        <v>3.3651755852673999E-2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input_500010!A$2</f>
        <v>500010</v>
      </c>
      <c r="B47" s="6">
        <v>673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変幻自在の猿王 ハヌマーン</v>
      </c>
      <c r="I47" s="7" t="str">
        <f>VLOOKUP(B47,[1]characters!$A:$J,10,FALSE)</f>
        <v>PremiumS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animal</v>
      </c>
      <c r="N47" s="7" t="str">
        <f>VLOOKUP(B47,[1]characters!$A:$G,7,FALSE)</f>
        <v>男性</v>
      </c>
      <c r="O47" s="45">
        <f ca="1">IFERROR(VLOOKUP(B47,input_500010!L:R,7,FALSE),VLOOKUP(tables_500010!C47,input_500010!A:H,8,FALSE))</f>
        <v>12995.19231</v>
      </c>
      <c r="P47" s="46">
        <f t="shared" ca="1" si="3"/>
        <v>2.1731090819288985E-3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input_500010!A$2</f>
        <v>500010</v>
      </c>
      <c r="B48" s="6">
        <v>730</v>
      </c>
      <c r="C48" s="7" t="str">
        <f t="shared" si="0"/>
        <v>Premium4R3less</v>
      </c>
      <c r="D48" s="7" t="str">
        <f t="shared" si="2"/>
        <v>Premium</v>
      </c>
      <c r="E48" s="7" t="str">
        <f>IF(COUNTIF('R6追加前'!A:A,B48)=0,IF(OR(I48="PremiumSS",I48="PremiumSSw"),"R5only","R3less"),"")</f>
        <v>R3less</v>
      </c>
      <c r="F48" s="7" t="str">
        <f>IF(COUNTIF('R6開放'!A:A,B48)&gt;0,"R6release","")</f>
        <v/>
      </c>
      <c r="G48" s="7"/>
      <c r="H48" s="7" t="str">
        <f>VLOOKUP(B48,[1]characters!$A:$C,3,FALSE)</f>
        <v>ガラシャ</v>
      </c>
      <c r="I48" s="7" t="str">
        <f>VLOOKUP(B48,[1]characters!$A:$J,10,FALSE)</f>
        <v>PremiumS</v>
      </c>
      <c r="J48" s="7">
        <f>VLOOKUP(B48,[1]characters!$A:$I,9,FALSE)</f>
        <v>4</v>
      </c>
      <c r="K48" s="7" t="str">
        <f>VLOOKUP(B48,[1]characters!$A:$H,8,FALSE)</f>
        <v>green</v>
      </c>
      <c r="L48" s="7" t="str">
        <f>VLOOKUP(B48,[1]characters!$A:$K,11,FALSE)</f>
        <v>heal</v>
      </c>
      <c r="M48" s="7" t="str">
        <f>VLOOKUP(B48,[1]characters!$A:$M,13,FALSE)</f>
        <v>human</v>
      </c>
      <c r="N48" s="7" t="str">
        <f>VLOOKUP(B48,[1]characters!$A:$G,7,FALSE)</f>
        <v>女性</v>
      </c>
      <c r="O48" s="45">
        <f ca="1">IFERROR(VLOOKUP(B48,input_500010!L:R,7,FALSE),VLOOKUP(tables_500010!C48,input_500010!A:H,8,FALSE))</f>
        <v>202921.875</v>
      </c>
      <c r="P48" s="46">
        <f t="shared" ca="1" si="3"/>
        <v>3.3933423912873253E-2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input_500010!A$2</f>
        <v>500010</v>
      </c>
      <c r="B49" s="6">
        <v>731</v>
      </c>
      <c r="C49" s="7" t="str">
        <f t="shared" si="0"/>
        <v>Premium5R3less</v>
      </c>
      <c r="D49" s="7" t="str">
        <f t="shared" si="2"/>
        <v>Premium</v>
      </c>
      <c r="E49" s="7" t="str">
        <f>IF(COUNTIF('R6追加前'!A:A,B49)=0,IF(OR(I49="PremiumSS",I49="PremiumSSw"),"R5only","R3less"),"")</f>
        <v>R3less</v>
      </c>
      <c r="F49" s="7" t="str">
        <f>IF(COUNTIF('R6開放'!A:A,B49)&gt;0,"R6release","")</f>
        <v/>
      </c>
      <c r="G49" s="7"/>
      <c r="H49" s="7" t="str">
        <f>VLOOKUP(B49,[1]characters!$A:$C,3,FALSE)</f>
        <v>敬虔なる追銃 ガラシャ</v>
      </c>
      <c r="I49" s="7" t="str">
        <f>VLOOKUP(B49,[1]characters!$A:$J,10,FALSE)</f>
        <v>PremiumS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heal</v>
      </c>
      <c r="M49" s="7" t="str">
        <f>VLOOKUP(B49,[1]characters!$A:$M,13,FALSE)</f>
        <v>human</v>
      </c>
      <c r="N49" s="7" t="str">
        <f>VLOOKUP(B49,[1]characters!$A:$G,7,FALSE)</f>
        <v>女性</v>
      </c>
      <c r="O49" s="45">
        <f ca="1">IFERROR(VLOOKUP(B49,input_500010!L:R,7,FALSE),VLOOKUP(tables_500010!C49,input_500010!A:H,8,FALSE))</f>
        <v>30062.5</v>
      </c>
      <c r="P49" s="46">
        <f t="shared" ca="1" si="3"/>
        <v>5.0271739130182602E-3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input_500010!A$2</f>
        <v>500010</v>
      </c>
      <c r="B50" s="6">
        <v>744</v>
      </c>
      <c r="C50" s="7" t="str">
        <f t="shared" si="0"/>
        <v>PremiumSS5R5only</v>
      </c>
      <c r="D50" s="7" t="str">
        <f t="shared" si="2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ヘルメス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green</v>
      </c>
      <c r="L50" s="7" t="str">
        <f>VLOOKUP(B50,[1]characters!$A:$K,11,FALSE)</f>
        <v>technical</v>
      </c>
      <c r="M50" s="7" t="str">
        <f>VLOOKUP(B50,[1]characters!$A:$M,13,FALSE)</f>
        <v>god</v>
      </c>
      <c r="N50" s="7" t="str">
        <f>VLOOKUP(B50,[1]characters!$A:$G,7,FALSE)</f>
        <v>男性</v>
      </c>
      <c r="O50" s="45">
        <f ca="1">IFERROR(VLOOKUP(B50,input_500010!L:R,7,FALSE),VLOOKUP(tables_500010!C50,input_500010!A:H,8,FALSE))</f>
        <v>27140</v>
      </c>
      <c r="P50" s="46">
        <f t="shared" ca="1" si="3"/>
        <v>4.5384615384387716E-3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input_500010!A$2</f>
        <v>500010</v>
      </c>
      <c r="B51" s="6">
        <v>772</v>
      </c>
      <c r="C51" s="7" t="str">
        <f t="shared" si="0"/>
        <v>PremiumSS4</v>
      </c>
      <c r="D51" s="7" t="str">
        <f t="shared" si="2"/>
        <v>PremiumSS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イナバ</v>
      </c>
      <c r="I51" s="7" t="str">
        <f>VLOOKUP(B51,[1]characters!$A:$J,10,FALSE)</f>
        <v>PremiumSS</v>
      </c>
      <c r="J51" s="7">
        <f>VLOOKUP(B51,[1]characters!$A:$I,9,FALSE)</f>
        <v>4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女性</v>
      </c>
      <c r="O51" s="45">
        <f ca="1">IFERROR(VLOOKUP(B51,input_500010!L:R,7,FALSE),VLOOKUP(tables_500010!C51,input_500010!A:H,8,FALSE))</f>
        <v>22137.5</v>
      </c>
      <c r="P51" s="46">
        <f t="shared" ca="1" si="3"/>
        <v>3.7019230769045068E-3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input_500010!A$2</f>
        <v>500010</v>
      </c>
      <c r="B52" s="6">
        <v>773</v>
      </c>
      <c r="C52" s="7" t="str">
        <f t="shared" si="0"/>
        <v>PremiumSS5</v>
      </c>
      <c r="D52" s="7" t="str">
        <f t="shared" si="2"/>
        <v>PremiumSS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浮跳天兎 イナバ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green</v>
      </c>
      <c r="L52" s="7" t="str">
        <f>VLOOKUP(B52,[1]characters!$A:$K,11,FALSE)</f>
        <v>balance</v>
      </c>
      <c r="M52" s="7" t="str">
        <f>VLOOKUP(B52,[1]characters!$A:$M,13,FALSE)</f>
        <v>animal</v>
      </c>
      <c r="N52" s="7" t="str">
        <f>VLOOKUP(B52,[1]characters!$A:$G,7,FALSE)</f>
        <v>女性</v>
      </c>
      <c r="O52" s="45">
        <f ca="1">IFERROR(VLOOKUP(B52,input_500010!L:R,7,FALSE),VLOOKUP(tables_500010!C52,input_500010!A:H,8,FALSE))</f>
        <v>3162.5</v>
      </c>
      <c r="P52" s="46">
        <f t="shared" ca="1" si="3"/>
        <v>5.2884615384350101E-4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input_500010!A$2</f>
        <v>500010</v>
      </c>
      <c r="B53" s="6">
        <v>850</v>
      </c>
      <c r="C53" s="7" t="str">
        <f t="shared" si="0"/>
        <v>PremiumSS5R5only</v>
      </c>
      <c r="D53" s="7" t="str">
        <f t="shared" si="2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バアル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45">
        <f ca="1">IFERROR(VLOOKUP(B53,input_500010!L:R,7,FALSE),VLOOKUP(tables_500010!C53,input_500010!A:H,8,FALSE))</f>
        <v>27140</v>
      </c>
      <c r="P53" s="46">
        <f t="shared" ca="1" si="3"/>
        <v>4.5384615384387716E-3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input_500010!A$2</f>
        <v>500010</v>
      </c>
      <c r="B54" s="6">
        <v>864</v>
      </c>
      <c r="C54" s="7" t="str">
        <f t="shared" si="0"/>
        <v>Premium4R3less</v>
      </c>
      <c r="D54" s="7" t="str">
        <f t="shared" si="2"/>
        <v>Premium</v>
      </c>
      <c r="E54" s="7" t="str">
        <f>IF(COUNTIF('R6追加前'!A:A,B54)=0,IF(OR(I54="PremiumSS",I54="PremiumSSw"),"R5only","R3less"),"")</f>
        <v>R3less</v>
      </c>
      <c r="F54" s="7" t="str">
        <f>IF(COUNTIF('R6開放'!A:A,B54)&gt;0,"R6release","")</f>
        <v/>
      </c>
      <c r="G54" s="7"/>
      <c r="H54" s="7" t="str">
        <f>VLOOKUP(B54,[1]characters!$A:$C,3,FALSE)</f>
        <v>ピノキオ</v>
      </c>
      <c r="I54" s="7" t="str">
        <f>VLOOKUP(B54,[1]characters!$A:$J,10,FALSE)</f>
        <v>PremiumS</v>
      </c>
      <c r="J54" s="7">
        <f>VLOOKUP(B54,[1]characters!$A:$I,9,FALSE)</f>
        <v>4</v>
      </c>
      <c r="K54" s="7" t="str">
        <f>VLOOKUP(B54,[1]characters!$A:$H,8,FALSE)</f>
        <v>green</v>
      </c>
      <c r="L54" s="7" t="str">
        <f>VLOOKUP(B54,[1]characters!$A:$K,11,FALSE)</f>
        <v>attack</v>
      </c>
      <c r="M54" s="7" t="str">
        <f>VLOOKUP(B54,[1]characters!$A:$M,13,FALSE)</f>
        <v>machine</v>
      </c>
      <c r="N54" s="7" t="str">
        <f>VLOOKUP(B54,[1]characters!$A:$G,7,FALSE)</f>
        <v>男性</v>
      </c>
      <c r="O54" s="45">
        <f ca="1">IFERROR(VLOOKUP(B54,input_500010!L:R,7,FALSE),VLOOKUP(tables_500010!C54,input_500010!A:H,8,FALSE))</f>
        <v>202921.875</v>
      </c>
      <c r="P54" s="46">
        <f t="shared" ca="1" si="3"/>
        <v>3.3933423912873253E-2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input_500010!A$2</f>
        <v>500010</v>
      </c>
      <c r="B55" s="6">
        <v>865</v>
      </c>
      <c r="C55" s="7" t="str">
        <f t="shared" si="0"/>
        <v>Premium5R3less</v>
      </c>
      <c r="D55" s="7" t="str">
        <f t="shared" si="2"/>
        <v>Premium</v>
      </c>
      <c r="E55" s="7" t="str">
        <f>IF(COUNTIF('R6追加前'!A:A,B55)=0,IF(OR(I55="PremiumSS",I55="PremiumSSw"),"R5only","R3less"),"")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無情の感線 ピノキオ</v>
      </c>
      <c r="I55" s="7" t="str">
        <f>VLOOKUP(B55,[1]characters!$A:$J,10,FALSE)</f>
        <v>PremiumS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attack</v>
      </c>
      <c r="M55" s="7" t="str">
        <f>VLOOKUP(B55,[1]characters!$A:$M,13,FALSE)</f>
        <v>machine</v>
      </c>
      <c r="N55" s="7" t="str">
        <f>VLOOKUP(B55,[1]characters!$A:$G,7,FALSE)</f>
        <v>男性</v>
      </c>
      <c r="O55" s="45">
        <f ca="1">IFERROR(VLOOKUP(B55,input_500010!L:R,7,FALSE),VLOOKUP(tables_500010!C55,input_500010!A:H,8,FALSE))</f>
        <v>30062.5</v>
      </c>
      <c r="P55" s="46">
        <f t="shared" ca="1" si="3"/>
        <v>5.0271739130182602E-3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input_500010!A$2</f>
        <v>500010</v>
      </c>
      <c r="B56" s="6">
        <v>939</v>
      </c>
      <c r="C56" s="7" t="str">
        <f t="shared" si="0"/>
        <v>Premium4R3less</v>
      </c>
      <c r="D56" s="7" t="str">
        <f t="shared" si="2"/>
        <v>Premium</v>
      </c>
      <c r="E56" s="7" t="str">
        <f>IF(COUNTIF('R6追加前'!A:A,B56)=0,IF(OR(I56="PremiumSS",I56="PremiumSSw"),"R5only","R3less"),"")</f>
        <v>R3less</v>
      </c>
      <c r="F56" s="7" t="str">
        <f>IF(COUNTIF('R6開放'!A:A,B56)&gt;0,"R6release","")</f>
        <v/>
      </c>
      <c r="G56" s="7"/>
      <c r="H56" s="7" t="str">
        <f>VLOOKUP(B56,[1]characters!$A:$C,3,FALSE)</f>
        <v>バスティーユ</v>
      </c>
      <c r="I56" s="7" t="str">
        <f>VLOOKUP(B56,[1]characters!$A:$J,10,FALSE)</f>
        <v>PremiumS</v>
      </c>
      <c r="J56" s="7">
        <f>VLOOKUP(B56,[1]characters!$A:$I,9,FALSE)</f>
        <v>4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unknown</v>
      </c>
      <c r="N56" s="7" t="str">
        <f>VLOOKUP(B56,[1]characters!$A:$G,7,FALSE)</f>
        <v>男性</v>
      </c>
      <c r="O56" s="45">
        <f ca="1">IFERROR(VLOOKUP(B56,input_500010!L:R,7,FALSE),VLOOKUP(tables_500010!C56,input_500010!A:H,8,FALSE))</f>
        <v>202921.875</v>
      </c>
      <c r="P56" s="46">
        <f t="shared" ca="1" si="3"/>
        <v>3.3933423912873253E-2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input_500010!A$2</f>
        <v>500010</v>
      </c>
      <c r="B57" s="6">
        <v>940</v>
      </c>
      <c r="C57" s="7" t="str">
        <f t="shared" si="0"/>
        <v>Premium5R3less</v>
      </c>
      <c r="D57" s="7" t="str">
        <f t="shared" si="2"/>
        <v>Premium</v>
      </c>
      <c r="E57" s="7" t="str">
        <f>IF(COUNTIF('R6追加前'!A:A,B57)=0,IF(OR(I57="PremiumSS",I57="PremiumSSw"),"R5only","R3less"),"")</f>
        <v>R3less</v>
      </c>
      <c r="F57" s="7" t="str">
        <f>IF(COUNTIF('R6開放'!A:A,B57)&gt;0,"R6release","")</f>
        <v/>
      </c>
      <c r="G57" s="7"/>
      <c r="H57" s="7" t="str">
        <f>VLOOKUP(B57,[1]characters!$A:$C,3,FALSE)</f>
        <v>不壊の大要塞 バスティーユ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unknown</v>
      </c>
      <c r="N57" s="7" t="str">
        <f>VLOOKUP(B57,[1]characters!$A:$G,7,FALSE)</f>
        <v>男性</v>
      </c>
      <c r="O57" s="45">
        <f ca="1">IFERROR(VLOOKUP(B57,input_500010!L:R,7,FALSE),VLOOKUP(tables_500010!C57,input_500010!A:H,8,FALSE))</f>
        <v>30062.5</v>
      </c>
      <c r="P57" s="46">
        <f t="shared" ca="1" si="3"/>
        <v>5.0271739130182602E-3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input_500010!A$2</f>
        <v>500010</v>
      </c>
      <c r="B58" s="6">
        <v>1014</v>
      </c>
      <c r="C58" s="7" t="str">
        <f t="shared" si="0"/>
        <v>PremiumSS5R5only</v>
      </c>
      <c r="D58" s="7" t="str">
        <f t="shared" si="2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45">
        <f ca="1">IFERROR(VLOOKUP(B58,input_500010!L:R,7,FALSE),VLOOKUP(tables_500010!C58,input_500010!A:H,8,FALSE))</f>
        <v>27140</v>
      </c>
      <c r="P58" s="46">
        <f t="shared" ca="1" si="3"/>
        <v>4.5384615384387716E-3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input_500010!A$2</f>
        <v>500010</v>
      </c>
      <c r="B59" s="6">
        <v>1028</v>
      </c>
      <c r="C59" s="7" t="str">
        <f t="shared" si="0"/>
        <v>PremiumSS5R5only</v>
      </c>
      <c r="D59" s="7" t="str">
        <f t="shared" si="2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牛若丸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balance</v>
      </c>
      <c r="M59" s="7" t="str">
        <f>VLOOKUP(B59,[1]characters!$A:$M,13,FALSE)</f>
        <v>human</v>
      </c>
      <c r="N59" s="7" t="str">
        <f>VLOOKUP(B59,[1]characters!$A:$G,7,FALSE)</f>
        <v>男性</v>
      </c>
      <c r="O59" s="45">
        <f ca="1">IFERROR(VLOOKUP(B59,input_500010!L:R,7,FALSE),VLOOKUP(tables_500010!C59,input_500010!A:H,8,FALSE))</f>
        <v>27140</v>
      </c>
      <c r="P59" s="46">
        <f t="shared" ca="1" si="3"/>
        <v>4.5384615384387716E-3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input_500010!A$2</f>
        <v>500010</v>
      </c>
      <c r="B60" s="6">
        <v>1069</v>
      </c>
      <c r="C60" s="7" t="str">
        <f t="shared" si="0"/>
        <v>PremiumSS5R5only</v>
      </c>
      <c r="D60" s="7" t="str">
        <f t="shared" si="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イシュタル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ca="1">IFERROR(VLOOKUP(B60,input_500010!L:R,7,FALSE),VLOOKUP(tables_500010!C60,input_500010!A:H,8,FALSE))</f>
        <v>27140</v>
      </c>
      <c r="P60" s="46">
        <f t="shared" ca="1" si="3"/>
        <v>4.5384615384387716E-3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input_500010!A$2</f>
        <v>500010</v>
      </c>
      <c r="B61" s="6">
        <v>1102</v>
      </c>
      <c r="C61" s="7" t="str">
        <f t="shared" si="0"/>
        <v>PremiumSS5R5only</v>
      </c>
      <c r="D61" s="7" t="str">
        <f t="shared" si="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ドガ</v>
      </c>
      <c r="I61" s="7" t="str">
        <f>VLOOKUP(B61,[1]characters!$A:$J,10,FALSE)</f>
        <v>PremiumSSw</v>
      </c>
      <c r="J61" s="7">
        <f>VLOOKUP(B61,[1]characters!$A:$I,9,FALSE)</f>
        <v>5</v>
      </c>
      <c r="K61" s="7" t="str">
        <f>VLOOKUP(B61,[1]characters!$A:$H,8,FALSE)</f>
        <v>green</v>
      </c>
      <c r="L61" s="7" t="str">
        <f>VLOOKUP(B61,[1]characters!$A:$K,11,FALSE)</f>
        <v>balance</v>
      </c>
      <c r="M61" s="7" t="str">
        <f>VLOOKUP(B61,[1]characters!$A:$M,13,FALSE)</f>
        <v>animal</v>
      </c>
      <c r="N61" s="7" t="str">
        <f>VLOOKUP(B61,[1]characters!$A:$G,7,FALSE)</f>
        <v>不明</v>
      </c>
      <c r="O61" s="45">
        <f ca="1">IFERROR(VLOOKUP(B61,input_500010!L:R,7,FALSE),VLOOKUP(tables_500010!C61,input_500010!A:H,8,FALSE))</f>
        <v>27140</v>
      </c>
      <c r="P61" s="46">
        <f t="shared" ca="1" si="3"/>
        <v>4.5384615384387716E-3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input_500010!A$2</f>
        <v>500010</v>
      </c>
      <c r="B62" s="8">
        <v>1139</v>
      </c>
      <c r="C62" s="7" t="str">
        <f t="shared" si="0"/>
        <v>PremiumSS5R5only</v>
      </c>
      <c r="D62" s="7" t="str">
        <f t="shared" si="2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趙雲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balance</v>
      </c>
      <c r="M62" s="7" t="str">
        <f>VLOOKUP(B62,[1]characters!$A:$M,13,FALSE)</f>
        <v>samurai</v>
      </c>
      <c r="N62" s="7" t="str">
        <f>VLOOKUP(B62,[1]characters!$A:$G,7,FALSE)</f>
        <v>不明</v>
      </c>
      <c r="O62" s="45">
        <f ca="1">IFERROR(VLOOKUP(B62,input_500010!L:R,7,FALSE),VLOOKUP(tables_500010!C62,input_500010!A:H,8,FALSE))</f>
        <v>27140</v>
      </c>
      <c r="P62" s="46">
        <f t="shared" ca="1" si="3"/>
        <v>4.5384615384387716E-3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input_500010!A$2</f>
        <v>500010</v>
      </c>
      <c r="B63" s="8">
        <v>1153</v>
      </c>
      <c r="C63" s="7" t="str">
        <f t="shared" si="0"/>
        <v>PremiumSS5R5only</v>
      </c>
      <c r="D63" s="7" t="str">
        <f t="shared" si="2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ラクシュミー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hp</v>
      </c>
      <c r="M63" s="7" t="str">
        <f>VLOOKUP(B63,[1]characters!$A:$M,13,FALSE)</f>
        <v>god</v>
      </c>
      <c r="N63" s="7" t="str">
        <f>VLOOKUP(B63,[1]characters!$A:$G,7,FALSE)</f>
        <v>不明</v>
      </c>
      <c r="O63" s="45">
        <f ca="1">IFERROR(VLOOKUP(B63,input_500010!L:R,7,FALSE),VLOOKUP(tables_500010!C63,input_500010!A:H,8,FALSE))</f>
        <v>27140</v>
      </c>
      <c r="P63" s="46">
        <f t="shared" ca="1" si="3"/>
        <v>4.5384615384387716E-3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input_500010!A$2</f>
        <v>500010</v>
      </c>
      <c r="B64" s="8">
        <v>1210</v>
      </c>
      <c r="C64" s="7" t="str">
        <f t="shared" si="0"/>
        <v>Premium4R3less</v>
      </c>
      <c r="D64" s="7" t="str">
        <f t="shared" si="2"/>
        <v>Premium</v>
      </c>
      <c r="E64" s="7" t="str">
        <f>IF(COUNTIF('R6追加前'!A:A,B64)=0,IF(OR(I64="PremiumSS",I64="PremiumSSw"),"R5only","R3less"),"")</f>
        <v>R3less</v>
      </c>
      <c r="F64" s="7" t="str">
        <f>IF(COUNTIF('R6開放'!A:A,B64)&gt;0,"R6release","")</f>
        <v/>
      </c>
      <c r="G64" s="7"/>
      <c r="H64" s="7" t="str">
        <f>VLOOKUP(B64,[1]characters!$A:$C,3,FALSE)</f>
        <v>ケンタウロス</v>
      </c>
      <c r="I64" s="7" t="str">
        <f>VLOOKUP(B64,[1]characters!$A:$J,10,FALSE)</f>
        <v>PremiumS</v>
      </c>
      <c r="J64" s="7">
        <f>VLOOKUP(B64,[1]characters!$A:$I,9,FALSE)</f>
        <v>4</v>
      </c>
      <c r="K64" s="7" t="str">
        <f>VLOOKUP(B64,[1]characters!$A:$H,8,FALSE)</f>
        <v>green</v>
      </c>
      <c r="L64" s="7" t="str">
        <f>VLOOKUP(B64,[1]characters!$A:$K,11,FALSE)</f>
        <v>attack</v>
      </c>
      <c r="M64" s="7" t="str">
        <f>VLOOKUP(B64,[1]characters!$A:$M,13,FALSE)</f>
        <v>god</v>
      </c>
      <c r="N64" s="7">
        <f>VLOOKUP(B64,[1]characters!$A:$G,7,FALSE)</f>
        <v>0</v>
      </c>
      <c r="O64" s="45">
        <f ca="1">IFERROR(VLOOKUP(B64,input_500010!L:R,7,FALSE),VLOOKUP(tables_500010!C64,input_500010!A:H,8,FALSE))</f>
        <v>202921.875</v>
      </c>
      <c r="P64" s="46">
        <f t="shared" ca="1" si="3"/>
        <v>3.3933423912873253E-2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input_500010!A$2</f>
        <v>500010</v>
      </c>
      <c r="B65" s="8">
        <v>1211</v>
      </c>
      <c r="C65" s="7" t="str">
        <f t="shared" si="0"/>
        <v>Premium5R3less</v>
      </c>
      <c r="D65" s="7" t="str">
        <f t="shared" si="2"/>
        <v>Premium</v>
      </c>
      <c r="E65" s="7" t="str">
        <f>IF(COUNTIF('R6追加前'!A:A,B65)=0,IF(OR(I65="PremiumSS",I65="PremiumSSw"),"R5only","R3less"),"")</f>
        <v>R3less</v>
      </c>
      <c r="F65" s="7" t="str">
        <f>IF(COUNTIF('R6開放'!A:A,B65)&gt;0,"R6release","")</f>
        <v/>
      </c>
      <c r="G65" s="7"/>
      <c r="H65" s="7" t="str">
        <f>VLOOKUP(B65,[1]characters!$A:$C,3,FALSE)</f>
        <v>奏駆の翻騎 ケンタウロス</v>
      </c>
      <c r="I65" s="7" t="str">
        <f>VLOOKUP(B65,[1]characters!$A:$J,10,FALSE)</f>
        <v>PremiumS</v>
      </c>
      <c r="J65" s="7">
        <f>VLOOKUP(B65,[1]characters!$A:$I,9,FALSE)</f>
        <v>5</v>
      </c>
      <c r="K65" s="7" t="str">
        <f>VLOOKUP(B65,[1]characters!$A:$H,8,FALSE)</f>
        <v>green</v>
      </c>
      <c r="L65" s="7" t="str">
        <f>VLOOKUP(B65,[1]characters!$A:$K,11,FALSE)</f>
        <v>attack</v>
      </c>
      <c r="M65" s="7" t="str">
        <f>VLOOKUP(B65,[1]characters!$A:$M,13,FALSE)</f>
        <v>god</v>
      </c>
      <c r="N65" s="7">
        <f>VLOOKUP(B65,[1]characters!$A:$G,7,FALSE)</f>
        <v>0</v>
      </c>
      <c r="O65" s="45">
        <f ca="1">IFERROR(VLOOKUP(B65,input_500010!L:R,7,FALSE),VLOOKUP(tables_500010!C65,input_500010!A:H,8,FALSE))</f>
        <v>30062.5</v>
      </c>
      <c r="P65" s="46">
        <f t="shared" ca="1" si="3"/>
        <v>5.0271739130182602E-3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input_500010!A$2</f>
        <v>500010</v>
      </c>
      <c r="B66" s="6">
        <v>1226</v>
      </c>
      <c r="C66" s="7" t="str">
        <f t="shared" ref="C66:C67" si="4">D66&amp;J66&amp;E66&amp;F66&amp;G66</f>
        <v>PremiumSS5R5only</v>
      </c>
      <c r="D66" s="7" t="str">
        <f t="shared" si="2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トルストイ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>
        <f>VLOOKUP(B66,[1]characters!$A:$G,7,FALSE)</f>
        <v>0</v>
      </c>
      <c r="O66" s="45">
        <f ca="1">IFERROR(VLOOKUP(B66,input_500010!L:R,7,FALSE),VLOOKUP(tables_500010!C66,input_500010!A:H,8,FALSE))</f>
        <v>27140</v>
      </c>
      <c r="P66" s="46">
        <f t="shared" ref="P66:P97" ca="1" si="5">O66/SUM(O:O)</f>
        <v>4.5384615384387716E-3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input_500010!A$2</f>
        <v>500010</v>
      </c>
      <c r="B67" s="6">
        <v>1246</v>
      </c>
      <c r="C67" s="7" t="str">
        <f t="shared" si="4"/>
        <v>PremiumSS5R5only</v>
      </c>
      <c r="D67" s="7" t="str">
        <f t="shared" ref="D67" si="6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望月千代女</v>
      </c>
      <c r="I67" s="7" t="str">
        <f>VLOOKUP(B67,[1]characters!$A:$J,10,FALSE)</f>
        <v>PremiumSS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heal</v>
      </c>
      <c r="M67" s="7" t="str">
        <f>VLOOKUP(B67,[1]characters!$A:$M,13,FALSE)</f>
        <v>human</v>
      </c>
      <c r="N67" s="7">
        <f>VLOOKUP(B67,[1]characters!$A:$G,7,FALSE)</f>
        <v>0</v>
      </c>
      <c r="O67" s="45">
        <f ca="1">IFERROR(VLOOKUP(B67,input_500010!L:R,7,FALSE),VLOOKUP(tables_500010!C67,input_500010!A:H,8,FALSE))</f>
        <v>27140</v>
      </c>
      <c r="P67" s="46">
        <f t="shared" ca="1" si="5"/>
        <v>4.5384615384387716E-3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input_500010!A$2</f>
        <v>500010</v>
      </c>
      <c r="B68" s="1">
        <v>378</v>
      </c>
      <c r="C68" s="7" t="str">
        <f t="shared" ref="C68:C72" si="7">D68&amp;J68&amp;E68&amp;F68&amp;G68</f>
        <v>PremiumSSS4R3less</v>
      </c>
      <c r="D68" s="7" t="str">
        <f t="shared" ref="D68:D72" si="8">IF(OR(I68="PremiumSS",I68="PremiumSSw"),"PremiumSS",IF(I68="PremiumSSS",I68,IF(I68="PremiumW",IF(J68=5,"premium",I68),"Premium")))</f>
        <v>PremiumSSS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オイラー</v>
      </c>
      <c r="I68" s="7" t="str">
        <f>VLOOKUP(B68,[1]characters!$A:$J,10,FALSE)</f>
        <v>PremiumSSS</v>
      </c>
      <c r="J68" s="7">
        <f>VLOOKUP(B68,[1]characters!$A:$I,9,FALSE)</f>
        <v>4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>IFERROR(VLOOKUP(B68,input_500010!L:R,7,FALSE),VLOOKUP(tables_500010!C68,input_500010!A:H,8,FALSE))</f>
        <v>14950</v>
      </c>
      <c r="P68" s="46">
        <f t="shared" ref="P68:P72" ca="1" si="9">O68/SUM(O:O)</f>
        <v>2.4999999999874589E-3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input_500010!A$2</f>
        <v>500010</v>
      </c>
      <c r="B69" s="1">
        <v>379</v>
      </c>
      <c r="C69" s="7" t="str">
        <f t="shared" si="7"/>
        <v>PremiumSSS5R3less</v>
      </c>
      <c r="D69" s="7" t="str">
        <f t="shared" si="8"/>
        <v>PremiumSSS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幾何の機刃 オイラー</v>
      </c>
      <c r="I69" s="7" t="str">
        <f>VLOOKUP(B69,[1]characters!$A:$J,10,FALSE)</f>
        <v>PremiumSSS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>IFERROR(VLOOKUP(B69,input_500010!L:R,7,FALSE),VLOOKUP(tables_500010!C69,input_500010!A:H,8,FALSE))</f>
        <v>14950</v>
      </c>
      <c r="P69" s="46">
        <f t="shared" ca="1" si="9"/>
        <v>2.4999999999874589E-3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input_500010!A$2</f>
        <v>500010</v>
      </c>
      <c r="B70" s="1">
        <v>750</v>
      </c>
      <c r="C70" s="7" t="str">
        <f t="shared" si="7"/>
        <v>PremiumSSS5R3less</v>
      </c>
      <c r="D70" s="7" t="str">
        <f t="shared" si="8"/>
        <v>PremiumSSS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ポアソン</v>
      </c>
      <c r="I70" s="7" t="str">
        <f>VLOOKUP(B70,[1]characters!$A:$J,10,FALSE)</f>
        <v>PremiumSSS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academia</v>
      </c>
      <c r="N70" s="7" t="str">
        <f>VLOOKUP(B70,[1]characters!$A:$G,7,FALSE)</f>
        <v>男性</v>
      </c>
      <c r="O70" s="45">
        <f>IFERROR(VLOOKUP(B70,input_500010!L:R,7,FALSE),VLOOKUP(tables_500010!C70,input_500010!A:H,8,FALSE))</f>
        <v>29900</v>
      </c>
      <c r="P70" s="46">
        <f t="shared" ca="1" si="9"/>
        <v>4.9999999999749177E-3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input_500010!A$2</f>
        <v>500010</v>
      </c>
      <c r="B71" s="1">
        <v>1159</v>
      </c>
      <c r="C71" s="7" t="str">
        <f t="shared" si="7"/>
        <v>PremiumSSS5R3less</v>
      </c>
      <c r="D71" s="7" t="str">
        <f t="shared" si="8"/>
        <v>PremiumSSS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ガロア</v>
      </c>
      <c r="I71" s="7" t="str">
        <f>VLOOKUP(B71,[1]characters!$A:$J,10,FALSE)</f>
        <v>PremiumSSS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academia</v>
      </c>
      <c r="N71" s="7" t="str">
        <f>VLOOKUP(B71,[1]characters!$A:$G,7,FALSE)</f>
        <v>不明</v>
      </c>
      <c r="O71" s="45">
        <f>IFERROR(VLOOKUP(B71,input_500010!L:R,7,FALSE),VLOOKUP(tables_500010!C71,input_500010!A:H,8,FALSE))</f>
        <v>29900</v>
      </c>
      <c r="P71" s="46">
        <f t="shared" ca="1" si="9"/>
        <v>4.9999999999749177E-3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input_500010!A$2</f>
        <v>500010</v>
      </c>
      <c r="B72" s="1">
        <v>487</v>
      </c>
      <c r="C72" s="7" t="str">
        <f t="shared" si="7"/>
        <v>PremiumSSS5R3less</v>
      </c>
      <c r="D72" s="7" t="str">
        <f t="shared" si="8"/>
        <v>PremiumSSS</v>
      </c>
      <c r="E72" s="7" t="str">
        <f>IF(COUNTIF('R6追加前'!A:A,B72)=0,IF(OR(I72="PremiumSS",I72="PremiumSSw"),"R5only","R3less"),"")</f>
        <v>R3less</v>
      </c>
      <c r="F72" s="7" t="str">
        <f>IF(COUNTIF('R6開放'!A:A,B72)&gt;0,"R6release","")</f>
        <v/>
      </c>
      <c r="G72" s="7"/>
      <c r="H72" s="7" t="str">
        <f>VLOOKUP(B72,[1]characters!$A:$C,3,FALSE)</f>
        <v>暴創の造物 チューリング</v>
      </c>
      <c r="I72" s="7" t="str">
        <f>VLOOKUP(B72,[1]characters!$A:$J,10,FALSE)</f>
        <v>PremiumSSS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hp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>IFERROR(VLOOKUP(B72,input_500010!L:R,7,FALSE),VLOOKUP(tables_500010!C72,input_500010!A:H,8,FALSE))</f>
        <v>29900</v>
      </c>
      <c r="P72" s="46">
        <f t="shared" ca="1" si="9"/>
        <v>4.9999999999749177E-3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</sheetData>
  <autoFilter ref="A1:V67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3" sqref="L3:L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500100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2">
        <v>378</v>
      </c>
      <c r="M3" s="37" t="str">
        <f>VLOOKUP(L3,[1]characters!$A:$C,3,FALSE)</f>
        <v>オイラー</v>
      </c>
      <c r="N3" s="63">
        <v>2.5000000000000001E-3</v>
      </c>
      <c r="O3" s="37">
        <f>VLOOKUP(L3,[1]characters!$A:$I,9,FALSE)</f>
        <v>4</v>
      </c>
      <c r="P3" s="37" t="str">
        <f>VLOOKUP(L3,[1]characters!$A:$J,10,FALSE)</f>
        <v>PremiumSSS</v>
      </c>
      <c r="Q3" s="37" t="str">
        <f>VLOOKUP(L3,tables_500100!B:C,2,FALSE)</f>
        <v>PremiumSSS4R3less</v>
      </c>
      <c r="R3" s="62">
        <f t="shared" ref="R3:R20" si="1">N3*A$36</f>
        <v>14950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2">
        <v>379</v>
      </c>
      <c r="M4" s="37" t="str">
        <f>VLOOKUP(L4,[1]characters!$A:$C,3,FALSE)</f>
        <v>幾何の機刃 オイラー</v>
      </c>
      <c r="N4" s="63">
        <v>2.5000000000000001E-3</v>
      </c>
      <c r="O4" s="37">
        <f>VLOOKUP(L4,[1]characters!$A:$I,9,FALSE)</f>
        <v>5</v>
      </c>
      <c r="P4" s="37" t="str">
        <f>VLOOKUP(L4,[1]characters!$A:$J,10,FALSE)</f>
        <v>PremiumSSS</v>
      </c>
      <c r="Q4" s="37" t="str">
        <f>VLOOKUP(L4,tables_500100!B:C,2,FALSE)</f>
        <v>PremiumSSS5R3less</v>
      </c>
      <c r="R4" s="62">
        <f t="shared" si="1"/>
        <v>14950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4.2307692307692307E-3</v>
      </c>
      <c r="F5">
        <f>(COUNTIF(tables_500100!C:C,input_500100!A28)+COUNTIF(tables_500100!C:C,input_500100!A29))</f>
        <v>17</v>
      </c>
      <c r="H5" s="83">
        <v>0.02</v>
      </c>
      <c r="I5" s="31">
        <v>4</v>
      </c>
      <c r="L5" s="2">
        <v>750</v>
      </c>
      <c r="M5" s="37" t="str">
        <f>VLOOKUP(L5,[1]characters!$A:$C,3,FALSE)</f>
        <v>ポアソン</v>
      </c>
      <c r="N5" s="63">
        <v>5.0000000000000001E-3</v>
      </c>
      <c r="O5" s="37">
        <f>VLOOKUP(L5,[1]characters!$A:$I,9,FALSE)</f>
        <v>5</v>
      </c>
      <c r="P5" s="37" t="str">
        <f>VLOOKUP(L5,[1]characters!$A:$J,10,FALSE)</f>
        <v>PremiumSSS</v>
      </c>
      <c r="Q5" s="37" t="str">
        <f>VLOOKUP(L5,tables_500100!B:C,2,FALSE)</f>
        <v>PremiumSSS5R3less</v>
      </c>
      <c r="R5" s="62">
        <f t="shared" si="1"/>
        <v>29900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0.875</v>
      </c>
      <c r="D6" t="s">
        <v>202</v>
      </c>
      <c r="E6" s="76">
        <f>(B10-H6)/(F6-I6)</f>
        <v>4.021739130434783E-2</v>
      </c>
      <c r="F6">
        <f>(COUNTIF(tables_500100!C:C,input_500100!A25)+COUNTIF(tables_500100!C:C,input_500100!A18)+COUNTIF(tables_500100!C:C,input_500100!A20)+COUNTIF(tables_500100!C:C,input_500100!A22))</f>
        <v>23</v>
      </c>
      <c r="H6" s="88">
        <v>0</v>
      </c>
      <c r="I6" s="31">
        <v>0</v>
      </c>
      <c r="L6" s="2">
        <v>1159</v>
      </c>
      <c r="M6" s="37" t="str">
        <f>VLOOKUP(L6,[1]characters!$A:$C,3,FALSE)</f>
        <v>ガロア</v>
      </c>
      <c r="N6" s="63">
        <v>5.0000000000000001E-3</v>
      </c>
      <c r="O6" s="37">
        <f>VLOOKUP(L6,[1]characters!$A:$I,9,FALSE)</f>
        <v>5</v>
      </c>
      <c r="P6" s="37" t="str">
        <f>VLOOKUP(L6,[1]characters!$A:$J,10,FALSE)</f>
        <v>PremiumSSS</v>
      </c>
      <c r="Q6" s="37" t="str">
        <f>VLOOKUP(L6,tables_500100!B:C,2,FALSE)</f>
        <v>PremiumSSS5R3less</v>
      </c>
      <c r="R6" s="62">
        <f t="shared" si="1"/>
        <v>29900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0.125</v>
      </c>
      <c r="L7" s="2">
        <v>487</v>
      </c>
      <c r="M7" s="37" t="str">
        <f>VLOOKUP(L7,[1]characters!$A:$C,3,FALSE)</f>
        <v>暴創の造物 チューリング</v>
      </c>
      <c r="N7" s="63">
        <v>5.0000000000000001E-3</v>
      </c>
      <c r="O7" s="37">
        <f>VLOOKUP(L7,[1]characters!$A:$I,9,FALSE)</f>
        <v>5</v>
      </c>
      <c r="P7" s="37" t="str">
        <f>VLOOKUP(L7,[1]characters!$A:$J,10,FALSE)</f>
        <v>PremiumSSS</v>
      </c>
      <c r="Q7" s="37" t="str">
        <f>VLOOKUP(L7,tables_500100!B:C,2,FALSE)</f>
        <v>PremiumSSS5R3less</v>
      </c>
      <c r="R7" s="62">
        <f t="shared" si="1"/>
        <v>29900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VLOOKUP(L8,tables_500100!B:C,2,FALSE)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VLOOKUP(L9,tables_500100!B:C,2,FALSE)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VLOOKUP(L10,tables_500100!B:C,2,FALSE)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VLOOKUP(L11,tables_500100!B:C,2,FALSE)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VLOOKUP(L12,tables_500100!B:C,2,FALSE)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VLOOKUP(L13,tables_500100!B:C,2,FALSE)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VLOOKUP(L14,tables_500100!B:C,2,FALSE)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VLOOKUP(L15,tables_500100!B:C,2,FALSE)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VLOOKUP(L16,tables_500100!B:C,2,FALSE)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COUNTIF(tables_500100!C:C,input_500100!A17)-COUNTIF(Q:Q,A17)</f>
        <v>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VLOOKUP(L17,tables_500100!B:C,2,FALSE)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0.23818979933110371</v>
      </c>
      <c r="C18" s="84">
        <f t="shared" si="2"/>
        <v>0</v>
      </c>
      <c r="D18" s="74">
        <f t="shared" si="3"/>
        <v>0.23818979933110371</v>
      </c>
      <c r="E18">
        <f>COUNTIF(tables_500100!C:C,input_500100!A18)-COUNTIF(Q:Q,A18)</f>
        <v>5</v>
      </c>
      <c r="F18" s="43">
        <f>IFERROR(B18/E18,0)</f>
        <v>4.7637959866220742E-2</v>
      </c>
      <c r="G18">
        <f t="shared" si="4"/>
        <v>1424375.0000000002</v>
      </c>
      <c r="H18">
        <f t="shared" si="5"/>
        <v>284875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VLOOKUP(L18,tables_500100!B:C,2,FALSE)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COUNTIF(tables_500100!C:C,input_500100!A19)-COUNTIF(Q:Q,A19)</f>
        <v>0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VLOOKUP(L19,tables_500100!B:C,2,FALSE)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0">
        <f>E$6*E20*B$6-0.02</f>
        <v>0.43747282608695653</v>
      </c>
      <c r="C20" s="84">
        <f t="shared" si="2"/>
        <v>0</v>
      </c>
      <c r="D20" s="74">
        <f t="shared" si="3"/>
        <v>0.43747282608695653</v>
      </c>
      <c r="E20">
        <f>COUNTIF(tables_500100!C:C,input_500100!A20)-COUNTIF(Q:Q,A20)</f>
        <v>13</v>
      </c>
      <c r="F20" s="43">
        <f t="shared" si="8"/>
        <v>3.3651755852842809E-2</v>
      </c>
      <c r="G20">
        <f t="shared" si="4"/>
        <v>2616087.5</v>
      </c>
      <c r="H20">
        <f t="shared" si="5"/>
        <v>201237.5</v>
      </c>
      <c r="I20">
        <f t="shared" si="6"/>
        <v>0.5</v>
      </c>
      <c r="J20">
        <f t="shared" si="7"/>
        <v>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VLOOKUP(L20,tables_500100!B:C,2,FALSE)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2.8250418064634311E-2</v>
      </c>
      <c r="C21" s="84">
        <f t="shared" si="2"/>
        <v>0</v>
      </c>
      <c r="D21" s="74">
        <f t="shared" si="3"/>
        <v>2.8250418064634311E-2</v>
      </c>
      <c r="E21">
        <f>COUNTIF(tables_500100!C:C,input_500100!A21)-COUNTIF(Q:Q,A21)</f>
        <v>13</v>
      </c>
      <c r="F21" s="43">
        <f t="shared" si="8"/>
        <v>2.1731090818949469E-3</v>
      </c>
      <c r="G21">
        <f t="shared" si="4"/>
        <v>168937.50002651318</v>
      </c>
      <c r="H21">
        <f t="shared" si="5"/>
        <v>12995.19231</v>
      </c>
      <c r="I21">
        <f t="shared" si="6"/>
        <v>0.19231000000036147</v>
      </c>
      <c r="J21">
        <f t="shared" si="7"/>
        <v>5.199937600739017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0.13573369565217391</v>
      </c>
      <c r="C22" s="84">
        <f t="shared" si="2"/>
        <v>0</v>
      </c>
      <c r="D22" s="74">
        <f t="shared" si="3"/>
        <v>0.13573369565217391</v>
      </c>
      <c r="E22">
        <f>COUNTIF(tables_500100!C:C,input_500100!A22)-COUNTIF(Q:Q,A22)</f>
        <v>4</v>
      </c>
      <c r="F22" s="43">
        <f t="shared" si="8"/>
        <v>3.3933423913043478E-2</v>
      </c>
      <c r="G22">
        <f t="shared" si="4"/>
        <v>811687.5</v>
      </c>
      <c r="H22">
        <f t="shared" si="5"/>
        <v>202921.875</v>
      </c>
      <c r="I22">
        <f t="shared" si="6"/>
        <v>0.875</v>
      </c>
      <c r="J22">
        <f t="shared" si="7"/>
        <v>1.1428571428571428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2.5135869565217392E-2</v>
      </c>
      <c r="C23" s="84">
        <f t="shared" si="2"/>
        <v>0</v>
      </c>
      <c r="D23" s="74">
        <f t="shared" si="3"/>
        <v>2.5135869565217392E-2</v>
      </c>
      <c r="E23">
        <f>COUNTIF(tables_500100!C:C,input_500100!A23)-COUNTIF(Q:Q,A23)</f>
        <v>5</v>
      </c>
      <c r="F23" s="43">
        <f t="shared" si="8"/>
        <v>5.0271739130434787E-3</v>
      </c>
      <c r="G23">
        <f t="shared" si="4"/>
        <v>150312.5</v>
      </c>
      <c r="H23">
        <f t="shared" si="5"/>
        <v>30062.5</v>
      </c>
      <c r="I23">
        <f t="shared" si="6"/>
        <v>0.5</v>
      </c>
      <c r="J23">
        <f t="shared" si="7"/>
        <v>2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COUNTIF(tables_500100!C:C,input_500100!A24)-COUNTIF(Q:Q,A24)</f>
        <v>0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3.5190217391304353E-2</v>
      </c>
      <c r="C25" s="84">
        <f t="shared" si="2"/>
        <v>0</v>
      </c>
      <c r="D25" s="74">
        <f t="shared" si="3"/>
        <v>3.5190217391304353E-2</v>
      </c>
      <c r="E25">
        <f>COUNTIF(tables_500100!C:C,input_500100!A25)-COUNTIF(Q:Q,A25)</f>
        <v>1</v>
      </c>
      <c r="F25" s="43">
        <f t="shared" si="8"/>
        <v>3.5190217391304353E-2</v>
      </c>
      <c r="G25">
        <f t="shared" si="4"/>
        <v>210437.50000000003</v>
      </c>
      <c r="H25">
        <f t="shared" si="5"/>
        <v>210437.5</v>
      </c>
      <c r="I25">
        <f t="shared" si="6"/>
        <v>0.5</v>
      </c>
      <c r="J25">
        <f t="shared" si="7"/>
        <v>2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5.0271739130434787E-3</v>
      </c>
      <c r="C26" s="84">
        <f t="shared" si="2"/>
        <v>0</v>
      </c>
      <c r="D26" s="74">
        <f t="shared" si="3"/>
        <v>5.0271739130434787E-3</v>
      </c>
      <c r="E26">
        <f>COUNTIF(tables_500100!C:C,input_500100!A26)-COUNTIF(Q:Q,A26)</f>
        <v>1</v>
      </c>
      <c r="F26" s="43">
        <f t="shared" si="8"/>
        <v>5.0271739130434787E-3</v>
      </c>
      <c r="G26">
        <f t="shared" si="4"/>
        <v>30062.500000000004</v>
      </c>
      <c r="H26">
        <f t="shared" si="5"/>
        <v>30062.5</v>
      </c>
      <c r="I26">
        <f t="shared" si="6"/>
        <v>0.5</v>
      </c>
      <c r="J26">
        <f t="shared" si="7"/>
        <v>2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2.5913461538461538E-2</v>
      </c>
      <c r="C27" s="84">
        <f t="shared" si="2"/>
        <v>0</v>
      </c>
      <c r="D27" s="74">
        <f t="shared" si="3"/>
        <v>2.5913461538461538E-2</v>
      </c>
      <c r="E27">
        <f>COUNTIF(tables_500100!C:C,input_500100!A27)-COUNTIF(Q:Q,A27)</f>
        <v>7</v>
      </c>
      <c r="F27" s="43">
        <f>IFERROR(B27/E27,0)</f>
        <v>3.701923076923077E-3</v>
      </c>
      <c r="G27">
        <f t="shared" si="4"/>
        <v>154962.5</v>
      </c>
      <c r="H27">
        <f t="shared" si="5"/>
        <v>22137.5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3.7019230769230766E-3</v>
      </c>
      <c r="C28" s="84">
        <f t="shared" si="2"/>
        <v>0</v>
      </c>
      <c r="D28" s="74">
        <f t="shared" si="3"/>
        <v>3.7019230769230766E-3</v>
      </c>
      <c r="E28">
        <f>COUNTIF(tables_500100!C:C,input_500100!A28)-COUNTIF(Q:Q,A28)</f>
        <v>7</v>
      </c>
      <c r="F28" s="43">
        <f t="shared" si="8"/>
        <v>5.2884615384615383E-4</v>
      </c>
      <c r="G28">
        <f t="shared" si="4"/>
        <v>22137.499999999996</v>
      </c>
      <c r="H28">
        <f t="shared" si="5"/>
        <v>3162.5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E$5*E29-G49</f>
        <v>4.5384615384134283E-2</v>
      </c>
      <c r="C29" s="84">
        <f t="shared" si="2"/>
        <v>0</v>
      </c>
      <c r="D29" s="74">
        <f t="shared" si="3"/>
        <v>4.5384615384134283E-2</v>
      </c>
      <c r="E29">
        <f>COUNTIF(tables_500100!C:C,input_500100!A29)-COUNTIF(Q:Q,A29)</f>
        <v>10</v>
      </c>
      <c r="F29" s="43">
        <f t="shared" si="8"/>
        <v>4.5384615384134281E-3</v>
      </c>
      <c r="G29">
        <f t="shared" si="4"/>
        <v>271399.99999712303</v>
      </c>
      <c r="H29">
        <f t="shared" si="5"/>
        <v>27140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2.5000000000000001E-3</v>
      </c>
      <c r="D30" s="74">
        <f t="shared" si="3"/>
        <v>-2.5000000000000001E-3</v>
      </c>
      <c r="E30">
        <f>COUNTIF(tables_500100!C:C,input_500100!A30)-COUNTIF(Q:Q,A30)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4">
        <f t="shared" si="2"/>
        <v>1.7500000000000002E-2</v>
      </c>
      <c r="D31" s="74">
        <f t="shared" si="3"/>
        <v>-1.7500000000000002E-2</v>
      </c>
      <c r="E31">
        <f>COUNTIF(tables_500100!C:C,input_500100!A31)-COUNTIF(Q:Q,A31)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0.98000000000395271</v>
      </c>
      <c r="C32" s="41">
        <f>SUM(C19:C31)</f>
        <v>0.02</v>
      </c>
      <c r="D32" s="42">
        <f t="shared" si="3"/>
        <v>0.96000000000395269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1.7102842809364582E-2</v>
      </c>
      <c r="F34" s="55"/>
    </row>
    <row r="35" spans="1:7" x14ac:dyDescent="0.15">
      <c r="A35" t="s">
        <v>73</v>
      </c>
      <c r="E35">
        <v>1.7499999996047455E-2</v>
      </c>
    </row>
    <row r="36" spans="1:7" x14ac:dyDescent="0.15">
      <c r="A36" s="31">
        <f>LCM(F5-I5,F6-I6)*1000*2*2*5</f>
        <v>5980000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>SUMIF(tables_500100!C:C,input_500100!A40,tables_500100!O:O)</f>
        <v>0</v>
      </c>
      <c r="C40" s="54">
        <f t="shared" ref="C40:C46" ca="1" si="9">B40/B$47</f>
        <v>0</v>
      </c>
      <c r="E40">
        <v>3</v>
      </c>
      <c r="F40">
        <f>SUMIF(tables_500100!J:J,input_500100!E40,tables_500100!O:O)</f>
        <v>0</v>
      </c>
      <c r="G40">
        <f>F40/A36</f>
        <v>0</v>
      </c>
    </row>
    <row r="41" spans="1:7" x14ac:dyDescent="0.15">
      <c r="A41" s="33" t="s">
        <v>104</v>
      </c>
      <c r="B41">
        <f ca="1">SUMIF(tables_500100!C:C,input_500100!A41,tables_500100!O:O)</f>
        <v>2616087.5</v>
      </c>
      <c r="C41" s="54">
        <f t="shared" ca="1" si="9"/>
        <v>0.88317930538836287</v>
      </c>
      <c r="E41">
        <v>4</v>
      </c>
      <c r="F41">
        <f ca="1">SUMIF(tables_500100!J:J,input_500100!E41,tables_500100!O:O)</f>
        <v>5232500</v>
      </c>
      <c r="G41">
        <f ca="1">F41/A36</f>
        <v>0.875</v>
      </c>
    </row>
    <row r="42" spans="1:7" x14ac:dyDescent="0.15">
      <c r="A42" s="33" t="s">
        <v>106</v>
      </c>
      <c r="B42">
        <f ca="1">SUMIF(tables_500100!C:C,input_500100!A42,tables_500100!O:O)</f>
        <v>154962.5</v>
      </c>
      <c r="C42" s="54">
        <f t="shared" ca="1" si="9"/>
        <v>5.2314638983307779E-2</v>
      </c>
      <c r="E42">
        <v>5</v>
      </c>
      <c r="F42">
        <f ca="1">SUMIF(tables_500100!J:J,input_500100!E42,tables_500100!O:O)</f>
        <v>747500.00003</v>
      </c>
      <c r="G42">
        <f ca="1">F42/A36</f>
        <v>0.12500000000501671</v>
      </c>
    </row>
    <row r="43" spans="1:7" x14ac:dyDescent="0.15">
      <c r="A43" s="33" t="s">
        <v>109</v>
      </c>
      <c r="B43">
        <f>SUMIF(tables_500100!C:C,input_500100!A43,tables_500100!O:O)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SUMIF(tables_500100!C:C,input_500100!A44,tables_500100!O:O)</f>
        <v>168937.50003000002</v>
      </c>
      <c r="C44" s="54">
        <f t="shared" ca="1" si="9"/>
        <v>5.7032535773571015E-2</v>
      </c>
      <c r="E44" t="s">
        <v>54</v>
      </c>
      <c r="F44" s="55"/>
    </row>
    <row r="45" spans="1:7" x14ac:dyDescent="0.15">
      <c r="A45" s="33" t="s">
        <v>107</v>
      </c>
      <c r="B45">
        <f ca="1">SUMIF(tables_500100!C:C,input_500100!A45,tables_500100!O:O)</f>
        <v>22137.5</v>
      </c>
      <c r="C45" s="54">
        <f t="shared" ca="1" si="9"/>
        <v>7.4735198547582543E-3</v>
      </c>
      <c r="E45" t="s">
        <v>204</v>
      </c>
      <c r="F45" s="55">
        <f ca="1">SUMIF(tables_500100!I:I,input_500100!E45,tables_500100!P:P)</f>
        <v>0.2432169732429271</v>
      </c>
    </row>
    <row r="46" spans="1:7" x14ac:dyDescent="0.15">
      <c r="A46" s="33" t="s">
        <v>108</v>
      </c>
      <c r="B46">
        <f>SUMIF(tables_500100!C:C,input_500100!A46,tables_500100!O:O)</f>
        <v>0</v>
      </c>
      <c r="C46" s="54">
        <f t="shared" ca="1" si="9"/>
        <v>0</v>
      </c>
      <c r="E46" t="s">
        <v>205</v>
      </c>
      <c r="F46" s="55">
        <f ca="1">SUMIF(tables_500100!I:I,input_500100!E46,tables_500100!P:P)</f>
        <v>0.18351685104255766</v>
      </c>
    </row>
    <row r="47" spans="1:7" x14ac:dyDescent="0.15">
      <c r="A47" s="39" t="s">
        <v>59</v>
      </c>
      <c r="B47">
        <f ca="1">SUM(B40:B46)</f>
        <v>2962125.0000300002</v>
      </c>
      <c r="C47" s="55">
        <f ca="1">SUM(C40:C46)</f>
        <v>1</v>
      </c>
      <c r="E47" t="s">
        <v>206</v>
      </c>
      <c r="F47" s="55">
        <f ca="1">SUMIF(tables_500100!I:I,input_500100!E47,tables_500100!P:P)</f>
        <v>0.47826617571499208</v>
      </c>
    </row>
    <row r="48" spans="1:7" x14ac:dyDescent="0.15">
      <c r="E48" t="s">
        <v>207</v>
      </c>
      <c r="F48" s="55">
        <f ca="1">SUMIF(tables_500100!I:I,input_500100!E48,tables_500100!P:P)</f>
        <v>6.5923076922746238E-2</v>
      </c>
    </row>
    <row r="49" spans="5:7" x14ac:dyDescent="0.15">
      <c r="E49" t="s">
        <v>250</v>
      </c>
      <c r="F49" s="55">
        <f ca="1">SUMIF(tables_500100!I:I,input_500100!E49,tables_500100!P:P)</f>
        <v>9.0769230768775432E-3</v>
      </c>
      <c r="G49">
        <v>-3.076923076441973E-3</v>
      </c>
    </row>
  </sheetData>
  <phoneticPr fontId="20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72"/>
  <sheetViews>
    <sheetView showGridLines="0" zoomScale="75" zoomScaleNormal="75" zoomScalePageLayoutView="75" workbookViewId="0">
      <pane ySplit="1" topLeftCell="A56" activePane="bottomLeft" state="frozen"/>
      <selection activeCell="D34" sqref="D34"/>
      <selection pane="bottomLeft" activeCell="B68" sqref="B68:B7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input_500100!A$2</f>
        <v>500100</v>
      </c>
      <c r="B2" s="6">
        <v>129</v>
      </c>
      <c r="C2" s="7" t="str">
        <f t="shared" ref="C2:C65" si="0">D2&amp;J2&amp;E2&amp;F2&amp;G2</f>
        <v>PremiumW4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孤高の狼憑き アマラ</v>
      </c>
      <c r="I2" s="7" t="str">
        <f>VLOOKUP(B2,[1]characters!$A:$J,10,FALSE)</f>
        <v>PremiumW</v>
      </c>
      <c r="J2" s="7">
        <f>VLOOKUP(B2,[1]characters!$A:$I,9,FALSE)</f>
        <v>4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IFERROR(VLOOKUP(B2,input_500100!L:R,7,FALSE),VLOOKUP(tables_500100!C2,input_500100!A:H,8,FALSE))</f>
        <v>284875</v>
      </c>
      <c r="P2" s="46">
        <f t="shared" ref="P2:P33" ca="1" si="1">O2/SUM(O:O)</f>
        <v>4.7637959865981766E-2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input_500100!A$2</f>
        <v>500100</v>
      </c>
      <c r="B3" s="6">
        <v>137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清福の仕立屋 チハヤ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green</v>
      </c>
      <c r="L3" s="7" t="str">
        <f>VLOOKUP(B3,[1]characters!$A:$K,11,FALSE)</f>
        <v>balance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IFERROR(VLOOKUP(B3,input_500100!L:R,7,FALSE),VLOOKUP(tables_500100!C3,input_500100!A:H,8,FALSE))</f>
        <v>284875</v>
      </c>
      <c r="P3" s="46">
        <f t="shared" ca="1" si="1"/>
        <v>4.7637959865981766E-2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input_500100!A$2</f>
        <v>500100</v>
      </c>
      <c r="B4" s="6">
        <v>145</v>
      </c>
      <c r="C4" s="7" t="str">
        <f t="shared" si="0"/>
        <v>PremiumW4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魔性妖艶 かぐや</v>
      </c>
      <c r="I4" s="7" t="str">
        <f>VLOOKUP(B4,[1]characters!$A:$J,10,FALSE)</f>
        <v>PremiumW</v>
      </c>
      <c r="J4" s="7">
        <f>VLOOKUP(B4,[1]characters!$A:$I,9,FALSE)</f>
        <v>4</v>
      </c>
      <c r="K4" s="7" t="str">
        <f>VLOOKUP(B4,[1]characters!$A:$H,8,FALSE)</f>
        <v>green</v>
      </c>
      <c r="L4" s="7" t="str">
        <f>VLOOKUP(B4,[1]characters!$A:$K,11,FALSE)</f>
        <v>hp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IFERROR(VLOOKUP(B4,input_500100!L:R,7,FALSE),VLOOKUP(tables_500100!C4,input_500100!A:H,8,FALSE))</f>
        <v>284875</v>
      </c>
      <c r="P4" s="46">
        <f t="shared" ca="1" si="1"/>
        <v>4.7637959865981766E-2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input_500100!A$2</f>
        <v>500100</v>
      </c>
      <c r="B5" s="6">
        <v>153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拳聖ランラン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heal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IFERROR(VLOOKUP(B5,input_500100!L:R,7,FALSE),VLOOKUP(tables_500100!C5,input_500100!A:H,8,FALSE))</f>
        <v>284875</v>
      </c>
      <c r="P5" s="46">
        <f t="shared" ca="1" si="1"/>
        <v>4.7637959865981766E-2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input_500100!A$2</f>
        <v>500100</v>
      </c>
      <c r="B6" s="6">
        <v>161</v>
      </c>
      <c r="C6" s="7" t="str">
        <f t="shared" si="0"/>
        <v>PremiumW4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咆哮の先導者 クリエ</v>
      </c>
      <c r="I6" s="7" t="str">
        <f>VLOOKUP(B6,[1]characters!$A:$J,10,FALSE)</f>
        <v>PremiumW</v>
      </c>
      <c r="J6" s="7">
        <f>VLOOKUP(B6,[1]characters!$A:$I,9,FALSE)</f>
        <v>4</v>
      </c>
      <c r="K6" s="7" t="str">
        <f>VLOOKUP(B6,[1]characters!$A:$H,8,FALSE)</f>
        <v>green</v>
      </c>
      <c r="L6" s="7" t="str">
        <f>VLOOKUP(B6,[1]characters!$A:$K,11,FALSE)</f>
        <v>balance</v>
      </c>
      <c r="M6" s="7" t="str">
        <f>VLOOKUP(B6,[1]characters!$A:$M,13,FALSE)</f>
        <v>human</v>
      </c>
      <c r="N6" s="7" t="str">
        <f>VLOOKUP(B6,[1]characters!$A:$G,7,FALSE)</f>
        <v>女性</v>
      </c>
      <c r="O6" s="45">
        <f ca="1">IFERROR(VLOOKUP(B6,input_500100!L:R,7,FALSE),VLOOKUP(tables_500100!C6,input_500100!A:H,8,FALSE))</f>
        <v>284875</v>
      </c>
      <c r="P6" s="46">
        <f t="shared" ca="1" si="1"/>
        <v>4.7637959865981766E-2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input_500100!A$2</f>
        <v>500100</v>
      </c>
      <c r="B7" s="6">
        <v>170</v>
      </c>
      <c r="C7" s="7" t="str">
        <f t="shared" si="0"/>
        <v>Premium4R6release</v>
      </c>
      <c r="D7" s="7" t="str">
        <f t="shared" si="2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>R6release</v>
      </c>
      <c r="G7" s="7"/>
      <c r="H7" s="7" t="str">
        <f>VLOOKUP(B7,[1]characters!$A:$C,3,FALSE)</f>
        <v>識徒 オセ</v>
      </c>
      <c r="I7" s="7" t="str">
        <f>VLOOKUP(B7,[1]characters!$A:$J,10,FALSE)</f>
        <v>PremiumN</v>
      </c>
      <c r="J7" s="7">
        <f>VLOOKUP(B7,[1]characters!$A:$I,9,FALSE)</f>
        <v>4</v>
      </c>
      <c r="K7" s="7" t="str">
        <f>VLOOKUP(B7,[1]characters!$A:$H,8,FALSE)</f>
        <v>green</v>
      </c>
      <c r="L7" s="7" t="str">
        <f>VLOOKUP(B7,[1]characters!$A:$K,11,FALSE)</f>
        <v>attack</v>
      </c>
      <c r="M7" s="7" t="str">
        <f>VLOOKUP(B7,[1]characters!$A:$M,13,FALSE)</f>
        <v>god</v>
      </c>
      <c r="N7" s="7" t="str">
        <f>VLOOKUP(B7,[1]characters!$A:$G,7,FALSE)</f>
        <v>女性</v>
      </c>
      <c r="O7" s="45">
        <f ca="1">IFERROR(VLOOKUP(B7,input_500100!L:R,7,FALSE),VLOOKUP(tables_500100!C7,input_500100!A:H,8,FALSE))</f>
        <v>210437.5</v>
      </c>
      <c r="P7" s="46">
        <f t="shared" ca="1" si="1"/>
        <v>3.519021739112782E-2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input_500100!A$2</f>
        <v>500100</v>
      </c>
      <c r="B8" s="6">
        <v>171</v>
      </c>
      <c r="C8" s="7" t="str">
        <f t="shared" si="0"/>
        <v>Premium5R6release</v>
      </c>
      <c r="D8" s="7" t="str">
        <f t="shared" si="2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>R6release</v>
      </c>
      <c r="G8" s="7"/>
      <c r="H8" s="7" t="str">
        <f>VLOOKUP(B8,[1]characters!$A:$C,3,FALSE)</f>
        <v>精解の預知者 オセ</v>
      </c>
      <c r="I8" s="7" t="str">
        <f>VLOOKUP(B8,[1]characters!$A:$J,10,FALSE)</f>
        <v>PremiumN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attack</v>
      </c>
      <c r="M8" s="7" t="str">
        <f>VLOOKUP(B8,[1]characters!$A:$M,13,FALSE)</f>
        <v>god</v>
      </c>
      <c r="N8" s="7" t="str">
        <f>VLOOKUP(B8,[1]characters!$A:$G,7,FALSE)</f>
        <v>女性</v>
      </c>
      <c r="O8" s="45">
        <f ca="1">IFERROR(VLOOKUP(B8,input_500100!L:R,7,FALSE),VLOOKUP(tables_500100!C8,input_500100!A:H,8,FALSE))</f>
        <v>30062.5</v>
      </c>
      <c r="P8" s="46">
        <f t="shared" ca="1" si="1"/>
        <v>5.0271739130182602E-3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input_500100!A$2</f>
        <v>500100</v>
      </c>
      <c r="B9" s="6">
        <v>182</v>
      </c>
      <c r="C9" s="7" t="str">
        <f t="shared" si="0"/>
        <v>Premium4</v>
      </c>
      <c r="D9" s="7" t="str">
        <f t="shared" si="2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放蕩者 ベヒモス</v>
      </c>
      <c r="I9" s="7" t="str">
        <f>VLOOKUP(B9,[1]characters!$A:$J,10,FALSE)</f>
        <v>PremiumN</v>
      </c>
      <c r="J9" s="7">
        <f>VLOOKUP(B9,[1]characters!$A:$I,9,FALSE)</f>
        <v>4</v>
      </c>
      <c r="K9" s="7" t="str">
        <f>VLOOKUP(B9,[1]characters!$A:$H,8,FALSE)</f>
        <v>green</v>
      </c>
      <c r="L9" s="7" t="str">
        <f>VLOOKUP(B9,[1]characters!$A:$K,11,FALSE)</f>
        <v>hp</v>
      </c>
      <c r="M9" s="7" t="str">
        <f>VLOOKUP(B9,[1]characters!$A:$M,13,FALSE)</f>
        <v>animal</v>
      </c>
      <c r="N9" s="7" t="str">
        <f>VLOOKUP(B9,[1]characters!$A:$G,7,FALSE)</f>
        <v>女性</v>
      </c>
      <c r="O9" s="45">
        <f ca="1">IFERROR(VLOOKUP(B9,input_500100!L:R,7,FALSE),VLOOKUP(tables_500100!C9,input_500100!A:H,8,FALSE))</f>
        <v>201237.5</v>
      </c>
      <c r="P9" s="46">
        <f t="shared" ca="1" si="1"/>
        <v>3.3651755852673999E-2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input_500100!A$2</f>
        <v>500100</v>
      </c>
      <c r="B10" s="6">
        <v>183</v>
      </c>
      <c r="C10" s="7" t="str">
        <f t="shared" si="0"/>
        <v>Premium5</v>
      </c>
      <c r="D10" s="7" t="str">
        <f t="shared" si="2"/>
        <v>Premium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鈍重な彷徨者 ベヒモス</v>
      </c>
      <c r="I10" s="7" t="str">
        <f>VLOOKUP(B10,[1]characters!$A:$J,10,FALSE)</f>
        <v>PremiumN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hp</v>
      </c>
      <c r="M10" s="7" t="str">
        <f>VLOOKUP(B10,[1]characters!$A:$M,13,FALSE)</f>
        <v>animal</v>
      </c>
      <c r="N10" s="7" t="str">
        <f>VLOOKUP(B10,[1]characters!$A:$G,7,FALSE)</f>
        <v>女性</v>
      </c>
      <c r="O10" s="45">
        <f ca="1">IFERROR(VLOOKUP(B10,input_500100!L:R,7,FALSE),VLOOKUP(tables_500100!C10,input_500100!A:H,8,FALSE))</f>
        <v>12995.19231</v>
      </c>
      <c r="P10" s="46">
        <f t="shared" ca="1" si="1"/>
        <v>2.1731090819288985E-3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input_500100!A$2</f>
        <v>500100</v>
      </c>
      <c r="B11" s="6">
        <v>194</v>
      </c>
      <c r="C11" s="7" t="str">
        <f t="shared" si="0"/>
        <v>Premium4</v>
      </c>
      <c r="D11" s="7" t="str">
        <f t="shared" si="2"/>
        <v>Premium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スナイパー ロビンフッド</v>
      </c>
      <c r="I11" s="7" t="str">
        <f>VLOOKUP(B11,[1]characters!$A:$J,10,FALSE)</f>
        <v>PremiumN</v>
      </c>
      <c r="J11" s="7">
        <f>VLOOKUP(B11,[1]characters!$A:$I,9,FALSE)</f>
        <v>4</v>
      </c>
      <c r="K11" s="7" t="str">
        <f>VLOOKUP(B11,[1]characters!$A:$H,8,FALSE)</f>
        <v>green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IFERROR(VLOOKUP(B11,input_500100!L:R,7,FALSE),VLOOKUP(tables_500100!C11,input_500100!A:H,8,FALSE))</f>
        <v>201237.5</v>
      </c>
      <c r="P11" s="46">
        <f t="shared" ca="1" si="1"/>
        <v>3.3651755852673999E-2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input_500100!A$2</f>
        <v>500100</v>
      </c>
      <c r="B12" s="8">
        <v>195</v>
      </c>
      <c r="C12" s="7" t="str">
        <f t="shared" si="0"/>
        <v>Premium5</v>
      </c>
      <c r="D12" s="7" t="str">
        <f t="shared" si="2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グランドハンター ロビンフッド</v>
      </c>
      <c r="I12" s="7" t="str">
        <f>VLOOKUP(B12,[1]characters!$A:$J,10,FALSE)</f>
        <v>PremiumN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IFERROR(VLOOKUP(B12,input_500100!L:R,7,FALSE),VLOOKUP(tables_500100!C12,input_500100!A:H,8,FALSE))</f>
        <v>12995.19231</v>
      </c>
      <c r="P12" s="46">
        <f t="shared" ca="1" si="1"/>
        <v>2.1731090819288985E-3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input_500100!A$2</f>
        <v>500100</v>
      </c>
      <c r="B13" s="8">
        <v>206</v>
      </c>
      <c r="C13" s="7" t="str">
        <f t="shared" si="0"/>
        <v>Premium4</v>
      </c>
      <c r="D13" s="7" t="str">
        <f t="shared" si="2"/>
        <v>Premium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美神 アフロディーテ</v>
      </c>
      <c r="I13" s="7" t="str">
        <f>VLOOKUP(B13,[1]characters!$A:$J,10,FALSE)</f>
        <v>PremiumN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hp</v>
      </c>
      <c r="M13" s="7" t="str">
        <f>VLOOKUP(B13,[1]characters!$A:$M,13,FALSE)</f>
        <v>god</v>
      </c>
      <c r="N13" s="7" t="str">
        <f>VLOOKUP(B13,[1]characters!$A:$G,7,FALSE)</f>
        <v>女性</v>
      </c>
      <c r="O13" s="45">
        <f ca="1">IFERROR(VLOOKUP(B13,input_500100!L:R,7,FALSE),VLOOKUP(tables_500100!C13,input_500100!A:H,8,FALSE))</f>
        <v>201237.5</v>
      </c>
      <c r="P13" s="46">
        <f t="shared" ca="1" si="1"/>
        <v>3.3651755852673999E-2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input_500100!A$2</f>
        <v>500100</v>
      </c>
      <c r="B14" s="6">
        <v>207</v>
      </c>
      <c r="C14" s="7" t="str">
        <f t="shared" si="0"/>
        <v>Premium5</v>
      </c>
      <c r="D14" s="7" t="str">
        <f t="shared" si="2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豊穣の麗神・アフロディーテ</v>
      </c>
      <c r="I14" s="7" t="str">
        <f>VLOOKUP(B14,[1]characters!$A:$J,10,FALSE)</f>
        <v>PremiumN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hp</v>
      </c>
      <c r="M14" s="7" t="str">
        <f>VLOOKUP(B14,[1]characters!$A:$M,13,FALSE)</f>
        <v>god</v>
      </c>
      <c r="N14" s="7" t="str">
        <f>VLOOKUP(B14,[1]characters!$A:$G,7,FALSE)</f>
        <v>女性</v>
      </c>
      <c r="O14" s="45">
        <f ca="1">IFERROR(VLOOKUP(B14,input_500100!L:R,7,FALSE),VLOOKUP(tables_500100!C14,input_500100!A:H,8,FALSE))</f>
        <v>12995.19231</v>
      </c>
      <c r="P14" s="46">
        <f t="shared" ca="1" si="1"/>
        <v>2.1731090819288985E-3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input_500100!A$2</f>
        <v>500100</v>
      </c>
      <c r="B15" s="6">
        <v>218</v>
      </c>
      <c r="C15" s="7" t="str">
        <f t="shared" si="0"/>
        <v>Premium4</v>
      </c>
      <c r="D15" s="7" t="str">
        <f t="shared" si="2"/>
        <v>Premium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聖蛇 ケツァクアトル</v>
      </c>
      <c r="I15" s="7" t="str">
        <f>VLOOKUP(B15,[1]characters!$A:$J,10,FALSE)</f>
        <v>PremiumN</v>
      </c>
      <c r="J15" s="7">
        <f>VLOOKUP(B15,[1]characters!$A:$I,9,FALSE)</f>
        <v>4</v>
      </c>
      <c r="K15" s="7" t="str">
        <f>VLOOKUP(B15,[1]characters!$A:$H,8,FALSE)</f>
        <v>green</v>
      </c>
      <c r="L15" s="7" t="str">
        <f>VLOOKUP(B15,[1]characters!$A:$K,11,FALSE)</f>
        <v>hp</v>
      </c>
      <c r="M15" s="7" t="str">
        <f>VLOOKUP(B15,[1]characters!$A:$M,13,FALSE)</f>
        <v>dragon</v>
      </c>
      <c r="N15" s="7" t="str">
        <f>VLOOKUP(B15,[1]characters!$A:$G,7,FALSE)</f>
        <v>女性</v>
      </c>
      <c r="O15" s="45">
        <f ca="1">IFERROR(VLOOKUP(B15,input_500100!L:R,7,FALSE),VLOOKUP(tables_500100!C15,input_500100!A:H,8,FALSE))</f>
        <v>201237.5</v>
      </c>
      <c r="P15" s="46">
        <f t="shared" ca="1" si="1"/>
        <v>3.3651755852673999E-2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input_500100!A$2</f>
        <v>500100</v>
      </c>
      <c r="B16" s="10">
        <v>219</v>
      </c>
      <c r="C16" s="7" t="str">
        <f t="shared" si="0"/>
        <v>Premium5</v>
      </c>
      <c r="D16" s="7" t="str">
        <f t="shared" si="2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覇翼の聖蛇竜 ケツァクアトル</v>
      </c>
      <c r="I16" s="7" t="str">
        <f>VLOOKUP(B16,[1]characters!$A:$J,10,FALSE)</f>
        <v>PremiumN</v>
      </c>
      <c r="J16" s="7">
        <f>VLOOKUP(B16,[1]characters!$A:$I,9,FALSE)</f>
        <v>5</v>
      </c>
      <c r="K16" s="7" t="str">
        <f>VLOOKUP(B16,[1]characters!$A:$H,8,FALSE)</f>
        <v>green</v>
      </c>
      <c r="L16" s="7" t="str">
        <f>VLOOKUP(B16,[1]characters!$A:$K,11,FALSE)</f>
        <v>hp</v>
      </c>
      <c r="M16" s="7" t="str">
        <f>VLOOKUP(B16,[1]characters!$A:$M,13,FALSE)</f>
        <v>dragon</v>
      </c>
      <c r="N16" s="7" t="str">
        <f>VLOOKUP(B16,[1]characters!$A:$G,7,FALSE)</f>
        <v>女性</v>
      </c>
      <c r="O16" s="45">
        <f ca="1">IFERROR(VLOOKUP(B16,input_500100!L:R,7,FALSE),VLOOKUP(tables_500100!C16,input_500100!A:H,8,FALSE))</f>
        <v>12995.19231</v>
      </c>
      <c r="P16" s="46">
        <f t="shared" ca="1" si="1"/>
        <v>2.1731090819288985E-3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input_500100!A$2</f>
        <v>500100</v>
      </c>
      <c r="B17" s="11">
        <v>230</v>
      </c>
      <c r="C17" s="7" t="str">
        <f t="shared" si="0"/>
        <v>Premium4</v>
      </c>
      <c r="D17" s="7" t="str">
        <f t="shared" si="2"/>
        <v>Premium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毒銃 ヨルムンガンド</v>
      </c>
      <c r="I17" s="7" t="str">
        <f>VLOOKUP(B17,[1]characters!$A:$J,10,FALSE)</f>
        <v>PremiumS</v>
      </c>
      <c r="J17" s="7">
        <f>VLOOKUP(B17,[1]characters!$A:$I,9,FALSE)</f>
        <v>4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dragon</v>
      </c>
      <c r="N17" s="7" t="str">
        <f>VLOOKUP(B17,[1]characters!$A:$G,7,FALSE)</f>
        <v>女性</v>
      </c>
      <c r="O17" s="45">
        <f ca="1">IFERROR(VLOOKUP(B17,input_500100!L:R,7,FALSE),VLOOKUP(tables_500100!C17,input_500100!A:H,8,FALSE))</f>
        <v>201237.5</v>
      </c>
      <c r="P17" s="46">
        <f t="shared" ca="1" si="1"/>
        <v>3.3651755852673999E-2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input_500100!A$2</f>
        <v>500100</v>
      </c>
      <c r="B18" s="6">
        <v>231</v>
      </c>
      <c r="C18" s="7" t="str">
        <f t="shared" si="0"/>
        <v>Premium5</v>
      </c>
      <c r="D18" s="7" t="str">
        <f t="shared" si="2"/>
        <v>Premium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必中の咬銃 ヨルムンガンド</v>
      </c>
      <c r="I18" s="7" t="str">
        <f>VLOOKUP(B18,[1]characters!$A:$J,10,FALSE)</f>
        <v>PremiumS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technical</v>
      </c>
      <c r="M18" s="7" t="str">
        <f>VLOOKUP(B18,[1]characters!$A:$M,13,FALSE)</f>
        <v>dragon</v>
      </c>
      <c r="N18" s="7" t="str">
        <f>VLOOKUP(B18,[1]characters!$A:$G,7,FALSE)</f>
        <v>女性</v>
      </c>
      <c r="O18" s="45">
        <f ca="1">IFERROR(VLOOKUP(B18,input_500100!L:R,7,FALSE),VLOOKUP(tables_500100!C18,input_500100!A:H,8,FALSE))</f>
        <v>12995.19231</v>
      </c>
      <c r="P18" s="46">
        <f t="shared" ca="1" si="1"/>
        <v>2.1731090819288985E-3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input_500100!A$2</f>
        <v>500100</v>
      </c>
      <c r="B19" s="6">
        <v>242</v>
      </c>
      <c r="C19" s="7" t="str">
        <f t="shared" si="0"/>
        <v>Premium4</v>
      </c>
      <c r="D19" s="7" t="str">
        <f t="shared" si="2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百花の天使 ガブリエル</v>
      </c>
      <c r="I19" s="7" t="str">
        <f>VLOOKUP(B19,[1]characters!$A:$J,10,FALSE)</f>
        <v>PremiumS</v>
      </c>
      <c r="J19" s="7">
        <f>VLOOKUP(B19,[1]characters!$A:$I,9,FALSE)</f>
        <v>4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machine</v>
      </c>
      <c r="N19" s="7" t="str">
        <f>VLOOKUP(B19,[1]characters!$A:$G,7,FALSE)</f>
        <v>女性</v>
      </c>
      <c r="O19" s="45">
        <f ca="1">IFERROR(VLOOKUP(B19,input_500100!L:R,7,FALSE),VLOOKUP(tables_500100!C19,input_500100!A:H,8,FALSE))</f>
        <v>201237.5</v>
      </c>
      <c r="P19" s="46">
        <f t="shared" ca="1" si="1"/>
        <v>3.3651755852673999E-2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input_500100!A$2</f>
        <v>500100</v>
      </c>
      <c r="B20" s="10">
        <v>243</v>
      </c>
      <c r="C20" s="7" t="str">
        <f t="shared" si="0"/>
        <v>Premium5</v>
      </c>
      <c r="D20" s="7" t="str">
        <f t="shared" si="2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万花の天使 ガブリエル・ブルーム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balance</v>
      </c>
      <c r="M20" s="7" t="str">
        <f>VLOOKUP(B20,[1]characters!$A:$M,13,FALSE)</f>
        <v>machine</v>
      </c>
      <c r="N20" s="7" t="str">
        <f>VLOOKUP(B20,[1]characters!$A:$G,7,FALSE)</f>
        <v>女性</v>
      </c>
      <c r="O20" s="45">
        <f ca="1">IFERROR(VLOOKUP(B20,input_500100!L:R,7,FALSE),VLOOKUP(tables_500100!C20,input_500100!A:H,8,FALSE))</f>
        <v>12995.19231</v>
      </c>
      <c r="P20" s="46">
        <f t="shared" ca="1" si="1"/>
        <v>2.1731090819288985E-3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input_500100!A$2</f>
        <v>500100</v>
      </c>
      <c r="B21" s="6">
        <v>254</v>
      </c>
      <c r="C21" s="7" t="str">
        <f t="shared" si="0"/>
        <v>Premium4</v>
      </c>
      <c r="D21" s="7" t="str">
        <f t="shared" si="2"/>
        <v>Premium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怠惰 ベルフェゴール</v>
      </c>
      <c r="I21" s="7" t="str">
        <f>VLOOKUP(B21,[1]characters!$A:$J,10,FALSE)</f>
        <v>PremiumS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technical</v>
      </c>
      <c r="M21" s="7" t="str">
        <f>VLOOKUP(B21,[1]characters!$A:$M,13,FALSE)</f>
        <v>god</v>
      </c>
      <c r="N21" s="7" t="str">
        <f>VLOOKUP(B21,[1]characters!$A:$G,7,FALSE)</f>
        <v>女性</v>
      </c>
      <c r="O21" s="45">
        <f ca="1">IFERROR(VLOOKUP(B21,input_500100!L:R,7,FALSE),VLOOKUP(tables_500100!C21,input_500100!A:H,8,FALSE))</f>
        <v>201237.5</v>
      </c>
      <c r="P21" s="46">
        <f t="shared" ca="1" si="1"/>
        <v>3.3651755852673999E-2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input_500100!A$2</f>
        <v>500100</v>
      </c>
      <c r="B22" s="6">
        <v>255</v>
      </c>
      <c r="C22" s="7" t="str">
        <f t="shared" si="0"/>
        <v>Premium5</v>
      </c>
      <c r="D22" s="7" t="str">
        <f t="shared" si="2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怠惰の頂点 ベルフェゴール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technical</v>
      </c>
      <c r="M22" s="7" t="str">
        <f>VLOOKUP(B22,[1]characters!$A:$M,13,FALSE)</f>
        <v>god</v>
      </c>
      <c r="N22" s="7" t="str">
        <f>VLOOKUP(B22,[1]characters!$A:$G,7,FALSE)</f>
        <v>女性</v>
      </c>
      <c r="O22" s="45">
        <f ca="1">IFERROR(VLOOKUP(B22,input_500100!L:R,7,FALSE),VLOOKUP(tables_500100!C22,input_500100!A:H,8,FALSE))</f>
        <v>12995.19231</v>
      </c>
      <c r="P22" s="46">
        <f t="shared" ca="1" si="1"/>
        <v>2.1731090819288985E-3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input_500100!A$2</f>
        <v>500100</v>
      </c>
      <c r="B23" s="6">
        <v>322</v>
      </c>
      <c r="C23" s="7" t="str">
        <f t="shared" si="0"/>
        <v>PremiumSS4</v>
      </c>
      <c r="D23" s="7" t="str">
        <f t="shared" si="2"/>
        <v>PremiumSS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愛志士 土方歳三</v>
      </c>
      <c r="I23" s="7" t="str">
        <f>VLOOKUP(B23,[1]characters!$A:$J,10,FALSE)</f>
        <v>PremiumSS</v>
      </c>
      <c r="J23" s="7">
        <f>VLOOKUP(B23,[1]characters!$A:$I,9,FALSE)</f>
        <v>4</v>
      </c>
      <c r="K23" s="7" t="str">
        <f>VLOOKUP(B23,[1]characters!$A:$H,8,FALSE)</f>
        <v>green</v>
      </c>
      <c r="L23" s="7" t="str">
        <f>VLOOKUP(B23,[1]characters!$A:$K,11,FALSE)</f>
        <v>attack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IFERROR(VLOOKUP(B23,input_500100!L:R,7,FALSE),VLOOKUP(tables_500100!C23,input_500100!A:H,8,FALSE))</f>
        <v>22137.5</v>
      </c>
      <c r="P23" s="46">
        <f t="shared" ca="1" si="1"/>
        <v>3.7019230769045068E-3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input_500100!A$2</f>
        <v>500100</v>
      </c>
      <c r="B24" s="6">
        <v>323</v>
      </c>
      <c r="C24" s="7" t="str">
        <f t="shared" si="0"/>
        <v>PremiumSS5</v>
      </c>
      <c r="D24" s="7" t="str">
        <f t="shared" si="2"/>
        <v>PremiumSS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流麗の愛志士 土方歳三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green</v>
      </c>
      <c r="L24" s="7" t="str">
        <f>VLOOKUP(B24,[1]characters!$A:$K,11,FALSE)</f>
        <v>attack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IFERROR(VLOOKUP(B24,input_500100!L:R,7,FALSE),VLOOKUP(tables_500100!C24,input_500100!A:H,8,FALSE))</f>
        <v>3162.5</v>
      </c>
      <c r="P24" s="46">
        <f t="shared" ca="1" si="1"/>
        <v>5.2884615384350101E-4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input_500100!A$2</f>
        <v>500100</v>
      </c>
      <c r="B25" s="6">
        <v>383</v>
      </c>
      <c r="C25" s="7" t="str">
        <f t="shared" si="0"/>
        <v>PremiumSS4</v>
      </c>
      <c r="D25" s="7" t="str">
        <f t="shared" si="2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酒宴の蟒蛇 ヤマタノオロチ</v>
      </c>
      <c r="I25" s="7" t="str">
        <f>VLOOKUP(B25,[1]characters!$A:$J,10,FALSE)</f>
        <v>PremiumSS</v>
      </c>
      <c r="J25" s="7">
        <f>VLOOKUP(B25,[1]characters!$A:$I,9,FALSE)</f>
        <v>4</v>
      </c>
      <c r="K25" s="7" t="str">
        <f>VLOOKUP(B25,[1]characters!$A:$H,8,FALSE)</f>
        <v>green</v>
      </c>
      <c r="L25" s="7" t="str">
        <f>VLOOKUP(B25,[1]characters!$A:$K,11,FALSE)</f>
        <v>hp</v>
      </c>
      <c r="M25" s="7" t="str">
        <f>VLOOKUP(B25,[1]characters!$A:$M,13,FALSE)</f>
        <v>dragon</v>
      </c>
      <c r="N25" s="7" t="str">
        <f>VLOOKUP(B25,[1]characters!$A:$G,7,FALSE)</f>
        <v>女性</v>
      </c>
      <c r="O25" s="45">
        <f ca="1">IFERROR(VLOOKUP(B25,input_500100!L:R,7,FALSE),VLOOKUP(tables_500100!C25,input_500100!A:H,8,FALSE))</f>
        <v>22137.5</v>
      </c>
      <c r="P25" s="46">
        <f t="shared" ca="1" si="1"/>
        <v>3.7019230769045068E-3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input_500100!A$2</f>
        <v>500100</v>
      </c>
      <c r="B26" s="6">
        <v>384</v>
      </c>
      <c r="C26" s="7" t="str">
        <f t="shared" si="0"/>
        <v>PremiumSS5</v>
      </c>
      <c r="D26" s="7" t="str">
        <f t="shared" si="2"/>
        <v>PremiumSS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破国の呑龍 ヤマタノオロチ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hp</v>
      </c>
      <c r="M26" s="7" t="str">
        <f>VLOOKUP(B26,[1]characters!$A:$M,13,FALSE)</f>
        <v>dragon</v>
      </c>
      <c r="N26" s="7" t="str">
        <f>VLOOKUP(B26,[1]characters!$A:$G,7,FALSE)</f>
        <v>女性</v>
      </c>
      <c r="O26" s="45">
        <f ca="1">IFERROR(VLOOKUP(B26,input_500100!L:R,7,FALSE),VLOOKUP(tables_500100!C26,input_500100!A:H,8,FALSE))</f>
        <v>3162.5</v>
      </c>
      <c r="P26" s="46">
        <f t="shared" ca="1" si="1"/>
        <v>5.2884615384350101E-4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input_500100!A$2</f>
        <v>500100</v>
      </c>
      <c r="B27" s="6">
        <v>393</v>
      </c>
      <c r="C27" s="7" t="str">
        <f t="shared" si="0"/>
        <v>Premium4</v>
      </c>
      <c r="D27" s="7" t="str">
        <f t="shared" si="2"/>
        <v>Premium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影縫い ピーターパン</v>
      </c>
      <c r="I27" s="7" t="str">
        <f>VLOOKUP(B27,[1]characters!$A:$J,10,FALSE)</f>
        <v>PremiumS</v>
      </c>
      <c r="J27" s="7">
        <f>VLOOKUP(B27,[1]characters!$A:$I,9,FALSE)</f>
        <v>4</v>
      </c>
      <c r="K27" s="7" t="str">
        <f>VLOOKUP(B27,[1]characters!$A:$H,8,FALSE)</f>
        <v>green</v>
      </c>
      <c r="L27" s="7" t="str">
        <f>VLOOKUP(B27,[1]characters!$A:$K,11,FALSE)</f>
        <v>attack</v>
      </c>
      <c r="M27" s="7" t="str">
        <f>VLOOKUP(B27,[1]characters!$A:$M,13,FALSE)</f>
        <v>human</v>
      </c>
      <c r="N27" s="7" t="str">
        <f>VLOOKUP(B27,[1]characters!$A:$G,7,FALSE)</f>
        <v>男性</v>
      </c>
      <c r="O27" s="45">
        <f ca="1">IFERROR(VLOOKUP(B27,input_500100!L:R,7,FALSE),VLOOKUP(tables_500100!C27,input_500100!A:H,8,FALSE))</f>
        <v>201237.5</v>
      </c>
      <c r="P27" s="46">
        <f t="shared" ca="1" si="1"/>
        <v>3.3651755852673999E-2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input_500100!A$2</f>
        <v>500100</v>
      </c>
      <c r="B28" s="6">
        <v>394</v>
      </c>
      <c r="C28" s="7" t="str">
        <f t="shared" si="0"/>
        <v>Premium5</v>
      </c>
      <c r="D28" s="7" t="str">
        <f t="shared" si="2"/>
        <v>Premium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影求の悪童 ピーターパン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green</v>
      </c>
      <c r="L28" s="7" t="str">
        <f>VLOOKUP(B28,[1]characters!$A:$K,11,FALSE)</f>
        <v>attack</v>
      </c>
      <c r="M28" s="7" t="str">
        <f>VLOOKUP(B28,[1]characters!$A:$M,13,FALSE)</f>
        <v>human</v>
      </c>
      <c r="N28" s="7" t="str">
        <f>VLOOKUP(B28,[1]characters!$A:$G,7,FALSE)</f>
        <v>男性</v>
      </c>
      <c r="O28" s="45">
        <f ca="1">IFERROR(VLOOKUP(B28,input_500100!L:R,7,FALSE),VLOOKUP(tables_500100!C28,input_500100!A:H,8,FALSE))</f>
        <v>12995.19231</v>
      </c>
      <c r="P28" s="46">
        <f t="shared" ca="1" si="1"/>
        <v>2.1731090819288985E-3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input_500100!A$2</f>
        <v>500100</v>
      </c>
      <c r="B29" s="6">
        <v>403</v>
      </c>
      <c r="C29" s="7" t="str">
        <f t="shared" si="0"/>
        <v>PremiumSS4</v>
      </c>
      <c r="D29" s="7" t="str">
        <f t="shared" si="2"/>
        <v>PremiumSS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静撃の翠眼 八咫烏</v>
      </c>
      <c r="I29" s="7" t="str">
        <f>VLOOKUP(B29,[1]characters!$A:$J,10,FALSE)</f>
        <v>PremiumSS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balance</v>
      </c>
      <c r="M29" s="7" t="str">
        <f>VLOOKUP(B29,[1]characters!$A:$M,13,FALSE)</f>
        <v>animal</v>
      </c>
      <c r="N29" s="7" t="str">
        <f>VLOOKUP(B29,[1]characters!$A:$G,7,FALSE)</f>
        <v>女性</v>
      </c>
      <c r="O29" s="45">
        <f ca="1">IFERROR(VLOOKUP(B29,input_500100!L:R,7,FALSE),VLOOKUP(tables_500100!C29,input_500100!A:H,8,FALSE))</f>
        <v>22137.5</v>
      </c>
      <c r="P29" s="46">
        <f t="shared" ca="1" si="1"/>
        <v>3.7019230769045068E-3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input_500100!A$2</f>
        <v>500100</v>
      </c>
      <c r="B30" s="6">
        <v>404</v>
      </c>
      <c r="C30" s="7" t="str">
        <f t="shared" si="0"/>
        <v>PremiumSS5</v>
      </c>
      <c r="D30" s="7" t="str">
        <f t="shared" si="2"/>
        <v>PremiumSS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空襲の神眼 八咫烏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animal</v>
      </c>
      <c r="N30" s="7" t="str">
        <f>VLOOKUP(B30,[1]characters!$A:$G,7,FALSE)</f>
        <v>女性</v>
      </c>
      <c r="O30" s="45">
        <f ca="1">IFERROR(VLOOKUP(B30,input_500100!L:R,7,FALSE),VLOOKUP(tables_500100!C30,input_500100!A:H,8,FALSE))</f>
        <v>3162.5</v>
      </c>
      <c r="P30" s="46">
        <f t="shared" ca="1" si="1"/>
        <v>5.2884615384350101E-4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input_500100!A$2</f>
        <v>500100</v>
      </c>
      <c r="B31" s="6">
        <v>437</v>
      </c>
      <c r="C31" s="7" t="str">
        <f t="shared" si="0"/>
        <v>Premium4</v>
      </c>
      <c r="D31" s="7" t="str">
        <f t="shared" si="2"/>
        <v>Premium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忘却者 カカシ</v>
      </c>
      <c r="I31" s="7" t="str">
        <f>VLOOKUP(B31,[1]characters!$A:$J,10,FALSE)</f>
        <v>PremiumS</v>
      </c>
      <c r="J31" s="7">
        <f>VLOOKUP(B31,[1]characters!$A:$I,9,FALSE)</f>
        <v>4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human</v>
      </c>
      <c r="N31" s="7" t="str">
        <f>VLOOKUP(B31,[1]characters!$A:$G,7,FALSE)</f>
        <v>男性</v>
      </c>
      <c r="O31" s="45">
        <f ca="1">IFERROR(VLOOKUP(B31,input_500100!L:R,7,FALSE),VLOOKUP(tables_500100!C31,input_500100!A:H,8,FALSE))</f>
        <v>201237.5</v>
      </c>
      <c r="P31" s="46">
        <f t="shared" ca="1" si="1"/>
        <v>3.3651755852673999E-2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input_500100!A$2</f>
        <v>500100</v>
      </c>
      <c r="B32" s="6">
        <v>438</v>
      </c>
      <c r="C32" s="7" t="str">
        <f t="shared" si="0"/>
        <v>Premium5</v>
      </c>
      <c r="D32" s="7" t="str">
        <f t="shared" si="2"/>
        <v>Premium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記憶の奪還 カカシ</v>
      </c>
      <c r="I32" s="7" t="str">
        <f>VLOOKUP(B32,[1]characters!$A:$J,10,FALSE)</f>
        <v>PremiumS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technical</v>
      </c>
      <c r="M32" s="7" t="str">
        <f>VLOOKUP(B32,[1]characters!$A:$M,13,FALSE)</f>
        <v>human</v>
      </c>
      <c r="N32" s="7" t="str">
        <f>VLOOKUP(B32,[1]characters!$A:$G,7,FALSE)</f>
        <v>男性</v>
      </c>
      <c r="O32" s="45">
        <f ca="1">IFERROR(VLOOKUP(B32,input_500100!L:R,7,FALSE),VLOOKUP(tables_500100!C32,input_500100!A:H,8,FALSE))</f>
        <v>12995.19231</v>
      </c>
      <c r="P32" s="46">
        <f t="shared" ca="1" si="1"/>
        <v>2.1731090819288985E-3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input_500100!A$2</f>
        <v>500100</v>
      </c>
      <c r="B33" s="6">
        <v>465</v>
      </c>
      <c r="C33" s="7" t="str">
        <f t="shared" si="0"/>
        <v>PremiumSS4</v>
      </c>
      <c r="D33" s="7" t="str">
        <f t="shared" si="2"/>
        <v>PremiumSS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真撃 ランスロット</v>
      </c>
      <c r="I33" s="7" t="str">
        <f>VLOOKUP(B33,[1]characters!$A:$J,10,FALSE)</f>
        <v>PremiumSS</v>
      </c>
      <c r="J33" s="7">
        <f>VLOOKUP(B33,[1]characters!$A:$I,9,FALSE)</f>
        <v>4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human</v>
      </c>
      <c r="N33" s="7" t="str">
        <f>VLOOKUP(B33,[1]characters!$A:$G,7,FALSE)</f>
        <v>男性</v>
      </c>
      <c r="O33" s="45">
        <f ca="1">IFERROR(VLOOKUP(B33,input_500100!L:R,7,FALSE),VLOOKUP(tables_500100!C33,input_500100!A:H,8,FALSE))</f>
        <v>22137.5</v>
      </c>
      <c r="P33" s="46">
        <f t="shared" ca="1" si="1"/>
        <v>3.7019230769045068E-3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input_500100!A$2</f>
        <v>500100</v>
      </c>
      <c r="B34" s="6">
        <v>466</v>
      </c>
      <c r="C34" s="7" t="str">
        <f t="shared" si="0"/>
        <v>PremiumSS5</v>
      </c>
      <c r="D34" s="7" t="str">
        <f t="shared" si="2"/>
        <v>PremiumSS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真断の勇覇 ランスロット</v>
      </c>
      <c r="I34" s="7" t="str">
        <f>VLOOKUP(B34,[1]characters!$A:$J,10,FALSE)</f>
        <v>PremiumSS</v>
      </c>
      <c r="J34" s="7">
        <f>VLOOKUP(B34,[1]characters!$A:$I,9,FALSE)</f>
        <v>5</v>
      </c>
      <c r="K34" s="7" t="str">
        <f>VLOOKUP(B34,[1]characters!$A:$H,8,FALSE)</f>
        <v>green</v>
      </c>
      <c r="L34" s="7" t="str">
        <f>VLOOKUP(B34,[1]characters!$A:$K,11,FALSE)</f>
        <v>balance</v>
      </c>
      <c r="M34" s="7" t="str">
        <f>VLOOKUP(B34,[1]characters!$A:$M,13,FALSE)</f>
        <v>human</v>
      </c>
      <c r="N34" s="7" t="str">
        <f>VLOOKUP(B34,[1]characters!$A:$G,7,FALSE)</f>
        <v>男性</v>
      </c>
      <c r="O34" s="45">
        <f ca="1">IFERROR(VLOOKUP(B34,input_500100!L:R,7,FALSE),VLOOKUP(tables_500100!C34,input_500100!A:H,8,FALSE))</f>
        <v>3162.5</v>
      </c>
      <c r="P34" s="46">
        <f t="shared" ref="P34:P65" ca="1" si="3">O34/SUM(O:O)</f>
        <v>5.2884615384350101E-4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input_500100!A$2</f>
        <v>500100</v>
      </c>
      <c r="B35" s="6">
        <v>477</v>
      </c>
      <c r="C35" s="7" t="str">
        <f t="shared" si="0"/>
        <v>Premium4</v>
      </c>
      <c r="D35" s="7" t="str">
        <f t="shared" si="2"/>
        <v>Premium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愛羽妖精 ファータ</v>
      </c>
      <c r="I35" s="7" t="str">
        <f>VLOOKUP(B35,[1]characters!$A:$J,10,FALSE)</f>
        <v>PremiumS</v>
      </c>
      <c r="J35" s="7">
        <f>VLOOKUP(B35,[1]characters!$A:$I,9,FALSE)</f>
        <v>4</v>
      </c>
      <c r="K35" s="7" t="str">
        <f>VLOOKUP(B35,[1]characters!$A:$H,8,FALSE)</f>
        <v>green</v>
      </c>
      <c r="L35" s="7" t="str">
        <f>VLOOKUP(B35,[1]characters!$A:$K,11,FALSE)</f>
        <v>heal</v>
      </c>
      <c r="M35" s="7" t="str">
        <f>VLOOKUP(B35,[1]characters!$A:$M,13,FALSE)</f>
        <v>unknown</v>
      </c>
      <c r="N35" s="7" t="str">
        <f>VLOOKUP(B35,[1]characters!$A:$G,7,FALSE)</f>
        <v>女性</v>
      </c>
      <c r="O35" s="45">
        <f ca="1">IFERROR(VLOOKUP(B35,input_500100!L:R,7,FALSE),VLOOKUP(tables_500100!C35,input_500100!A:H,8,FALSE))</f>
        <v>201237.5</v>
      </c>
      <c r="P35" s="46">
        <f t="shared" ca="1" si="3"/>
        <v>3.3651755852673999E-2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input_500100!A$2</f>
        <v>500100</v>
      </c>
      <c r="B36" s="6">
        <v>478</v>
      </c>
      <c r="C36" s="7" t="str">
        <f t="shared" si="0"/>
        <v>Premium5</v>
      </c>
      <c r="D36" s="7" t="str">
        <f t="shared" si="2"/>
        <v>Premium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時計仕掛けの愛羽妖精 ファータ</v>
      </c>
      <c r="I36" s="7" t="str">
        <f>VLOOKUP(B36,[1]characters!$A:$J,10,FALSE)</f>
        <v>PremiumS</v>
      </c>
      <c r="J36" s="7">
        <f>VLOOKUP(B36,[1]characters!$A:$I,9,FALSE)</f>
        <v>5</v>
      </c>
      <c r="K36" s="7" t="str">
        <f>VLOOKUP(B36,[1]characters!$A:$H,8,FALSE)</f>
        <v>green</v>
      </c>
      <c r="L36" s="7" t="str">
        <f>VLOOKUP(B36,[1]characters!$A:$K,11,FALSE)</f>
        <v>heal</v>
      </c>
      <c r="M36" s="7" t="str">
        <f>VLOOKUP(B36,[1]characters!$A:$M,13,FALSE)</f>
        <v>unknown</v>
      </c>
      <c r="N36" s="7" t="str">
        <f>VLOOKUP(B36,[1]characters!$A:$G,7,FALSE)</f>
        <v>女性</v>
      </c>
      <c r="O36" s="45">
        <f ca="1">IFERROR(VLOOKUP(B36,input_500100!L:R,7,FALSE),VLOOKUP(tables_500100!C36,input_500100!A:H,8,FALSE))</f>
        <v>12995.19231</v>
      </c>
      <c r="P36" s="46">
        <f t="shared" ca="1" si="3"/>
        <v>2.1731090819288985E-3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input_500100!A$2</f>
        <v>500100</v>
      </c>
      <c r="B37" s="6">
        <v>494</v>
      </c>
      <c r="C37" s="7" t="str">
        <f t="shared" si="0"/>
        <v>PremiumSS4</v>
      </c>
      <c r="D37" s="7" t="str">
        <f t="shared" si="2"/>
        <v>PremiumSS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ハーメルン</v>
      </c>
      <c r="I37" s="7" t="str">
        <f>VLOOKUP(B37,[1]characters!$A:$J,10,FALSE)</f>
        <v>PremiumSS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technical</v>
      </c>
      <c r="M37" s="7" t="str">
        <f>VLOOKUP(B37,[1]characters!$A:$M,13,FALSE)</f>
        <v>human</v>
      </c>
      <c r="N37" s="7" t="str">
        <f>VLOOKUP(B37,[1]characters!$A:$G,7,FALSE)</f>
        <v>男性</v>
      </c>
      <c r="O37" s="45">
        <f ca="1">IFERROR(VLOOKUP(B37,input_500100!L:R,7,FALSE),VLOOKUP(tables_500100!C37,input_500100!A:H,8,FALSE))</f>
        <v>22137.5</v>
      </c>
      <c r="P37" s="46">
        <f t="shared" ca="1" si="3"/>
        <v>3.7019230769045068E-3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input_500100!A$2</f>
        <v>500100</v>
      </c>
      <c r="B38" s="6">
        <v>495</v>
      </c>
      <c r="C38" s="7" t="str">
        <f t="shared" si="0"/>
        <v>PremiumSS5</v>
      </c>
      <c r="D38" s="7" t="str">
        <f t="shared" si="2"/>
        <v>PremiumSS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鼠災呼ぶ笛音 ハーメルン</v>
      </c>
      <c r="I38" s="7" t="str">
        <f>VLOOKUP(B38,[1]characters!$A:$J,10,FALSE)</f>
        <v>PremiumSS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technical</v>
      </c>
      <c r="M38" s="7" t="str">
        <f>VLOOKUP(B38,[1]characters!$A:$M,13,FALSE)</f>
        <v>human</v>
      </c>
      <c r="N38" s="7" t="str">
        <f>VLOOKUP(B38,[1]characters!$A:$G,7,FALSE)</f>
        <v>男性</v>
      </c>
      <c r="O38" s="45">
        <f ca="1">IFERROR(VLOOKUP(B38,input_500100!L:R,7,FALSE),VLOOKUP(tables_500100!C38,input_500100!A:H,8,FALSE))</f>
        <v>3162.5</v>
      </c>
      <c r="P38" s="46">
        <f t="shared" ca="1" si="3"/>
        <v>5.2884615384350101E-4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input_500100!A$2</f>
        <v>500100</v>
      </c>
      <c r="B39" s="6">
        <v>561</v>
      </c>
      <c r="C39" s="7" t="str">
        <f t="shared" si="0"/>
        <v>premium5R3less</v>
      </c>
      <c r="D39" s="7" t="str">
        <f t="shared" si="2"/>
        <v>premium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森翠統べる獣姫 アマラ</v>
      </c>
      <c r="I39" s="7" t="str">
        <f>VLOOKUP(B39,[1]characters!$A:$J,10,FALSE)</f>
        <v>PremiumW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IFERROR(VLOOKUP(B39,input_500100!L:R,7,FALSE),VLOOKUP(tables_500100!C39,input_500100!A:H,8,FALSE))</f>
        <v>30062.5</v>
      </c>
      <c r="P39" s="46">
        <f t="shared" ca="1" si="3"/>
        <v>5.0271739130182602E-3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input_500100!A$2</f>
        <v>500100</v>
      </c>
      <c r="B40" s="6">
        <v>589</v>
      </c>
      <c r="C40" s="7" t="str">
        <f t="shared" si="0"/>
        <v>Premium4</v>
      </c>
      <c r="D40" s="7" t="str">
        <f t="shared" si="2"/>
        <v>Premium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不幸の円環 ニーベルゲン</v>
      </c>
      <c r="I40" s="7" t="str">
        <f>VLOOKUP(B40,[1]characters!$A:$J,10,FALSE)</f>
        <v>PremiumS</v>
      </c>
      <c r="J40" s="7">
        <f>VLOOKUP(B40,[1]characters!$A:$I,9,FALSE)</f>
        <v>4</v>
      </c>
      <c r="K40" s="7" t="str">
        <f>VLOOKUP(B40,[1]characters!$A:$H,8,FALSE)</f>
        <v>green</v>
      </c>
      <c r="L40" s="7" t="str">
        <f>VLOOKUP(B40,[1]characters!$A:$K,11,FALSE)</f>
        <v>balance</v>
      </c>
      <c r="M40" s="7" t="str">
        <f>VLOOKUP(B40,[1]characters!$A:$M,13,FALSE)</f>
        <v>unknown</v>
      </c>
      <c r="N40" s="7" t="str">
        <f>VLOOKUP(B40,[1]characters!$A:$G,7,FALSE)</f>
        <v>女性</v>
      </c>
      <c r="O40" s="45">
        <f ca="1">IFERROR(VLOOKUP(B40,input_500100!L:R,7,FALSE),VLOOKUP(tables_500100!C40,input_500100!A:H,8,FALSE))</f>
        <v>201237.5</v>
      </c>
      <c r="P40" s="46">
        <f t="shared" ca="1" si="3"/>
        <v>3.3651755852673999E-2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input_500100!A$2</f>
        <v>500100</v>
      </c>
      <c r="B41" s="6">
        <v>590</v>
      </c>
      <c r="C41" s="7" t="str">
        <f t="shared" si="0"/>
        <v>Premium5</v>
      </c>
      <c r="D41" s="7" t="str">
        <f t="shared" si="2"/>
        <v>Premium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永遠を廻る呪い ニーベルゲン</v>
      </c>
      <c r="I41" s="7" t="str">
        <f>VLOOKUP(B41,[1]characters!$A:$J,10,FALSE)</f>
        <v>PremiumS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balance</v>
      </c>
      <c r="M41" s="7" t="str">
        <f>VLOOKUP(B41,[1]characters!$A:$M,13,FALSE)</f>
        <v>unknown</v>
      </c>
      <c r="N41" s="7" t="str">
        <f>VLOOKUP(B41,[1]characters!$A:$G,7,FALSE)</f>
        <v>女性</v>
      </c>
      <c r="O41" s="45">
        <f ca="1">IFERROR(VLOOKUP(B41,input_500100!L:R,7,FALSE),VLOOKUP(tables_500100!C41,input_500100!A:H,8,FALSE))</f>
        <v>12995.19231</v>
      </c>
      <c r="P41" s="46">
        <f t="shared" ca="1" si="3"/>
        <v>2.1731090819288985E-3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input_500100!A$2</f>
        <v>500100</v>
      </c>
      <c r="B42" s="6">
        <v>600</v>
      </c>
      <c r="C42" s="7" t="str">
        <f t="shared" si="0"/>
        <v>Premium4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/>
      </c>
      <c r="G42" s="7"/>
      <c r="H42" s="7" t="str">
        <f>VLOOKUP(B42,[1]characters!$A:$C,3,FALSE)</f>
        <v>界下に潜む蛇 ニーズヘッグ</v>
      </c>
      <c r="I42" s="7" t="str">
        <f>VLOOKUP(B42,[1]characters!$A:$J,10,FALSE)</f>
        <v>PremiumS</v>
      </c>
      <c r="J42" s="7">
        <f>VLOOKUP(B42,[1]characters!$A:$I,9,FALSE)</f>
        <v>4</v>
      </c>
      <c r="K42" s="7" t="str">
        <f>VLOOKUP(B42,[1]characters!$A:$H,8,FALSE)</f>
        <v>green</v>
      </c>
      <c r="L42" s="7" t="str">
        <f>VLOOKUP(B42,[1]characters!$A:$K,11,FALSE)</f>
        <v>attack</v>
      </c>
      <c r="M42" s="7" t="str">
        <f>VLOOKUP(B42,[1]characters!$A:$M,13,FALSE)</f>
        <v>dragon</v>
      </c>
      <c r="N42" s="7" t="str">
        <f>VLOOKUP(B42,[1]characters!$A:$G,7,FALSE)</f>
        <v>不明</v>
      </c>
      <c r="O42" s="45">
        <f ca="1">IFERROR(VLOOKUP(B42,input_500100!L:R,7,FALSE),VLOOKUP(tables_500100!C42,input_500100!A:H,8,FALSE))</f>
        <v>201237.5</v>
      </c>
      <c r="P42" s="46">
        <f t="shared" ca="1" si="3"/>
        <v>3.3651755852673999E-2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input_500100!A$2</f>
        <v>500100</v>
      </c>
      <c r="B43" s="6">
        <v>601</v>
      </c>
      <c r="C43" s="7" t="str">
        <f t="shared" si="0"/>
        <v>Premium5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/>
      </c>
      <c r="G43" s="7"/>
      <c r="H43" s="7" t="str">
        <f>VLOOKUP(B43,[1]characters!$A:$C,3,FALSE)</f>
        <v>界根蝕む悪食 ニーズヘッグ</v>
      </c>
      <c r="I43" s="7" t="str">
        <f>VLOOKUP(B43,[1]characters!$A:$J,10,FALSE)</f>
        <v>PremiumS</v>
      </c>
      <c r="J43" s="7">
        <f>VLOOKUP(B43,[1]characters!$A:$I,9,FALSE)</f>
        <v>5</v>
      </c>
      <c r="K43" s="7" t="str">
        <f>VLOOKUP(B43,[1]characters!$A:$H,8,FALSE)</f>
        <v>green</v>
      </c>
      <c r="L43" s="7" t="str">
        <f>VLOOKUP(B43,[1]characters!$A:$K,11,FALSE)</f>
        <v>attack</v>
      </c>
      <c r="M43" s="7" t="str">
        <f>VLOOKUP(B43,[1]characters!$A:$M,13,FALSE)</f>
        <v>dragon</v>
      </c>
      <c r="N43" s="7" t="str">
        <f>VLOOKUP(B43,[1]characters!$A:$G,7,FALSE)</f>
        <v>不明</v>
      </c>
      <c r="O43" s="45">
        <f ca="1">IFERROR(VLOOKUP(B43,input_500100!L:R,7,FALSE),VLOOKUP(tables_500100!C43,input_500100!A:H,8,FALSE))</f>
        <v>12995.19231</v>
      </c>
      <c r="P43" s="46">
        <f t="shared" ca="1" si="3"/>
        <v>2.1731090819288985E-3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input_500100!A$2</f>
        <v>500100</v>
      </c>
      <c r="B44" s="6">
        <v>660</v>
      </c>
      <c r="C44" s="7" t="str">
        <f t="shared" si="0"/>
        <v>PremiumSS4</v>
      </c>
      <c r="D44" s="7" t="str">
        <f t="shared" si="2"/>
        <v>PremiumSS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/>
      </c>
      <c r="G44" s="7"/>
      <c r="H44" s="7" t="str">
        <f>VLOOKUP(B44,[1]characters!$A:$C,3,FALSE)</f>
        <v>烏天狗 フウガ</v>
      </c>
      <c r="I44" s="7" t="str">
        <f>VLOOKUP(B44,[1]characters!$A:$J,10,FALSE)</f>
        <v>PremiumSS</v>
      </c>
      <c r="J44" s="7">
        <f>VLOOKUP(B44,[1]characters!$A:$I,9,FALSE)</f>
        <v>4</v>
      </c>
      <c r="K44" s="7" t="str">
        <f>VLOOKUP(B44,[1]characters!$A:$H,8,FALSE)</f>
        <v>green</v>
      </c>
      <c r="L44" s="7" t="str">
        <f>VLOOKUP(B44,[1]characters!$A:$K,11,FALSE)</f>
        <v>balance</v>
      </c>
      <c r="M44" s="7" t="str">
        <f>VLOOKUP(B44,[1]characters!$A:$M,13,FALSE)</f>
        <v>animal</v>
      </c>
      <c r="N44" s="7" t="str">
        <f>VLOOKUP(B44,[1]characters!$A:$G,7,FALSE)</f>
        <v>男性</v>
      </c>
      <c r="O44" s="45">
        <f ca="1">IFERROR(VLOOKUP(B44,input_500100!L:R,7,FALSE),VLOOKUP(tables_500100!C44,input_500100!A:H,8,FALSE))</f>
        <v>22137.5</v>
      </c>
      <c r="P44" s="46">
        <f t="shared" ca="1" si="3"/>
        <v>3.7019230769045068E-3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input_500100!A$2</f>
        <v>500100</v>
      </c>
      <c r="B45" s="6">
        <v>661</v>
      </c>
      <c r="C45" s="7" t="str">
        <f t="shared" si="0"/>
        <v>PremiumSS5</v>
      </c>
      <c r="D45" s="7" t="str">
        <f t="shared" si="2"/>
        <v>PremiumSS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/>
      </c>
      <c r="G45" s="7"/>
      <c r="H45" s="7" t="str">
        <f>VLOOKUP(B45,[1]characters!$A:$C,3,FALSE)</f>
        <v>疾風の天狗礫 フウガ</v>
      </c>
      <c r="I45" s="7" t="str">
        <f>VLOOKUP(B45,[1]characters!$A:$J,10,FALSE)</f>
        <v>PremiumSS</v>
      </c>
      <c r="J45" s="7">
        <f>VLOOKUP(B45,[1]characters!$A:$I,9,FALSE)</f>
        <v>5</v>
      </c>
      <c r="K45" s="7" t="str">
        <f>VLOOKUP(B45,[1]characters!$A:$H,8,FALSE)</f>
        <v>green</v>
      </c>
      <c r="L45" s="7" t="str">
        <f>VLOOKUP(B45,[1]characters!$A:$K,11,FALSE)</f>
        <v>balance</v>
      </c>
      <c r="M45" s="7" t="str">
        <f>VLOOKUP(B45,[1]characters!$A:$M,13,FALSE)</f>
        <v>animal</v>
      </c>
      <c r="N45" s="7" t="str">
        <f>VLOOKUP(B45,[1]characters!$A:$G,7,FALSE)</f>
        <v>男性</v>
      </c>
      <c r="O45" s="45">
        <f ca="1">IFERROR(VLOOKUP(B45,input_500100!L:R,7,FALSE),VLOOKUP(tables_500100!C45,input_500100!A:H,8,FALSE))</f>
        <v>3162.5</v>
      </c>
      <c r="P45" s="46">
        <f t="shared" ca="1" si="3"/>
        <v>5.2884615384350101E-4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input_500100!A$2</f>
        <v>500100</v>
      </c>
      <c r="B46" s="6">
        <v>672</v>
      </c>
      <c r="C46" s="7" t="str">
        <f t="shared" si="0"/>
        <v>Premium4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/>
      </c>
      <c r="G46" s="7"/>
      <c r="H46" s="7" t="str">
        <f>VLOOKUP(B46,[1]characters!$A:$C,3,FALSE)</f>
        <v>西遊韋駄天 ハヌマーン</v>
      </c>
      <c r="I46" s="7" t="str">
        <f>VLOOKUP(B46,[1]characters!$A:$J,10,FALSE)</f>
        <v>PremiumS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animal</v>
      </c>
      <c r="N46" s="7" t="str">
        <f>VLOOKUP(B46,[1]characters!$A:$G,7,FALSE)</f>
        <v>男性</v>
      </c>
      <c r="O46" s="45">
        <f ca="1">IFERROR(VLOOKUP(B46,input_500100!L:R,7,FALSE),VLOOKUP(tables_500100!C46,input_500100!A:H,8,FALSE))</f>
        <v>201237.5</v>
      </c>
      <c r="P46" s="46">
        <f t="shared" ca="1" si="3"/>
        <v>3.3651755852673999E-2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input_500100!A$2</f>
        <v>500100</v>
      </c>
      <c r="B47" s="6">
        <v>673</v>
      </c>
      <c r="C47" s="7" t="str">
        <f t="shared" si="0"/>
        <v>Premium5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/>
      </c>
      <c r="G47" s="7"/>
      <c r="H47" s="7" t="str">
        <f>VLOOKUP(B47,[1]characters!$A:$C,3,FALSE)</f>
        <v>変幻自在の猿王 ハヌマーン</v>
      </c>
      <c r="I47" s="7" t="str">
        <f>VLOOKUP(B47,[1]characters!$A:$J,10,FALSE)</f>
        <v>PremiumS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animal</v>
      </c>
      <c r="N47" s="7" t="str">
        <f>VLOOKUP(B47,[1]characters!$A:$G,7,FALSE)</f>
        <v>男性</v>
      </c>
      <c r="O47" s="45">
        <f ca="1">IFERROR(VLOOKUP(B47,input_500100!L:R,7,FALSE),VLOOKUP(tables_500100!C47,input_500100!A:H,8,FALSE))</f>
        <v>12995.19231</v>
      </c>
      <c r="P47" s="46">
        <f t="shared" ca="1" si="3"/>
        <v>2.1731090819288985E-3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input_500100!A$2</f>
        <v>500100</v>
      </c>
      <c r="B48" s="6">
        <v>730</v>
      </c>
      <c r="C48" s="7" t="str">
        <f t="shared" si="0"/>
        <v>Premium4R3less</v>
      </c>
      <c r="D48" s="7" t="str">
        <f t="shared" si="2"/>
        <v>Premium</v>
      </c>
      <c r="E48" s="7" t="str">
        <f>IF(COUNTIF('R6追加前'!A:A,B48)=0,IF(OR(I48="PremiumSS",I48="PremiumSSw"),"R5only","R3less"),"")</f>
        <v>R3less</v>
      </c>
      <c r="F48" s="7" t="str">
        <f>IF(COUNTIF('R6開放'!A:A,B48)&gt;0,"R6release","")</f>
        <v/>
      </c>
      <c r="G48" s="7"/>
      <c r="H48" s="7" t="str">
        <f>VLOOKUP(B48,[1]characters!$A:$C,3,FALSE)</f>
        <v>ガラシャ</v>
      </c>
      <c r="I48" s="7" t="str">
        <f>VLOOKUP(B48,[1]characters!$A:$J,10,FALSE)</f>
        <v>PremiumS</v>
      </c>
      <c r="J48" s="7">
        <f>VLOOKUP(B48,[1]characters!$A:$I,9,FALSE)</f>
        <v>4</v>
      </c>
      <c r="K48" s="7" t="str">
        <f>VLOOKUP(B48,[1]characters!$A:$H,8,FALSE)</f>
        <v>green</v>
      </c>
      <c r="L48" s="7" t="str">
        <f>VLOOKUP(B48,[1]characters!$A:$K,11,FALSE)</f>
        <v>heal</v>
      </c>
      <c r="M48" s="7" t="str">
        <f>VLOOKUP(B48,[1]characters!$A:$M,13,FALSE)</f>
        <v>human</v>
      </c>
      <c r="N48" s="7" t="str">
        <f>VLOOKUP(B48,[1]characters!$A:$G,7,FALSE)</f>
        <v>女性</v>
      </c>
      <c r="O48" s="45">
        <f ca="1">IFERROR(VLOOKUP(B48,input_500100!L:R,7,FALSE),VLOOKUP(tables_500100!C48,input_500100!A:H,8,FALSE))</f>
        <v>202921.875</v>
      </c>
      <c r="P48" s="46">
        <f t="shared" ca="1" si="3"/>
        <v>3.3933423912873253E-2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input_500100!A$2</f>
        <v>500100</v>
      </c>
      <c r="B49" s="6">
        <v>731</v>
      </c>
      <c r="C49" s="7" t="str">
        <f t="shared" si="0"/>
        <v>Premium5R3less</v>
      </c>
      <c r="D49" s="7" t="str">
        <f t="shared" si="2"/>
        <v>Premium</v>
      </c>
      <c r="E49" s="7" t="str">
        <f>IF(COUNTIF('R6追加前'!A:A,B49)=0,IF(OR(I49="PremiumSS",I49="PremiumSSw"),"R5only","R3less"),"")</f>
        <v>R3less</v>
      </c>
      <c r="F49" s="7" t="str">
        <f>IF(COUNTIF('R6開放'!A:A,B49)&gt;0,"R6release","")</f>
        <v/>
      </c>
      <c r="G49" s="7"/>
      <c r="H49" s="7" t="str">
        <f>VLOOKUP(B49,[1]characters!$A:$C,3,FALSE)</f>
        <v>敬虔なる追銃 ガラシャ</v>
      </c>
      <c r="I49" s="7" t="str">
        <f>VLOOKUP(B49,[1]characters!$A:$J,10,FALSE)</f>
        <v>PremiumS</v>
      </c>
      <c r="J49" s="7">
        <f>VLOOKUP(B49,[1]characters!$A:$I,9,FALSE)</f>
        <v>5</v>
      </c>
      <c r="K49" s="7" t="str">
        <f>VLOOKUP(B49,[1]characters!$A:$H,8,FALSE)</f>
        <v>green</v>
      </c>
      <c r="L49" s="7" t="str">
        <f>VLOOKUP(B49,[1]characters!$A:$K,11,FALSE)</f>
        <v>heal</v>
      </c>
      <c r="M49" s="7" t="str">
        <f>VLOOKUP(B49,[1]characters!$A:$M,13,FALSE)</f>
        <v>human</v>
      </c>
      <c r="N49" s="7" t="str">
        <f>VLOOKUP(B49,[1]characters!$A:$G,7,FALSE)</f>
        <v>女性</v>
      </c>
      <c r="O49" s="45">
        <f ca="1">IFERROR(VLOOKUP(B49,input_500100!L:R,7,FALSE),VLOOKUP(tables_500100!C49,input_500100!A:H,8,FALSE))</f>
        <v>30062.5</v>
      </c>
      <c r="P49" s="46">
        <f t="shared" ca="1" si="3"/>
        <v>5.0271739130182602E-3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input_500100!A$2</f>
        <v>500100</v>
      </c>
      <c r="B50" s="6">
        <v>744</v>
      </c>
      <c r="C50" s="7" t="str">
        <f t="shared" si="0"/>
        <v>PremiumSS5R5only</v>
      </c>
      <c r="D50" s="7" t="str">
        <f t="shared" si="2"/>
        <v>PremiumSS</v>
      </c>
      <c r="E50" s="7" t="str">
        <f>IF(COUNTIF('R6追加前'!A:A,B50)=0,IF(OR(I50="PremiumSS",I50="PremiumSSw"),"R5only","R3less"),"")</f>
        <v>R5only</v>
      </c>
      <c r="F50" s="7" t="str">
        <f>IF(COUNTIF('R6開放'!A:A,B50)&gt;0,"R6release","")</f>
        <v/>
      </c>
      <c r="G50" s="7"/>
      <c r="H50" s="7" t="str">
        <f>VLOOKUP(B50,[1]characters!$A:$C,3,FALSE)</f>
        <v>ヘルメス</v>
      </c>
      <c r="I50" s="7" t="str">
        <f>VLOOKUP(B50,[1]characters!$A:$J,10,FALSE)</f>
        <v>PremiumSS</v>
      </c>
      <c r="J50" s="7">
        <f>VLOOKUP(B50,[1]characters!$A:$I,9,FALSE)</f>
        <v>5</v>
      </c>
      <c r="K50" s="7" t="str">
        <f>VLOOKUP(B50,[1]characters!$A:$H,8,FALSE)</f>
        <v>green</v>
      </c>
      <c r="L50" s="7" t="str">
        <f>VLOOKUP(B50,[1]characters!$A:$K,11,FALSE)</f>
        <v>technical</v>
      </c>
      <c r="M50" s="7" t="str">
        <f>VLOOKUP(B50,[1]characters!$A:$M,13,FALSE)</f>
        <v>god</v>
      </c>
      <c r="N50" s="7" t="str">
        <f>VLOOKUP(B50,[1]characters!$A:$G,7,FALSE)</f>
        <v>男性</v>
      </c>
      <c r="O50" s="45">
        <f ca="1">IFERROR(VLOOKUP(B50,input_500100!L:R,7,FALSE),VLOOKUP(tables_500100!C50,input_500100!A:H,8,FALSE))</f>
        <v>27140</v>
      </c>
      <c r="P50" s="46">
        <f t="shared" ca="1" si="3"/>
        <v>4.5384615384387716E-3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input_500100!A$2</f>
        <v>500100</v>
      </c>
      <c r="B51" s="6">
        <v>772</v>
      </c>
      <c r="C51" s="7" t="str">
        <f t="shared" si="0"/>
        <v>PremiumSS4</v>
      </c>
      <c r="D51" s="7" t="str">
        <f t="shared" si="2"/>
        <v>PremiumSS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イナバ</v>
      </c>
      <c r="I51" s="7" t="str">
        <f>VLOOKUP(B51,[1]characters!$A:$J,10,FALSE)</f>
        <v>PremiumSS</v>
      </c>
      <c r="J51" s="7">
        <f>VLOOKUP(B51,[1]characters!$A:$I,9,FALSE)</f>
        <v>4</v>
      </c>
      <c r="K51" s="7" t="str">
        <f>VLOOKUP(B51,[1]characters!$A:$H,8,FALSE)</f>
        <v>green</v>
      </c>
      <c r="L51" s="7" t="str">
        <f>VLOOKUP(B51,[1]characters!$A:$K,11,FALSE)</f>
        <v>balance</v>
      </c>
      <c r="M51" s="7" t="str">
        <f>VLOOKUP(B51,[1]characters!$A:$M,13,FALSE)</f>
        <v>animal</v>
      </c>
      <c r="N51" s="7" t="str">
        <f>VLOOKUP(B51,[1]characters!$A:$G,7,FALSE)</f>
        <v>女性</v>
      </c>
      <c r="O51" s="45">
        <f ca="1">IFERROR(VLOOKUP(B51,input_500100!L:R,7,FALSE),VLOOKUP(tables_500100!C51,input_500100!A:H,8,FALSE))</f>
        <v>22137.5</v>
      </c>
      <c r="P51" s="46">
        <f t="shared" ca="1" si="3"/>
        <v>3.7019230769045068E-3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input_500100!A$2</f>
        <v>500100</v>
      </c>
      <c r="B52" s="6">
        <v>773</v>
      </c>
      <c r="C52" s="7" t="str">
        <f t="shared" si="0"/>
        <v>PremiumSS5</v>
      </c>
      <c r="D52" s="7" t="str">
        <f t="shared" si="2"/>
        <v>PremiumSS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浮跳天兎 イナバ</v>
      </c>
      <c r="I52" s="7" t="str">
        <f>VLOOKUP(B52,[1]characters!$A:$J,10,FALSE)</f>
        <v>PremiumSS</v>
      </c>
      <c r="J52" s="7">
        <f>VLOOKUP(B52,[1]characters!$A:$I,9,FALSE)</f>
        <v>5</v>
      </c>
      <c r="K52" s="7" t="str">
        <f>VLOOKUP(B52,[1]characters!$A:$H,8,FALSE)</f>
        <v>green</v>
      </c>
      <c r="L52" s="7" t="str">
        <f>VLOOKUP(B52,[1]characters!$A:$K,11,FALSE)</f>
        <v>balance</v>
      </c>
      <c r="M52" s="7" t="str">
        <f>VLOOKUP(B52,[1]characters!$A:$M,13,FALSE)</f>
        <v>animal</v>
      </c>
      <c r="N52" s="7" t="str">
        <f>VLOOKUP(B52,[1]characters!$A:$G,7,FALSE)</f>
        <v>女性</v>
      </c>
      <c r="O52" s="45">
        <f ca="1">IFERROR(VLOOKUP(B52,input_500100!L:R,7,FALSE),VLOOKUP(tables_500100!C52,input_500100!A:H,8,FALSE))</f>
        <v>3162.5</v>
      </c>
      <c r="P52" s="46">
        <f t="shared" ca="1" si="3"/>
        <v>5.2884615384350101E-4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input_500100!A$2</f>
        <v>500100</v>
      </c>
      <c r="B53" s="6">
        <v>850</v>
      </c>
      <c r="C53" s="7" t="str">
        <f t="shared" si="0"/>
        <v>PremiumSS5R5only</v>
      </c>
      <c r="D53" s="7" t="str">
        <f t="shared" si="2"/>
        <v>PremiumSS</v>
      </c>
      <c r="E53" s="7" t="str">
        <f>IF(COUNTIF('R6追加前'!A:A,B53)=0,IF(OR(I53="PremiumSS",I53="PremiumSSw"),"R5only","R3less"),"")</f>
        <v>R5only</v>
      </c>
      <c r="F53" s="7" t="str">
        <f>IF(COUNTIF('R6開放'!A:A,B53)&gt;0,"R6release","")</f>
        <v/>
      </c>
      <c r="G53" s="7"/>
      <c r="H53" s="7" t="str">
        <f>VLOOKUP(B53,[1]characters!$A:$C,3,FALSE)</f>
        <v>バアル</v>
      </c>
      <c r="I53" s="7" t="str">
        <f>VLOOKUP(B53,[1]characters!$A:$J,10,FALSE)</f>
        <v>PremiumSS</v>
      </c>
      <c r="J53" s="7">
        <f>VLOOKUP(B53,[1]characters!$A:$I,9,FALSE)</f>
        <v>5</v>
      </c>
      <c r="K53" s="7" t="str">
        <f>VLOOKUP(B53,[1]characters!$A:$H,8,FALSE)</f>
        <v>green</v>
      </c>
      <c r="L53" s="7" t="str">
        <f>VLOOKUP(B53,[1]characters!$A:$K,11,FALSE)</f>
        <v>technical</v>
      </c>
      <c r="M53" s="7" t="str">
        <f>VLOOKUP(B53,[1]characters!$A:$M,13,FALSE)</f>
        <v>god</v>
      </c>
      <c r="N53" s="7" t="str">
        <f>VLOOKUP(B53,[1]characters!$A:$G,7,FALSE)</f>
        <v>男性</v>
      </c>
      <c r="O53" s="45">
        <f ca="1">IFERROR(VLOOKUP(B53,input_500100!L:R,7,FALSE),VLOOKUP(tables_500100!C53,input_500100!A:H,8,FALSE))</f>
        <v>27140</v>
      </c>
      <c r="P53" s="46">
        <f t="shared" ca="1" si="3"/>
        <v>4.5384615384387716E-3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input_500100!A$2</f>
        <v>500100</v>
      </c>
      <c r="B54" s="6">
        <v>864</v>
      </c>
      <c r="C54" s="7" t="str">
        <f t="shared" si="0"/>
        <v>Premium4R3less</v>
      </c>
      <c r="D54" s="7" t="str">
        <f t="shared" si="2"/>
        <v>Premium</v>
      </c>
      <c r="E54" s="7" t="str">
        <f>IF(COUNTIF('R6追加前'!A:A,B54)=0,IF(OR(I54="PremiumSS",I54="PremiumSSw"),"R5only","R3less"),"")</f>
        <v>R3less</v>
      </c>
      <c r="F54" s="7" t="str">
        <f>IF(COUNTIF('R6開放'!A:A,B54)&gt;0,"R6release","")</f>
        <v/>
      </c>
      <c r="G54" s="7"/>
      <c r="H54" s="7" t="str">
        <f>VLOOKUP(B54,[1]characters!$A:$C,3,FALSE)</f>
        <v>ピノキオ</v>
      </c>
      <c r="I54" s="7" t="str">
        <f>VLOOKUP(B54,[1]characters!$A:$J,10,FALSE)</f>
        <v>PremiumS</v>
      </c>
      <c r="J54" s="7">
        <f>VLOOKUP(B54,[1]characters!$A:$I,9,FALSE)</f>
        <v>4</v>
      </c>
      <c r="K54" s="7" t="str">
        <f>VLOOKUP(B54,[1]characters!$A:$H,8,FALSE)</f>
        <v>green</v>
      </c>
      <c r="L54" s="7" t="str">
        <f>VLOOKUP(B54,[1]characters!$A:$K,11,FALSE)</f>
        <v>attack</v>
      </c>
      <c r="M54" s="7" t="str">
        <f>VLOOKUP(B54,[1]characters!$A:$M,13,FALSE)</f>
        <v>machine</v>
      </c>
      <c r="N54" s="7" t="str">
        <f>VLOOKUP(B54,[1]characters!$A:$G,7,FALSE)</f>
        <v>男性</v>
      </c>
      <c r="O54" s="45">
        <f ca="1">IFERROR(VLOOKUP(B54,input_500100!L:R,7,FALSE),VLOOKUP(tables_500100!C54,input_500100!A:H,8,FALSE))</f>
        <v>202921.875</v>
      </c>
      <c r="P54" s="46">
        <f t="shared" ca="1" si="3"/>
        <v>3.3933423912873253E-2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input_500100!A$2</f>
        <v>500100</v>
      </c>
      <c r="B55" s="6">
        <v>865</v>
      </c>
      <c r="C55" s="7" t="str">
        <f t="shared" si="0"/>
        <v>Premium5R3less</v>
      </c>
      <c r="D55" s="7" t="str">
        <f t="shared" si="2"/>
        <v>Premium</v>
      </c>
      <c r="E55" s="7" t="str">
        <f>IF(COUNTIF('R6追加前'!A:A,B55)=0,IF(OR(I55="PremiumSS",I55="PremiumSSw"),"R5only","R3less"),"")</f>
        <v>R3less</v>
      </c>
      <c r="F55" s="7" t="str">
        <f>IF(COUNTIF('R6開放'!A:A,B55)&gt;0,"R6release","")</f>
        <v/>
      </c>
      <c r="G55" s="7"/>
      <c r="H55" s="7" t="str">
        <f>VLOOKUP(B55,[1]characters!$A:$C,3,FALSE)</f>
        <v>無情の感線 ピノキオ</v>
      </c>
      <c r="I55" s="7" t="str">
        <f>VLOOKUP(B55,[1]characters!$A:$J,10,FALSE)</f>
        <v>PremiumS</v>
      </c>
      <c r="J55" s="7">
        <f>VLOOKUP(B55,[1]characters!$A:$I,9,FALSE)</f>
        <v>5</v>
      </c>
      <c r="K55" s="7" t="str">
        <f>VLOOKUP(B55,[1]characters!$A:$H,8,FALSE)</f>
        <v>green</v>
      </c>
      <c r="L55" s="7" t="str">
        <f>VLOOKUP(B55,[1]characters!$A:$K,11,FALSE)</f>
        <v>attack</v>
      </c>
      <c r="M55" s="7" t="str">
        <f>VLOOKUP(B55,[1]characters!$A:$M,13,FALSE)</f>
        <v>machine</v>
      </c>
      <c r="N55" s="7" t="str">
        <f>VLOOKUP(B55,[1]characters!$A:$G,7,FALSE)</f>
        <v>男性</v>
      </c>
      <c r="O55" s="45">
        <f ca="1">IFERROR(VLOOKUP(B55,input_500100!L:R,7,FALSE),VLOOKUP(tables_500100!C55,input_500100!A:H,8,FALSE))</f>
        <v>30062.5</v>
      </c>
      <c r="P55" s="46">
        <f t="shared" ca="1" si="3"/>
        <v>5.0271739130182602E-3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input_500100!A$2</f>
        <v>500100</v>
      </c>
      <c r="B56" s="6">
        <v>939</v>
      </c>
      <c r="C56" s="7" t="str">
        <f t="shared" si="0"/>
        <v>Premium4R3less</v>
      </c>
      <c r="D56" s="7" t="str">
        <f t="shared" si="2"/>
        <v>Premium</v>
      </c>
      <c r="E56" s="7" t="str">
        <f>IF(COUNTIF('R6追加前'!A:A,B56)=0,IF(OR(I56="PremiumSS",I56="PremiumSSw"),"R5only","R3less"),"")</f>
        <v>R3less</v>
      </c>
      <c r="F56" s="7" t="str">
        <f>IF(COUNTIF('R6開放'!A:A,B56)&gt;0,"R6release","")</f>
        <v/>
      </c>
      <c r="G56" s="7"/>
      <c r="H56" s="7" t="str">
        <f>VLOOKUP(B56,[1]characters!$A:$C,3,FALSE)</f>
        <v>バスティーユ</v>
      </c>
      <c r="I56" s="7" t="str">
        <f>VLOOKUP(B56,[1]characters!$A:$J,10,FALSE)</f>
        <v>PremiumS</v>
      </c>
      <c r="J56" s="7">
        <f>VLOOKUP(B56,[1]characters!$A:$I,9,FALSE)</f>
        <v>4</v>
      </c>
      <c r="K56" s="7" t="str">
        <f>VLOOKUP(B56,[1]characters!$A:$H,8,FALSE)</f>
        <v>green</v>
      </c>
      <c r="L56" s="7" t="str">
        <f>VLOOKUP(B56,[1]characters!$A:$K,11,FALSE)</f>
        <v>hp</v>
      </c>
      <c r="M56" s="7" t="str">
        <f>VLOOKUP(B56,[1]characters!$A:$M,13,FALSE)</f>
        <v>unknown</v>
      </c>
      <c r="N56" s="7" t="str">
        <f>VLOOKUP(B56,[1]characters!$A:$G,7,FALSE)</f>
        <v>男性</v>
      </c>
      <c r="O56" s="45">
        <f ca="1">IFERROR(VLOOKUP(B56,input_500100!L:R,7,FALSE),VLOOKUP(tables_500100!C56,input_500100!A:H,8,FALSE))</f>
        <v>202921.875</v>
      </c>
      <c r="P56" s="46">
        <f t="shared" ca="1" si="3"/>
        <v>3.3933423912873253E-2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input_500100!A$2</f>
        <v>500100</v>
      </c>
      <c r="B57" s="6">
        <v>940</v>
      </c>
      <c r="C57" s="7" t="str">
        <f t="shared" si="0"/>
        <v>Premium5R3less</v>
      </c>
      <c r="D57" s="7" t="str">
        <f t="shared" si="2"/>
        <v>Premium</v>
      </c>
      <c r="E57" s="7" t="str">
        <f>IF(COUNTIF('R6追加前'!A:A,B57)=0,IF(OR(I57="PremiumSS",I57="PremiumSSw"),"R5only","R3less"),"")</f>
        <v>R3less</v>
      </c>
      <c r="F57" s="7" t="str">
        <f>IF(COUNTIF('R6開放'!A:A,B57)&gt;0,"R6release","")</f>
        <v/>
      </c>
      <c r="G57" s="7"/>
      <c r="H57" s="7" t="str">
        <f>VLOOKUP(B57,[1]characters!$A:$C,3,FALSE)</f>
        <v>不壊の大要塞 バスティーユ</v>
      </c>
      <c r="I57" s="7" t="str">
        <f>VLOOKUP(B57,[1]characters!$A:$J,10,FALSE)</f>
        <v>PremiumS</v>
      </c>
      <c r="J57" s="7">
        <f>VLOOKUP(B57,[1]characters!$A:$I,9,FALSE)</f>
        <v>5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unknown</v>
      </c>
      <c r="N57" s="7" t="str">
        <f>VLOOKUP(B57,[1]characters!$A:$G,7,FALSE)</f>
        <v>男性</v>
      </c>
      <c r="O57" s="45">
        <f ca="1">IFERROR(VLOOKUP(B57,input_500100!L:R,7,FALSE),VLOOKUP(tables_500100!C57,input_500100!A:H,8,FALSE))</f>
        <v>30062.5</v>
      </c>
      <c r="P57" s="46">
        <f t="shared" ca="1" si="3"/>
        <v>5.0271739130182602E-3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input_500100!A$2</f>
        <v>500100</v>
      </c>
      <c r="B58" s="6">
        <v>1014</v>
      </c>
      <c r="C58" s="7" t="str">
        <f t="shared" si="0"/>
        <v>PremiumSS5R5only</v>
      </c>
      <c r="D58" s="7" t="str">
        <f t="shared" si="2"/>
        <v>PremiumSS</v>
      </c>
      <c r="E58" s="7" t="str">
        <f>IF(COUNTIF('R6追加前'!A:A,B58)=0,IF(OR(I58="PremiumSS",I58="PremiumSSw"),"R5only","R3less"),"")</f>
        <v>R5only</v>
      </c>
      <c r="F58" s="7" t="str">
        <f>IF(COUNTIF('R6開放'!A:A,B58)&gt;0,"R6release","")</f>
        <v/>
      </c>
      <c r="G58" s="7"/>
      <c r="H58" s="7" t="str">
        <f>VLOOKUP(B58,[1]characters!$A:$C,3,FALSE)</f>
        <v>イシス</v>
      </c>
      <c r="I58" s="7" t="str">
        <f>VLOOKUP(B58,[1]characters!$A:$J,10,FALSE)</f>
        <v>PremiumSS</v>
      </c>
      <c r="J58" s="7">
        <f>VLOOKUP(B58,[1]characters!$A:$I,9,FALSE)</f>
        <v>5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god</v>
      </c>
      <c r="N58" s="7" t="str">
        <f>VLOOKUP(B58,[1]characters!$A:$G,7,FALSE)</f>
        <v>男性</v>
      </c>
      <c r="O58" s="45">
        <f ca="1">IFERROR(VLOOKUP(B58,input_500100!L:R,7,FALSE),VLOOKUP(tables_500100!C58,input_500100!A:H,8,FALSE))</f>
        <v>27140</v>
      </c>
      <c r="P58" s="46">
        <f t="shared" ca="1" si="3"/>
        <v>4.5384615384387716E-3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input_500100!A$2</f>
        <v>500100</v>
      </c>
      <c r="B59" s="6">
        <v>1028</v>
      </c>
      <c r="C59" s="7" t="str">
        <f t="shared" si="0"/>
        <v>PremiumSS5R5only</v>
      </c>
      <c r="D59" s="7" t="str">
        <f t="shared" si="2"/>
        <v>PremiumSS</v>
      </c>
      <c r="E59" s="7" t="str">
        <f>IF(COUNTIF('R6追加前'!A:A,B59)=0,IF(OR(I59="PremiumSS",I59="PremiumSSw"),"R5only","R3less"),"")</f>
        <v>R5only</v>
      </c>
      <c r="F59" s="7" t="str">
        <f>IF(COUNTIF('R6開放'!A:A,B59)&gt;0,"R6release","")</f>
        <v/>
      </c>
      <c r="G59" s="7"/>
      <c r="H59" s="7" t="str">
        <f>VLOOKUP(B59,[1]characters!$A:$C,3,FALSE)</f>
        <v>牛若丸</v>
      </c>
      <c r="I59" s="7" t="str">
        <f>VLOOKUP(B59,[1]characters!$A:$J,10,FALSE)</f>
        <v>PremiumSS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balance</v>
      </c>
      <c r="M59" s="7" t="str">
        <f>VLOOKUP(B59,[1]characters!$A:$M,13,FALSE)</f>
        <v>human</v>
      </c>
      <c r="N59" s="7" t="str">
        <f>VLOOKUP(B59,[1]characters!$A:$G,7,FALSE)</f>
        <v>男性</v>
      </c>
      <c r="O59" s="45">
        <f ca="1">IFERROR(VLOOKUP(B59,input_500100!L:R,7,FALSE),VLOOKUP(tables_500100!C59,input_500100!A:H,8,FALSE))</f>
        <v>27140</v>
      </c>
      <c r="P59" s="46">
        <f t="shared" ca="1" si="3"/>
        <v>4.5384615384387716E-3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input_500100!A$2</f>
        <v>500100</v>
      </c>
      <c r="B60" s="6">
        <v>1069</v>
      </c>
      <c r="C60" s="7" t="str">
        <f t="shared" si="0"/>
        <v>PremiumSS5R5only</v>
      </c>
      <c r="D60" s="7" t="str">
        <f t="shared" si="2"/>
        <v>PremiumSS</v>
      </c>
      <c r="E60" s="7" t="str">
        <f>IF(COUNTIF('R6追加前'!A:A,B60)=0,IF(OR(I60="PremiumSS",I60="PremiumSSw"),"R5only","R3less"),"")</f>
        <v>R5only</v>
      </c>
      <c r="F60" s="7" t="str">
        <f>IF(COUNTIF('R6開放'!A:A,B60)&gt;0,"R6release","")</f>
        <v/>
      </c>
      <c r="G60" s="7"/>
      <c r="H60" s="7" t="str">
        <f>VLOOKUP(B60,[1]characters!$A:$C,3,FALSE)</f>
        <v>イシュタル</v>
      </c>
      <c r="I60" s="7" t="str">
        <f>VLOOKUP(B60,[1]characters!$A:$J,10,FALSE)</f>
        <v>PremiumSS</v>
      </c>
      <c r="J60" s="7">
        <f>VLOOKUP(B60,[1]characters!$A:$I,9,FALSE)</f>
        <v>5</v>
      </c>
      <c r="K60" s="7" t="str">
        <f>VLOOKUP(B60,[1]characters!$A:$H,8,FALSE)</f>
        <v>green</v>
      </c>
      <c r="L60" s="7" t="str">
        <f>VLOOKUP(B60,[1]characters!$A:$K,11,FALSE)</f>
        <v>technical</v>
      </c>
      <c r="M60" s="7" t="str">
        <f>VLOOKUP(B60,[1]characters!$A:$M,13,FALSE)</f>
        <v>god</v>
      </c>
      <c r="N60" s="7" t="str">
        <f>VLOOKUP(B60,[1]characters!$A:$G,7,FALSE)</f>
        <v>男性</v>
      </c>
      <c r="O60" s="45">
        <f ca="1">IFERROR(VLOOKUP(B60,input_500100!L:R,7,FALSE),VLOOKUP(tables_500100!C60,input_500100!A:H,8,FALSE))</f>
        <v>27140</v>
      </c>
      <c r="P60" s="46">
        <f t="shared" ca="1" si="3"/>
        <v>4.5384615384387716E-3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input_500100!A$2</f>
        <v>500100</v>
      </c>
      <c r="B61" s="6">
        <v>1102</v>
      </c>
      <c r="C61" s="7" t="str">
        <f t="shared" si="0"/>
        <v>PremiumSS5R5only</v>
      </c>
      <c r="D61" s="7" t="str">
        <f t="shared" si="2"/>
        <v>PremiumSS</v>
      </c>
      <c r="E61" s="7" t="str">
        <f>IF(COUNTIF('R6追加前'!A:A,B61)=0,IF(OR(I61="PremiumSS",I61="PremiumSSw"),"R5only","R3less"),"")</f>
        <v>R5only</v>
      </c>
      <c r="F61" s="7" t="str">
        <f>IF(COUNTIF('R6開放'!A:A,B61)&gt;0,"R6release","")</f>
        <v/>
      </c>
      <c r="G61" s="7"/>
      <c r="H61" s="7" t="str">
        <f>VLOOKUP(B61,[1]characters!$A:$C,3,FALSE)</f>
        <v>ドガ</v>
      </c>
      <c r="I61" s="7" t="str">
        <f>VLOOKUP(B61,[1]characters!$A:$J,10,FALSE)</f>
        <v>PremiumSSw</v>
      </c>
      <c r="J61" s="7">
        <f>VLOOKUP(B61,[1]characters!$A:$I,9,FALSE)</f>
        <v>5</v>
      </c>
      <c r="K61" s="7" t="str">
        <f>VLOOKUP(B61,[1]characters!$A:$H,8,FALSE)</f>
        <v>green</v>
      </c>
      <c r="L61" s="7" t="str">
        <f>VLOOKUP(B61,[1]characters!$A:$K,11,FALSE)</f>
        <v>balance</v>
      </c>
      <c r="M61" s="7" t="str">
        <f>VLOOKUP(B61,[1]characters!$A:$M,13,FALSE)</f>
        <v>animal</v>
      </c>
      <c r="N61" s="7" t="str">
        <f>VLOOKUP(B61,[1]characters!$A:$G,7,FALSE)</f>
        <v>不明</v>
      </c>
      <c r="O61" s="45">
        <f ca="1">IFERROR(VLOOKUP(B61,input_500100!L:R,7,FALSE),VLOOKUP(tables_500100!C61,input_500100!A:H,8,FALSE))</f>
        <v>27140</v>
      </c>
      <c r="P61" s="46">
        <f t="shared" ca="1" si="3"/>
        <v>4.5384615384387716E-3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input_500100!A$2</f>
        <v>500100</v>
      </c>
      <c r="B62" s="8">
        <v>1139</v>
      </c>
      <c r="C62" s="7" t="str">
        <f t="shared" si="0"/>
        <v>PremiumSS5R5only</v>
      </c>
      <c r="D62" s="7" t="str">
        <f t="shared" si="2"/>
        <v>PremiumSS</v>
      </c>
      <c r="E62" s="7" t="str">
        <f>IF(COUNTIF('R6追加前'!A:A,B62)=0,IF(OR(I62="PremiumSS",I62="PremiumSSw"),"R5only","R3less"),"")</f>
        <v>R5only</v>
      </c>
      <c r="F62" s="7" t="str">
        <f>IF(COUNTIF('R6開放'!A:A,B62)&gt;0,"R6release","")</f>
        <v/>
      </c>
      <c r="G62" s="7"/>
      <c r="H62" s="7" t="str">
        <f>VLOOKUP(B62,[1]characters!$A:$C,3,FALSE)</f>
        <v>趙雲</v>
      </c>
      <c r="I62" s="7" t="str">
        <f>VLOOKUP(B62,[1]characters!$A:$J,10,FALSE)</f>
        <v>PremiumSS</v>
      </c>
      <c r="J62" s="7">
        <f>VLOOKUP(B62,[1]characters!$A:$I,9,FALSE)</f>
        <v>5</v>
      </c>
      <c r="K62" s="7" t="str">
        <f>VLOOKUP(B62,[1]characters!$A:$H,8,FALSE)</f>
        <v>green</v>
      </c>
      <c r="L62" s="7" t="str">
        <f>VLOOKUP(B62,[1]characters!$A:$K,11,FALSE)</f>
        <v>balance</v>
      </c>
      <c r="M62" s="7" t="str">
        <f>VLOOKUP(B62,[1]characters!$A:$M,13,FALSE)</f>
        <v>samurai</v>
      </c>
      <c r="N62" s="7" t="str">
        <f>VLOOKUP(B62,[1]characters!$A:$G,7,FALSE)</f>
        <v>不明</v>
      </c>
      <c r="O62" s="45">
        <f ca="1">IFERROR(VLOOKUP(B62,input_500100!L:R,7,FALSE),VLOOKUP(tables_500100!C62,input_500100!A:H,8,FALSE))</f>
        <v>27140</v>
      </c>
      <c r="P62" s="46">
        <f t="shared" ca="1" si="3"/>
        <v>4.5384615384387716E-3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input_500100!A$2</f>
        <v>500100</v>
      </c>
      <c r="B63" s="8">
        <v>1153</v>
      </c>
      <c r="C63" s="7" t="str">
        <f t="shared" si="0"/>
        <v>PremiumSS5R5only</v>
      </c>
      <c r="D63" s="7" t="str">
        <f t="shared" si="2"/>
        <v>PremiumSS</v>
      </c>
      <c r="E63" s="7" t="str">
        <f>IF(COUNTIF('R6追加前'!A:A,B63)=0,IF(OR(I63="PremiumSS",I63="PremiumSSw"),"R5only","R3less"),"")</f>
        <v>R5only</v>
      </c>
      <c r="F63" s="7" t="str">
        <f>IF(COUNTIF('R6開放'!A:A,B63)&gt;0,"R6release","")</f>
        <v/>
      </c>
      <c r="G63" s="7"/>
      <c r="H63" s="7" t="str">
        <f>VLOOKUP(B63,[1]characters!$A:$C,3,FALSE)</f>
        <v>ラクシュミー</v>
      </c>
      <c r="I63" s="7" t="str">
        <f>VLOOKUP(B63,[1]characters!$A:$J,10,FALSE)</f>
        <v>PremiumSSw</v>
      </c>
      <c r="J63" s="7">
        <f>VLOOKUP(B63,[1]characters!$A:$I,9,FALSE)</f>
        <v>5</v>
      </c>
      <c r="K63" s="7" t="str">
        <f>VLOOKUP(B63,[1]characters!$A:$H,8,FALSE)</f>
        <v>green</v>
      </c>
      <c r="L63" s="7" t="str">
        <f>VLOOKUP(B63,[1]characters!$A:$K,11,FALSE)</f>
        <v>hp</v>
      </c>
      <c r="M63" s="7" t="str">
        <f>VLOOKUP(B63,[1]characters!$A:$M,13,FALSE)</f>
        <v>god</v>
      </c>
      <c r="N63" s="7" t="str">
        <f>VLOOKUP(B63,[1]characters!$A:$G,7,FALSE)</f>
        <v>不明</v>
      </c>
      <c r="O63" s="45">
        <f ca="1">IFERROR(VLOOKUP(B63,input_500100!L:R,7,FALSE),VLOOKUP(tables_500100!C63,input_500100!A:H,8,FALSE))</f>
        <v>27140</v>
      </c>
      <c r="P63" s="46">
        <f t="shared" ca="1" si="3"/>
        <v>4.5384615384387716E-3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input_500100!A$2</f>
        <v>500100</v>
      </c>
      <c r="B64" s="8">
        <v>1210</v>
      </c>
      <c r="C64" s="7" t="str">
        <f t="shared" si="0"/>
        <v>Premium4R3less</v>
      </c>
      <c r="D64" s="7" t="str">
        <f t="shared" si="2"/>
        <v>Premium</v>
      </c>
      <c r="E64" s="7" t="str">
        <f>IF(COUNTIF('R6追加前'!A:A,B64)=0,IF(OR(I64="PremiumSS",I64="PremiumSSw"),"R5only","R3less"),"")</f>
        <v>R3less</v>
      </c>
      <c r="F64" s="7" t="str">
        <f>IF(COUNTIF('R6開放'!A:A,B64)&gt;0,"R6release","")</f>
        <v/>
      </c>
      <c r="G64" s="7"/>
      <c r="H64" s="7" t="str">
        <f>VLOOKUP(B64,[1]characters!$A:$C,3,FALSE)</f>
        <v>ケンタウロス</v>
      </c>
      <c r="I64" s="7" t="str">
        <f>VLOOKUP(B64,[1]characters!$A:$J,10,FALSE)</f>
        <v>PremiumS</v>
      </c>
      <c r="J64" s="7">
        <f>VLOOKUP(B64,[1]characters!$A:$I,9,FALSE)</f>
        <v>4</v>
      </c>
      <c r="K64" s="7" t="str">
        <f>VLOOKUP(B64,[1]characters!$A:$H,8,FALSE)</f>
        <v>green</v>
      </c>
      <c r="L64" s="7" t="str">
        <f>VLOOKUP(B64,[1]characters!$A:$K,11,FALSE)</f>
        <v>attack</v>
      </c>
      <c r="M64" s="7" t="str">
        <f>VLOOKUP(B64,[1]characters!$A:$M,13,FALSE)</f>
        <v>god</v>
      </c>
      <c r="N64" s="7">
        <f>VLOOKUP(B64,[1]characters!$A:$G,7,FALSE)</f>
        <v>0</v>
      </c>
      <c r="O64" s="45">
        <f ca="1">IFERROR(VLOOKUP(B64,input_500100!L:R,7,FALSE),VLOOKUP(tables_500100!C64,input_500100!A:H,8,FALSE))</f>
        <v>202921.875</v>
      </c>
      <c r="P64" s="46">
        <f t="shared" ca="1" si="3"/>
        <v>3.3933423912873253E-2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input_500100!A$2</f>
        <v>500100</v>
      </c>
      <c r="B65" s="8">
        <v>1211</v>
      </c>
      <c r="C65" s="7" t="str">
        <f t="shared" si="0"/>
        <v>Premium5R3less</v>
      </c>
      <c r="D65" s="7" t="str">
        <f t="shared" si="2"/>
        <v>Premium</v>
      </c>
      <c r="E65" s="7" t="str">
        <f>IF(COUNTIF('R6追加前'!A:A,B65)=0,IF(OR(I65="PremiumSS",I65="PremiumSSw"),"R5only","R3less"),"")</f>
        <v>R3less</v>
      </c>
      <c r="F65" s="7" t="str">
        <f>IF(COUNTIF('R6開放'!A:A,B65)&gt;0,"R6release","")</f>
        <v/>
      </c>
      <c r="G65" s="7"/>
      <c r="H65" s="7" t="str">
        <f>VLOOKUP(B65,[1]characters!$A:$C,3,FALSE)</f>
        <v>奏駆の翻騎 ケンタウロス</v>
      </c>
      <c r="I65" s="7" t="str">
        <f>VLOOKUP(B65,[1]characters!$A:$J,10,FALSE)</f>
        <v>PremiumS</v>
      </c>
      <c r="J65" s="7">
        <f>VLOOKUP(B65,[1]characters!$A:$I,9,FALSE)</f>
        <v>5</v>
      </c>
      <c r="K65" s="7" t="str">
        <f>VLOOKUP(B65,[1]characters!$A:$H,8,FALSE)</f>
        <v>green</v>
      </c>
      <c r="L65" s="7" t="str">
        <f>VLOOKUP(B65,[1]characters!$A:$K,11,FALSE)</f>
        <v>attack</v>
      </c>
      <c r="M65" s="7" t="str">
        <f>VLOOKUP(B65,[1]characters!$A:$M,13,FALSE)</f>
        <v>god</v>
      </c>
      <c r="N65" s="7">
        <f>VLOOKUP(B65,[1]characters!$A:$G,7,FALSE)</f>
        <v>0</v>
      </c>
      <c r="O65" s="45">
        <f ca="1">IFERROR(VLOOKUP(B65,input_500100!L:R,7,FALSE),VLOOKUP(tables_500100!C65,input_500100!A:H,8,FALSE))</f>
        <v>30062.5</v>
      </c>
      <c r="P65" s="46">
        <f t="shared" ca="1" si="3"/>
        <v>5.0271739130182602E-3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input_500100!A$2</f>
        <v>500100</v>
      </c>
      <c r="B66" s="6">
        <v>1226</v>
      </c>
      <c r="C66" s="7" t="str">
        <f t="shared" ref="C66:C72" si="4">D66&amp;J66&amp;E66&amp;F66&amp;G66</f>
        <v>PremiumSS5R5only</v>
      </c>
      <c r="D66" s="7" t="str">
        <f t="shared" si="2"/>
        <v>PremiumSS</v>
      </c>
      <c r="E66" s="7" t="str">
        <f>IF(COUNTIF('R6追加前'!A:A,B66)=0,IF(OR(I66="PremiumSS",I66="PremiumSSw"),"R5only","R3less"),"")</f>
        <v>R5only</v>
      </c>
      <c r="F66" s="7" t="str">
        <f>IF(COUNTIF('R6開放'!A:A,B66)&gt;0,"R6release","")</f>
        <v/>
      </c>
      <c r="G66" s="7"/>
      <c r="H66" s="7" t="str">
        <f>VLOOKUP(B66,[1]characters!$A:$C,3,FALSE)</f>
        <v>トルストイ</v>
      </c>
      <c r="I66" s="7" t="str">
        <f>VLOOKUP(B66,[1]characters!$A:$J,10,FALSE)</f>
        <v>PremiumSS</v>
      </c>
      <c r="J66" s="7">
        <f>VLOOKUP(B66,[1]characters!$A:$I,9,FALSE)</f>
        <v>5</v>
      </c>
      <c r="K66" s="7" t="str">
        <f>VLOOKUP(B66,[1]characters!$A:$H,8,FALSE)</f>
        <v>green</v>
      </c>
      <c r="L66" s="7" t="str">
        <f>VLOOKUP(B66,[1]characters!$A:$K,11,FALSE)</f>
        <v>attack</v>
      </c>
      <c r="M66" s="7" t="str">
        <f>VLOOKUP(B66,[1]characters!$A:$M,13,FALSE)</f>
        <v>human</v>
      </c>
      <c r="N66" s="7">
        <f>VLOOKUP(B66,[1]characters!$A:$G,7,FALSE)</f>
        <v>0</v>
      </c>
      <c r="O66" s="45">
        <f ca="1">IFERROR(VLOOKUP(B66,input_500100!L:R,7,FALSE),VLOOKUP(tables_500100!C66,input_500100!A:H,8,FALSE))</f>
        <v>27140</v>
      </c>
      <c r="P66" s="46">
        <f t="shared" ref="P66:P97" ca="1" si="5">O66/SUM(O:O)</f>
        <v>4.5384615384387716E-3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input_500100!A$2</f>
        <v>500100</v>
      </c>
      <c r="B67" s="6">
        <v>1246</v>
      </c>
      <c r="C67" s="7" t="str">
        <f t="shared" si="4"/>
        <v>PremiumSS5R5only</v>
      </c>
      <c r="D67" s="7" t="str">
        <f t="shared" ref="D67:D72" si="6">IF(OR(I67="PremiumSS",I67="PremiumSSw"),"PremiumSS",IF(I67="PremiumSSS",I67,IF(I67="PremiumW",IF(J67=5,"premium",I67),"Premium")))</f>
        <v>PremiumSS</v>
      </c>
      <c r="E67" s="7" t="str">
        <f>IF(COUNTIF('R6追加前'!A:A,B67)=0,IF(OR(I67="PremiumSS",I67="PremiumSSw"),"R5only","R3less"),"")</f>
        <v>R5only</v>
      </c>
      <c r="F67" s="7" t="str">
        <f>IF(COUNTIF('R6開放'!A:A,B67)&gt;0,"R6release","")</f>
        <v/>
      </c>
      <c r="G67" s="7"/>
      <c r="H67" s="7" t="str">
        <f>VLOOKUP(B67,[1]characters!$A:$C,3,FALSE)</f>
        <v>望月千代女</v>
      </c>
      <c r="I67" s="7" t="str">
        <f>VLOOKUP(B67,[1]characters!$A:$J,10,FALSE)</f>
        <v>PremiumSS</v>
      </c>
      <c r="J67" s="7">
        <f>VLOOKUP(B67,[1]characters!$A:$I,9,FALSE)</f>
        <v>5</v>
      </c>
      <c r="K67" s="7" t="str">
        <f>VLOOKUP(B67,[1]characters!$A:$H,8,FALSE)</f>
        <v>green</v>
      </c>
      <c r="L67" s="7" t="str">
        <f>VLOOKUP(B67,[1]characters!$A:$K,11,FALSE)</f>
        <v>heal</v>
      </c>
      <c r="M67" s="7" t="str">
        <f>VLOOKUP(B67,[1]characters!$A:$M,13,FALSE)</f>
        <v>human</v>
      </c>
      <c r="N67" s="7">
        <f>VLOOKUP(B67,[1]characters!$A:$G,7,FALSE)</f>
        <v>0</v>
      </c>
      <c r="O67" s="45">
        <f ca="1">IFERROR(VLOOKUP(B67,input_500100!L:R,7,FALSE),VLOOKUP(tables_500100!C67,input_500100!A:H,8,FALSE))</f>
        <v>27140</v>
      </c>
      <c r="P67" s="46">
        <f t="shared" ca="1" si="5"/>
        <v>4.5384615384387716E-3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input_500100!A$2</f>
        <v>500100</v>
      </c>
      <c r="B68" s="1">
        <v>378</v>
      </c>
      <c r="C68" s="7" t="str">
        <f t="shared" si="4"/>
        <v>PremiumSSS4R3less</v>
      </c>
      <c r="D68" s="7" t="str">
        <f t="shared" si="6"/>
        <v>PremiumSSS</v>
      </c>
      <c r="E68" s="7" t="str">
        <f>IF(COUNTIF('R6追加前'!A:A,B68)=0,IF(OR(I68="PremiumSS",I68="PremiumSSw"),"R5only","R3less"),"")</f>
        <v>R3less</v>
      </c>
      <c r="F68" s="7" t="str">
        <f>IF(COUNTIF('R6開放'!A:A,B68)&gt;0,"R6release","")</f>
        <v/>
      </c>
      <c r="G68" s="7"/>
      <c r="H68" s="7" t="str">
        <f>VLOOKUP(B68,[1]characters!$A:$C,3,FALSE)</f>
        <v>オイラー</v>
      </c>
      <c r="I68" s="7" t="str">
        <f>VLOOKUP(B68,[1]characters!$A:$J,10,FALSE)</f>
        <v>PremiumSSS</v>
      </c>
      <c r="J68" s="7">
        <f>VLOOKUP(B68,[1]characters!$A:$I,9,FALSE)</f>
        <v>4</v>
      </c>
      <c r="K68" s="7" t="str">
        <f>VLOOKUP(B68,[1]characters!$A:$H,8,FALSE)</f>
        <v>green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>IFERROR(VLOOKUP(B68,input_500100!L:R,7,FALSE),VLOOKUP(tables_500100!C68,input_500100!A:H,8,FALSE))</f>
        <v>14950</v>
      </c>
      <c r="P68" s="46">
        <f t="shared" ca="1" si="5"/>
        <v>2.4999999999874589E-3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input_500100!A$2</f>
        <v>500100</v>
      </c>
      <c r="B69" s="1">
        <v>379</v>
      </c>
      <c r="C69" s="7" t="str">
        <f t="shared" si="4"/>
        <v>PremiumSSS5R3less</v>
      </c>
      <c r="D69" s="7" t="str">
        <f t="shared" si="6"/>
        <v>PremiumSSS</v>
      </c>
      <c r="E69" s="7" t="str">
        <f>IF(COUNTIF('R6追加前'!A:A,B69)=0,IF(OR(I69="PremiumSS",I69="PremiumSSw"),"R5only","R3less"),"")</f>
        <v>R3less</v>
      </c>
      <c r="F69" s="7" t="str">
        <f>IF(COUNTIF('R6開放'!A:A,B69)&gt;0,"R6release","")</f>
        <v/>
      </c>
      <c r="G69" s="7"/>
      <c r="H69" s="7" t="str">
        <f>VLOOKUP(B69,[1]characters!$A:$C,3,FALSE)</f>
        <v>幾何の機刃 オイラー</v>
      </c>
      <c r="I69" s="7" t="str">
        <f>VLOOKUP(B69,[1]characters!$A:$J,10,FALSE)</f>
        <v>PremiumSSS</v>
      </c>
      <c r="J69" s="7">
        <f>VLOOKUP(B69,[1]characters!$A:$I,9,FALSE)</f>
        <v>5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>IFERROR(VLOOKUP(B69,input_500100!L:R,7,FALSE),VLOOKUP(tables_500100!C69,input_500100!A:H,8,FALSE))</f>
        <v>14950</v>
      </c>
      <c r="P69" s="46">
        <f t="shared" ca="1" si="5"/>
        <v>2.4999999999874589E-3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input_500100!A$2</f>
        <v>500100</v>
      </c>
      <c r="B70" s="1">
        <v>750</v>
      </c>
      <c r="C70" s="7" t="str">
        <f t="shared" si="4"/>
        <v>PremiumSSS5R3less</v>
      </c>
      <c r="D70" s="7" t="str">
        <f t="shared" si="6"/>
        <v>PremiumSSS</v>
      </c>
      <c r="E70" s="7" t="str">
        <f>IF(COUNTIF('R6追加前'!A:A,B70)=0,IF(OR(I70="PremiumSS",I70="PremiumSSw"),"R5only","R3less"),"")</f>
        <v>R3less</v>
      </c>
      <c r="F70" s="7" t="str">
        <f>IF(COUNTIF('R6開放'!A:A,B70)&gt;0,"R6release","")</f>
        <v/>
      </c>
      <c r="G70" s="7"/>
      <c r="H70" s="7" t="str">
        <f>VLOOKUP(B70,[1]characters!$A:$C,3,FALSE)</f>
        <v>ポアソン</v>
      </c>
      <c r="I70" s="7" t="str">
        <f>VLOOKUP(B70,[1]characters!$A:$J,10,FALSE)</f>
        <v>PremiumSSS</v>
      </c>
      <c r="J70" s="7">
        <f>VLOOKUP(B70,[1]characters!$A:$I,9,FALSE)</f>
        <v>5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academia</v>
      </c>
      <c r="N70" s="7" t="str">
        <f>VLOOKUP(B70,[1]characters!$A:$G,7,FALSE)</f>
        <v>男性</v>
      </c>
      <c r="O70" s="45">
        <f>IFERROR(VLOOKUP(B70,input_500100!L:R,7,FALSE),VLOOKUP(tables_500100!C70,input_500100!A:H,8,FALSE))</f>
        <v>29900</v>
      </c>
      <c r="P70" s="46">
        <f t="shared" ca="1" si="5"/>
        <v>4.9999999999749177E-3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input_500100!A$2</f>
        <v>500100</v>
      </c>
      <c r="B71" s="1">
        <v>1159</v>
      </c>
      <c r="C71" s="7" t="str">
        <f t="shared" si="4"/>
        <v>PremiumSSS5R3less</v>
      </c>
      <c r="D71" s="7" t="str">
        <f t="shared" si="6"/>
        <v>PremiumSSS</v>
      </c>
      <c r="E71" s="7" t="str">
        <f>IF(COUNTIF('R6追加前'!A:A,B71)=0,IF(OR(I71="PremiumSS",I71="PremiumSSw"),"R5only","R3less"),"")</f>
        <v>R3less</v>
      </c>
      <c r="F71" s="7" t="str">
        <f>IF(COUNTIF('R6開放'!A:A,B71)&gt;0,"R6release","")</f>
        <v/>
      </c>
      <c r="G71" s="7"/>
      <c r="H71" s="7" t="str">
        <f>VLOOKUP(B71,[1]characters!$A:$C,3,FALSE)</f>
        <v>ガロア</v>
      </c>
      <c r="I71" s="7" t="str">
        <f>VLOOKUP(B71,[1]characters!$A:$J,10,FALSE)</f>
        <v>PremiumSSS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attack</v>
      </c>
      <c r="M71" s="7" t="str">
        <f>VLOOKUP(B71,[1]characters!$A:$M,13,FALSE)</f>
        <v>academia</v>
      </c>
      <c r="N71" s="7" t="str">
        <f>VLOOKUP(B71,[1]characters!$A:$G,7,FALSE)</f>
        <v>不明</v>
      </c>
      <c r="O71" s="45">
        <f>IFERROR(VLOOKUP(B71,input_500100!L:R,7,FALSE),VLOOKUP(tables_500100!C71,input_500100!A:H,8,FALSE))</f>
        <v>29900</v>
      </c>
      <c r="P71" s="46">
        <f t="shared" ca="1" si="5"/>
        <v>4.9999999999749177E-3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input_500100!A$2</f>
        <v>500100</v>
      </c>
      <c r="B72" s="1">
        <v>487</v>
      </c>
      <c r="C72" s="7" t="str">
        <f t="shared" si="4"/>
        <v>PremiumSSS5R3less</v>
      </c>
      <c r="D72" s="7" t="str">
        <f t="shared" si="6"/>
        <v>PremiumSSS</v>
      </c>
      <c r="E72" s="7" t="str">
        <f>IF(COUNTIF('R6追加前'!A:A,B72)=0,IF(OR(I72="PremiumSS",I72="PremiumSSw"),"R5only","R3less"),"")</f>
        <v>R3less</v>
      </c>
      <c r="F72" s="7" t="str">
        <f>IF(COUNTIF('R6開放'!A:A,B72)&gt;0,"R6release","")</f>
        <v/>
      </c>
      <c r="G72" s="7"/>
      <c r="H72" s="7" t="str">
        <f>VLOOKUP(B72,[1]characters!$A:$C,3,FALSE)</f>
        <v>暴創の造物 チューリング</v>
      </c>
      <c r="I72" s="7" t="str">
        <f>VLOOKUP(B72,[1]characters!$A:$J,10,FALSE)</f>
        <v>PremiumSSS</v>
      </c>
      <c r="J72" s="7">
        <f>VLOOKUP(B72,[1]characters!$A:$I,9,FALSE)</f>
        <v>5</v>
      </c>
      <c r="K72" s="7" t="str">
        <f>VLOOKUP(B72,[1]characters!$A:$H,8,FALSE)</f>
        <v>green</v>
      </c>
      <c r="L72" s="7" t="str">
        <f>VLOOKUP(B72,[1]characters!$A:$K,11,FALSE)</f>
        <v>hp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>IFERROR(VLOOKUP(B72,input_500100!L:R,7,FALSE),VLOOKUP(tables_500100!C72,input_500100!A:H,8,FALSE))</f>
        <v>29900</v>
      </c>
      <c r="P72" s="46">
        <f t="shared" ca="1" si="5"/>
        <v>4.9999999999749177E-3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</sheetData>
  <autoFilter ref="A1:V72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45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 activeCell="O39" sqref="O3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input_500100!A$2</f>
        <v>500100</v>
      </c>
      <c r="B2" s="6">
        <v>171</v>
      </c>
      <c r="C2" s="7" t="str">
        <f t="shared" ref="C2:C37" si="0">D2&amp;J2&amp;E2&amp;F2&amp;G2</f>
        <v>Premium5R6release</v>
      </c>
      <c r="D2" s="7" t="str">
        <f>IF(OR(I2="PremiumSS",I2="PremiumSSw"),"PremiumSS",IF(I2="PremiumSSS",I2,IF(I2="PremiumW",IF(J2=5,"premium",I2),"Premium")))</f>
        <v>Premium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>R6release</v>
      </c>
      <c r="G2" s="7"/>
      <c r="H2" s="7" t="str">
        <f>VLOOKUP(B2,[1]characters!$A:$C,3,FALSE)</f>
        <v>精解の預知者 オセ</v>
      </c>
      <c r="I2" s="7" t="str">
        <f>VLOOKUP(B2,[1]characters!$A:$J,10,FALSE)</f>
        <v>PremiumN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attack</v>
      </c>
      <c r="M2" s="7" t="str">
        <f>VLOOKUP(B2,[1]characters!$A:$M,13,FALSE)</f>
        <v>god</v>
      </c>
      <c r="N2" s="7" t="str">
        <f>VLOOKUP(B2,[1]characters!$A:$G,7,FALSE)</f>
        <v>女性</v>
      </c>
      <c r="O2" s="45">
        <f>IF(D2="Premium",6154,570)</f>
        <v>6154</v>
      </c>
      <c r="P2" s="46">
        <f>O2/SUM(O:O)</f>
        <v>4.7631578947368421E-2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input_500100!A$2</f>
        <v>500100</v>
      </c>
      <c r="B3" s="6">
        <v>183</v>
      </c>
      <c r="C3" s="7" t="str">
        <f t="shared" si="0"/>
        <v>Premium5</v>
      </c>
      <c r="D3" s="7" t="str">
        <f t="shared" ref="D3:D37" si="1">IF(OR(I3="PremiumSS",I3="PremiumSSw"),"PremiumSS",IF(I3="PremiumSSS",I3,IF(I3="PremiumW",IF(J3=5,"premium",I3),"Premium")))</f>
        <v>Premium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鈍重な彷徨者 ベヒモス</v>
      </c>
      <c r="I3" s="7" t="str">
        <f>VLOOKUP(B3,[1]characters!$A:$J,10,FALSE)</f>
        <v>PremiumN</v>
      </c>
      <c r="J3" s="7">
        <f>VLOOKUP(B3,[1]characters!$A:$I,9,FALSE)</f>
        <v>5</v>
      </c>
      <c r="K3" s="7" t="str">
        <f>VLOOKUP(B3,[1]characters!$A:$H,8,FALSE)</f>
        <v>green</v>
      </c>
      <c r="L3" s="7" t="str">
        <f>VLOOKUP(B3,[1]characters!$A:$K,11,FALSE)</f>
        <v>hp</v>
      </c>
      <c r="M3" s="7" t="str">
        <f>VLOOKUP(B3,[1]characters!$A:$M,13,FALSE)</f>
        <v>animal</v>
      </c>
      <c r="N3" s="7" t="str">
        <f>VLOOKUP(B3,[1]characters!$A:$G,7,FALSE)</f>
        <v>女性</v>
      </c>
      <c r="O3" s="45">
        <f t="shared" ref="O3:O37" si="2">IF(D3="Premium",6154,570)</f>
        <v>6154</v>
      </c>
      <c r="P3" s="46">
        <f>O3/SUM(O:O)</f>
        <v>4.7631578947368421E-2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input_500100!A$2</f>
        <v>500100</v>
      </c>
      <c r="B4" s="6">
        <v>195</v>
      </c>
      <c r="C4" s="7" t="str">
        <f t="shared" si="0"/>
        <v>Premium5</v>
      </c>
      <c r="D4" s="7" t="str">
        <f t="shared" si="1"/>
        <v>Premium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グランドハンター ロビンフッド</v>
      </c>
      <c r="I4" s="7" t="str">
        <f>VLOOKUP(B4,[1]characters!$A:$J,10,FALSE)</f>
        <v>PremiumN</v>
      </c>
      <c r="J4" s="7">
        <f>VLOOKUP(B4,[1]characters!$A:$I,9,FALSE)</f>
        <v>5</v>
      </c>
      <c r="K4" s="7" t="str">
        <f>VLOOKUP(B4,[1]characters!$A:$H,8,FALSE)</f>
        <v>green</v>
      </c>
      <c r="L4" s="7" t="str">
        <f>VLOOKUP(B4,[1]characters!$A:$K,11,FALSE)</f>
        <v>balance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t="shared" si="2"/>
        <v>6154</v>
      </c>
      <c r="P4" s="46">
        <f>O4/SUM(O:O)</f>
        <v>4.7631578947368421E-2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input_500100!A$2</f>
        <v>500100</v>
      </c>
      <c r="B5" s="6">
        <v>207</v>
      </c>
      <c r="C5" s="7" t="str">
        <f t="shared" si="0"/>
        <v>Premium5</v>
      </c>
      <c r="D5" s="7" t="str">
        <f t="shared" si="1"/>
        <v>Premium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豊穣の麗神・アフロディーテ</v>
      </c>
      <c r="I5" s="7" t="str">
        <f>VLOOKUP(B5,[1]characters!$A:$J,10,FALSE)</f>
        <v>PremiumN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hp</v>
      </c>
      <c r="M5" s="7" t="str">
        <f>VLOOKUP(B5,[1]characters!$A:$M,13,FALSE)</f>
        <v>god</v>
      </c>
      <c r="N5" s="7" t="str">
        <f>VLOOKUP(B5,[1]characters!$A:$G,7,FALSE)</f>
        <v>女性</v>
      </c>
      <c r="O5" s="45">
        <f t="shared" si="2"/>
        <v>6154</v>
      </c>
      <c r="P5" s="46">
        <f>O5/SUM(O:O)</f>
        <v>4.7631578947368421E-2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input_500100!A$2</f>
        <v>500100</v>
      </c>
      <c r="B6" s="6">
        <v>219</v>
      </c>
      <c r="C6" s="7" t="str">
        <f t="shared" si="0"/>
        <v>Premium5</v>
      </c>
      <c r="D6" s="7" t="str">
        <f t="shared" si="1"/>
        <v>Premium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覇翼の聖蛇竜 ケツァクアトル</v>
      </c>
      <c r="I6" s="7" t="str">
        <f>VLOOKUP(B6,[1]characters!$A:$J,10,FALSE)</f>
        <v>PremiumN</v>
      </c>
      <c r="J6" s="7">
        <f>VLOOKUP(B6,[1]characters!$A:$I,9,FALSE)</f>
        <v>5</v>
      </c>
      <c r="K6" s="7" t="str">
        <f>VLOOKUP(B6,[1]characters!$A:$H,8,FALSE)</f>
        <v>green</v>
      </c>
      <c r="L6" s="7" t="str">
        <f>VLOOKUP(B6,[1]characters!$A:$K,11,FALSE)</f>
        <v>hp</v>
      </c>
      <c r="M6" s="7" t="str">
        <f>VLOOKUP(B6,[1]characters!$A:$M,13,FALSE)</f>
        <v>dragon</v>
      </c>
      <c r="N6" s="7" t="str">
        <f>VLOOKUP(B6,[1]characters!$A:$G,7,FALSE)</f>
        <v>女性</v>
      </c>
      <c r="O6" s="45">
        <f t="shared" si="2"/>
        <v>6154</v>
      </c>
      <c r="P6" s="46">
        <f>O6/SUM(O:O)</f>
        <v>4.7631578947368421E-2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input_500100!A$2</f>
        <v>500100</v>
      </c>
      <c r="B7" s="6">
        <v>231</v>
      </c>
      <c r="C7" s="7" t="str">
        <f t="shared" si="0"/>
        <v>Premium5</v>
      </c>
      <c r="D7" s="7" t="str">
        <f t="shared" si="1"/>
        <v>Premium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必中の咬銃 ヨルムンガンド</v>
      </c>
      <c r="I7" s="7" t="str">
        <f>VLOOKUP(B7,[1]characters!$A:$J,10,FALSE)</f>
        <v>PremiumS</v>
      </c>
      <c r="J7" s="7">
        <f>VLOOKUP(B7,[1]characters!$A:$I,9,FALSE)</f>
        <v>5</v>
      </c>
      <c r="K7" s="7" t="str">
        <f>VLOOKUP(B7,[1]characters!$A:$H,8,FALSE)</f>
        <v>green</v>
      </c>
      <c r="L7" s="7" t="str">
        <f>VLOOKUP(B7,[1]characters!$A:$K,11,FALSE)</f>
        <v>technical</v>
      </c>
      <c r="M7" s="7" t="str">
        <f>VLOOKUP(B7,[1]characters!$A:$M,13,FALSE)</f>
        <v>dragon</v>
      </c>
      <c r="N7" s="7" t="str">
        <f>VLOOKUP(B7,[1]characters!$A:$G,7,FALSE)</f>
        <v>女性</v>
      </c>
      <c r="O7" s="45">
        <f t="shared" si="2"/>
        <v>6154</v>
      </c>
      <c r="P7" s="46">
        <f>O7/SUM(O:O)</f>
        <v>4.7631578947368421E-2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input_500100!A$2</f>
        <v>500100</v>
      </c>
      <c r="B8" s="6">
        <v>243</v>
      </c>
      <c r="C8" s="7" t="str">
        <f t="shared" si="0"/>
        <v>Premium5</v>
      </c>
      <c r="D8" s="7" t="str">
        <f t="shared" si="1"/>
        <v>Premium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万花の天使 ガブリエル・ブルーム</v>
      </c>
      <c r="I8" s="7" t="str">
        <f>VLOOKUP(B8,[1]characters!$A:$J,10,FALSE)</f>
        <v>PremiumS</v>
      </c>
      <c r="J8" s="7">
        <f>VLOOKUP(B8,[1]characters!$A:$I,9,FALSE)</f>
        <v>5</v>
      </c>
      <c r="K8" s="7" t="str">
        <f>VLOOKUP(B8,[1]characters!$A:$H,8,FALSE)</f>
        <v>green</v>
      </c>
      <c r="L8" s="7" t="str">
        <f>VLOOKUP(B8,[1]characters!$A:$K,11,FALSE)</f>
        <v>balance</v>
      </c>
      <c r="M8" s="7" t="str">
        <f>VLOOKUP(B8,[1]characters!$A:$M,13,FALSE)</f>
        <v>machine</v>
      </c>
      <c r="N8" s="7" t="str">
        <f>VLOOKUP(B8,[1]characters!$A:$G,7,FALSE)</f>
        <v>女性</v>
      </c>
      <c r="O8" s="45">
        <f t="shared" si="2"/>
        <v>6154</v>
      </c>
      <c r="P8" s="46">
        <f>O8/SUM(O:O)</f>
        <v>4.7631578947368421E-2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input_500100!A$2</f>
        <v>500100</v>
      </c>
      <c r="B9" s="6">
        <v>255</v>
      </c>
      <c r="C9" s="7" t="str">
        <f t="shared" si="0"/>
        <v>Premium5</v>
      </c>
      <c r="D9" s="7" t="str">
        <f t="shared" si="1"/>
        <v>Premium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怠惰の頂点 ベルフェゴール</v>
      </c>
      <c r="I9" s="7" t="str">
        <f>VLOOKUP(B9,[1]characters!$A:$J,10,FALSE)</f>
        <v>PremiumS</v>
      </c>
      <c r="J9" s="7">
        <f>VLOOKUP(B9,[1]characters!$A:$I,9,FALSE)</f>
        <v>5</v>
      </c>
      <c r="K9" s="7" t="str">
        <f>VLOOKUP(B9,[1]characters!$A:$H,8,FALSE)</f>
        <v>green</v>
      </c>
      <c r="L9" s="7" t="str">
        <f>VLOOKUP(B9,[1]characters!$A:$K,11,FALSE)</f>
        <v>technical</v>
      </c>
      <c r="M9" s="7" t="str">
        <f>VLOOKUP(B9,[1]characters!$A:$M,13,FALSE)</f>
        <v>god</v>
      </c>
      <c r="N9" s="7" t="str">
        <f>VLOOKUP(B9,[1]characters!$A:$G,7,FALSE)</f>
        <v>女性</v>
      </c>
      <c r="O9" s="45">
        <f t="shared" si="2"/>
        <v>6154</v>
      </c>
      <c r="P9" s="46">
        <f>O9/SUM(O:O)</f>
        <v>4.7631578947368421E-2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input_500100!A$2</f>
        <v>500100</v>
      </c>
      <c r="B10" s="6">
        <v>323</v>
      </c>
      <c r="C10" s="7" t="str">
        <f t="shared" si="0"/>
        <v>PremiumSS5</v>
      </c>
      <c r="D10" s="7" t="str">
        <f t="shared" si="1"/>
        <v>PremiumSS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流麗の愛志士 土方歳三</v>
      </c>
      <c r="I10" s="7" t="str">
        <f>VLOOKUP(B10,[1]characters!$A:$J,10,FALSE)</f>
        <v>PremiumSS</v>
      </c>
      <c r="J10" s="7">
        <f>VLOOKUP(B10,[1]characters!$A:$I,9,FALSE)</f>
        <v>5</v>
      </c>
      <c r="K10" s="7" t="str">
        <f>VLOOKUP(B10,[1]characters!$A:$H,8,FALSE)</f>
        <v>green</v>
      </c>
      <c r="L10" s="7" t="str">
        <f>VLOOKUP(B10,[1]characters!$A:$K,11,FALSE)</f>
        <v>attack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t="shared" si="2"/>
        <v>570</v>
      </c>
      <c r="P10" s="46">
        <f>O10/SUM(O:O)</f>
        <v>4.4117647058823529E-3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input_500100!A$2</f>
        <v>500100</v>
      </c>
      <c r="B11" s="6">
        <v>384</v>
      </c>
      <c r="C11" s="7" t="str">
        <f t="shared" si="0"/>
        <v>PremiumSS5</v>
      </c>
      <c r="D11" s="7" t="str">
        <f t="shared" si="1"/>
        <v>PremiumSS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破国の呑龍 ヤマタノオロチ</v>
      </c>
      <c r="I11" s="7" t="str">
        <f>VLOOKUP(B11,[1]characters!$A:$J,10,FALSE)</f>
        <v>PremiumSS</v>
      </c>
      <c r="J11" s="7">
        <f>VLOOKUP(B11,[1]characters!$A:$I,9,FALSE)</f>
        <v>5</v>
      </c>
      <c r="K11" s="7" t="str">
        <f>VLOOKUP(B11,[1]characters!$A:$H,8,FALSE)</f>
        <v>green</v>
      </c>
      <c r="L11" s="7" t="str">
        <f>VLOOKUP(B11,[1]characters!$A:$K,11,FALSE)</f>
        <v>hp</v>
      </c>
      <c r="M11" s="7" t="str">
        <f>VLOOKUP(B11,[1]characters!$A:$M,13,FALSE)</f>
        <v>dragon</v>
      </c>
      <c r="N11" s="7" t="str">
        <f>VLOOKUP(B11,[1]characters!$A:$G,7,FALSE)</f>
        <v>女性</v>
      </c>
      <c r="O11" s="45">
        <f t="shared" si="2"/>
        <v>570</v>
      </c>
      <c r="P11" s="46">
        <f>O11/SUM(O:O)</f>
        <v>4.4117647058823529E-3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input_500100!A$2</f>
        <v>500100</v>
      </c>
      <c r="B12" s="8">
        <v>394</v>
      </c>
      <c r="C12" s="7" t="str">
        <f t="shared" si="0"/>
        <v>Premium5</v>
      </c>
      <c r="D12" s="7" t="str">
        <f t="shared" si="1"/>
        <v>Premium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影求の悪童 ピーターパン</v>
      </c>
      <c r="I12" s="7" t="str">
        <f>VLOOKUP(B12,[1]characters!$A:$J,10,FALSE)</f>
        <v>PremiumS</v>
      </c>
      <c r="J12" s="7">
        <f>VLOOKUP(B12,[1]characters!$A:$I,9,FALSE)</f>
        <v>5</v>
      </c>
      <c r="K12" s="7" t="str">
        <f>VLOOKUP(B12,[1]characters!$A:$H,8,FALSE)</f>
        <v>green</v>
      </c>
      <c r="L12" s="7" t="str">
        <f>VLOOKUP(B12,[1]characters!$A:$K,11,FALSE)</f>
        <v>attack</v>
      </c>
      <c r="M12" s="7" t="str">
        <f>VLOOKUP(B12,[1]characters!$A:$M,13,FALSE)</f>
        <v>human</v>
      </c>
      <c r="N12" s="7" t="str">
        <f>VLOOKUP(B12,[1]characters!$A:$G,7,FALSE)</f>
        <v>男性</v>
      </c>
      <c r="O12" s="45">
        <f t="shared" si="2"/>
        <v>6154</v>
      </c>
      <c r="P12" s="46">
        <f>O12/SUM(O:O)</f>
        <v>4.7631578947368421E-2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input_500100!A$2</f>
        <v>500100</v>
      </c>
      <c r="B13" s="8">
        <v>404</v>
      </c>
      <c r="C13" s="7" t="str">
        <f t="shared" si="0"/>
        <v>PremiumSS5</v>
      </c>
      <c r="D13" s="7" t="str">
        <f t="shared" si="1"/>
        <v>PremiumSS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空襲の神眼 八咫烏</v>
      </c>
      <c r="I13" s="7" t="str">
        <f>VLOOKUP(B13,[1]characters!$A:$J,10,FALSE)</f>
        <v>PremiumSS</v>
      </c>
      <c r="J13" s="7">
        <f>VLOOKUP(B13,[1]characters!$A:$I,9,FALSE)</f>
        <v>5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animal</v>
      </c>
      <c r="N13" s="7" t="str">
        <f>VLOOKUP(B13,[1]characters!$A:$G,7,FALSE)</f>
        <v>女性</v>
      </c>
      <c r="O13" s="45">
        <f t="shared" si="2"/>
        <v>570</v>
      </c>
      <c r="P13" s="46">
        <f>O13/SUM(O:O)</f>
        <v>4.4117647058823529E-3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input_500100!A$2</f>
        <v>500100</v>
      </c>
      <c r="B14" s="6">
        <v>438</v>
      </c>
      <c r="C14" s="7" t="str">
        <f t="shared" si="0"/>
        <v>Premium5</v>
      </c>
      <c r="D14" s="7" t="str">
        <f t="shared" si="1"/>
        <v>Premium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記憶の奪還 カカシ</v>
      </c>
      <c r="I14" s="7" t="str">
        <f>VLOOKUP(B14,[1]characters!$A:$J,10,FALSE)</f>
        <v>PremiumS</v>
      </c>
      <c r="J14" s="7">
        <f>VLOOKUP(B14,[1]characters!$A:$I,9,FALSE)</f>
        <v>5</v>
      </c>
      <c r="K14" s="7" t="str">
        <f>VLOOKUP(B14,[1]characters!$A:$H,8,FALSE)</f>
        <v>green</v>
      </c>
      <c r="L14" s="7" t="str">
        <f>VLOOKUP(B14,[1]characters!$A:$K,11,FALSE)</f>
        <v>technical</v>
      </c>
      <c r="M14" s="7" t="str">
        <f>VLOOKUP(B14,[1]characters!$A:$M,13,FALSE)</f>
        <v>human</v>
      </c>
      <c r="N14" s="7" t="str">
        <f>VLOOKUP(B14,[1]characters!$A:$G,7,FALSE)</f>
        <v>男性</v>
      </c>
      <c r="O14" s="45">
        <f t="shared" si="2"/>
        <v>6154</v>
      </c>
      <c r="P14" s="46">
        <f>O14/SUM(O:O)</f>
        <v>4.7631578947368421E-2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input_500100!A$2</f>
        <v>500100</v>
      </c>
      <c r="B15" s="6">
        <v>466</v>
      </c>
      <c r="C15" s="7" t="str">
        <f t="shared" si="0"/>
        <v>PremiumSS5</v>
      </c>
      <c r="D15" s="7" t="str">
        <f t="shared" si="1"/>
        <v>PremiumSS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真断の勇覇 ランスロット</v>
      </c>
      <c r="I15" s="7" t="str">
        <f>VLOOKUP(B15,[1]characters!$A:$J,10,FALSE)</f>
        <v>PremiumSS</v>
      </c>
      <c r="J15" s="7">
        <f>VLOOKUP(B15,[1]characters!$A:$I,9,FALSE)</f>
        <v>5</v>
      </c>
      <c r="K15" s="7" t="str">
        <f>VLOOKUP(B15,[1]characters!$A:$H,8,FALSE)</f>
        <v>green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男性</v>
      </c>
      <c r="O15" s="45">
        <f t="shared" si="2"/>
        <v>570</v>
      </c>
      <c r="P15" s="46">
        <f>O15/SUM(O:O)</f>
        <v>4.4117647058823529E-3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input_500100!A$2</f>
        <v>500100</v>
      </c>
      <c r="B16" s="10">
        <v>478</v>
      </c>
      <c r="C16" s="7" t="str">
        <f t="shared" si="0"/>
        <v>Premium5</v>
      </c>
      <c r="D16" s="7" t="str">
        <f t="shared" si="1"/>
        <v>Premium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時計仕掛けの愛羽妖精 ファータ</v>
      </c>
      <c r="I16" s="7" t="str">
        <f>VLOOKUP(B16,[1]characters!$A:$J,10,FALSE)</f>
        <v>PremiumS</v>
      </c>
      <c r="J16" s="7">
        <f>VLOOKUP(B16,[1]characters!$A:$I,9,FALSE)</f>
        <v>5</v>
      </c>
      <c r="K16" s="7" t="str">
        <f>VLOOKUP(B16,[1]characters!$A:$H,8,FALSE)</f>
        <v>green</v>
      </c>
      <c r="L16" s="7" t="str">
        <f>VLOOKUP(B16,[1]characters!$A:$K,11,FALSE)</f>
        <v>heal</v>
      </c>
      <c r="M16" s="7" t="str">
        <f>VLOOKUP(B16,[1]characters!$A:$M,13,FALSE)</f>
        <v>unknown</v>
      </c>
      <c r="N16" s="7" t="str">
        <f>VLOOKUP(B16,[1]characters!$A:$G,7,FALSE)</f>
        <v>女性</v>
      </c>
      <c r="O16" s="45">
        <f t="shared" si="2"/>
        <v>6154</v>
      </c>
      <c r="P16" s="46">
        <f>O16/SUM(O:O)</f>
        <v>4.7631578947368421E-2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input_500100!A$2</f>
        <v>500100</v>
      </c>
      <c r="B17" s="11">
        <v>495</v>
      </c>
      <c r="C17" s="7" t="str">
        <f t="shared" si="0"/>
        <v>PremiumSS5</v>
      </c>
      <c r="D17" s="7" t="str">
        <f t="shared" si="1"/>
        <v>PremiumSS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鼠災呼ぶ笛音 ハーメルン</v>
      </c>
      <c r="I17" s="7" t="str">
        <f>VLOOKUP(B17,[1]characters!$A:$J,10,FALSE)</f>
        <v>PremiumSS</v>
      </c>
      <c r="J17" s="7">
        <f>VLOOKUP(B17,[1]characters!$A:$I,9,FALSE)</f>
        <v>5</v>
      </c>
      <c r="K17" s="7" t="str">
        <f>VLOOKUP(B17,[1]characters!$A:$H,8,FALSE)</f>
        <v>green</v>
      </c>
      <c r="L17" s="7" t="str">
        <f>VLOOKUP(B17,[1]characters!$A:$K,11,FALSE)</f>
        <v>technical</v>
      </c>
      <c r="M17" s="7" t="str">
        <f>VLOOKUP(B17,[1]characters!$A:$M,13,FALSE)</f>
        <v>human</v>
      </c>
      <c r="N17" s="7" t="str">
        <f>VLOOKUP(B17,[1]characters!$A:$G,7,FALSE)</f>
        <v>男性</v>
      </c>
      <c r="O17" s="45">
        <f t="shared" si="2"/>
        <v>570</v>
      </c>
      <c r="P17" s="46">
        <f>O17/SUM(O:O)</f>
        <v>4.4117647058823529E-3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input_500100!A$2</f>
        <v>500100</v>
      </c>
      <c r="B18" s="6">
        <v>561</v>
      </c>
      <c r="C18" s="7" t="str">
        <f t="shared" si="0"/>
        <v>premium5R3less</v>
      </c>
      <c r="D18" s="7" t="str">
        <f t="shared" si="1"/>
        <v>premium</v>
      </c>
      <c r="E18" s="7" t="str">
        <f>IF(COUNTIF('R6追加前'!A:A,B18)=0,IF(OR(I18="PremiumSS",I18="PremiumSSw"),"R5only","R3less"),"")</f>
        <v>R3less</v>
      </c>
      <c r="F18" s="7" t="str">
        <f>IF(COUNTIF('R6開放'!A:A,B18)&gt;0,"R6release","")</f>
        <v/>
      </c>
      <c r="G18" s="7"/>
      <c r="H18" s="7" t="str">
        <f>VLOOKUP(B18,[1]characters!$A:$C,3,FALSE)</f>
        <v>森翠統べる獣姫 アマラ</v>
      </c>
      <c r="I18" s="7" t="str">
        <f>VLOOKUP(B18,[1]characters!$A:$J,10,FALSE)</f>
        <v>PremiumW</v>
      </c>
      <c r="J18" s="7">
        <f>VLOOKUP(B18,[1]characters!$A:$I,9,FALSE)</f>
        <v>5</v>
      </c>
      <c r="K18" s="7" t="str">
        <f>VLOOKUP(B18,[1]characters!$A:$H,8,FALSE)</f>
        <v>green</v>
      </c>
      <c r="L18" s="7" t="str">
        <f>VLOOKUP(B18,[1]characters!$A:$K,11,FALSE)</f>
        <v>attack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t="shared" si="2"/>
        <v>6154</v>
      </c>
      <c r="P18" s="46">
        <f>O18/SUM(O:O)</f>
        <v>4.7631578947368421E-2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input_500100!A$2</f>
        <v>500100</v>
      </c>
      <c r="B19" s="6">
        <v>590</v>
      </c>
      <c r="C19" s="7" t="str">
        <f t="shared" si="0"/>
        <v>Premium5</v>
      </c>
      <c r="D19" s="7" t="str">
        <f t="shared" si="1"/>
        <v>Premium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永遠を廻る呪い ニーベルゲン</v>
      </c>
      <c r="I19" s="7" t="str">
        <f>VLOOKUP(B19,[1]characters!$A:$J,10,FALSE)</f>
        <v>PremiumS</v>
      </c>
      <c r="J19" s="7">
        <f>VLOOKUP(B19,[1]characters!$A:$I,9,FALSE)</f>
        <v>5</v>
      </c>
      <c r="K19" s="7" t="str">
        <f>VLOOKUP(B19,[1]characters!$A:$H,8,FALSE)</f>
        <v>green</v>
      </c>
      <c r="L19" s="7" t="str">
        <f>VLOOKUP(B19,[1]characters!$A:$K,11,FALSE)</f>
        <v>balance</v>
      </c>
      <c r="M19" s="7" t="str">
        <f>VLOOKUP(B19,[1]characters!$A:$M,13,FALSE)</f>
        <v>unknown</v>
      </c>
      <c r="N19" s="7" t="str">
        <f>VLOOKUP(B19,[1]characters!$A:$G,7,FALSE)</f>
        <v>女性</v>
      </c>
      <c r="O19" s="45">
        <f t="shared" si="2"/>
        <v>6154</v>
      </c>
      <c r="P19" s="46">
        <f>O19/SUM(O:O)</f>
        <v>4.7631578947368421E-2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input_500100!A$2</f>
        <v>500100</v>
      </c>
      <c r="B20" s="10">
        <v>601</v>
      </c>
      <c r="C20" s="7" t="str">
        <f t="shared" si="0"/>
        <v>Premium5</v>
      </c>
      <c r="D20" s="7" t="str">
        <f t="shared" si="1"/>
        <v>Premium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界根蝕む悪食 ニーズヘッグ</v>
      </c>
      <c r="I20" s="7" t="str">
        <f>VLOOKUP(B20,[1]characters!$A:$J,10,FALSE)</f>
        <v>PremiumS</v>
      </c>
      <c r="J20" s="7">
        <f>VLOOKUP(B20,[1]characters!$A:$I,9,FALSE)</f>
        <v>5</v>
      </c>
      <c r="K20" s="7" t="str">
        <f>VLOOKUP(B20,[1]characters!$A:$H,8,FALSE)</f>
        <v>green</v>
      </c>
      <c r="L20" s="7" t="str">
        <f>VLOOKUP(B20,[1]characters!$A:$K,11,FALSE)</f>
        <v>attack</v>
      </c>
      <c r="M20" s="7" t="str">
        <f>VLOOKUP(B20,[1]characters!$A:$M,13,FALSE)</f>
        <v>dragon</v>
      </c>
      <c r="N20" s="7" t="str">
        <f>VLOOKUP(B20,[1]characters!$A:$G,7,FALSE)</f>
        <v>不明</v>
      </c>
      <c r="O20" s="45">
        <f t="shared" si="2"/>
        <v>6154</v>
      </c>
      <c r="P20" s="46">
        <f>O20/SUM(O:O)</f>
        <v>4.7631578947368421E-2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input_500100!A$2</f>
        <v>500100</v>
      </c>
      <c r="B21" s="6">
        <v>661</v>
      </c>
      <c r="C21" s="7" t="str">
        <f t="shared" si="0"/>
        <v>PremiumSS5</v>
      </c>
      <c r="D21" s="7" t="str">
        <f t="shared" si="1"/>
        <v>PremiumSS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疾風の天狗礫 フウガ</v>
      </c>
      <c r="I21" s="7" t="str">
        <f>VLOOKUP(B21,[1]characters!$A:$J,10,FALSE)</f>
        <v>PremiumSS</v>
      </c>
      <c r="J21" s="7">
        <f>VLOOKUP(B21,[1]characters!$A:$I,9,FALSE)</f>
        <v>5</v>
      </c>
      <c r="K21" s="7" t="str">
        <f>VLOOKUP(B21,[1]characters!$A:$H,8,FALSE)</f>
        <v>green</v>
      </c>
      <c r="L21" s="7" t="str">
        <f>VLOOKUP(B21,[1]characters!$A:$K,11,FALSE)</f>
        <v>balance</v>
      </c>
      <c r="M21" s="7" t="str">
        <f>VLOOKUP(B21,[1]characters!$A:$M,13,FALSE)</f>
        <v>animal</v>
      </c>
      <c r="N21" s="7" t="str">
        <f>VLOOKUP(B21,[1]characters!$A:$G,7,FALSE)</f>
        <v>男性</v>
      </c>
      <c r="O21" s="45">
        <f t="shared" si="2"/>
        <v>570</v>
      </c>
      <c r="P21" s="46">
        <f>O21/SUM(O:O)</f>
        <v>4.4117647058823529E-3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input_500100!A$2</f>
        <v>500100</v>
      </c>
      <c r="B22" s="6">
        <v>673</v>
      </c>
      <c r="C22" s="7" t="str">
        <f t="shared" si="0"/>
        <v>Premium5</v>
      </c>
      <c r="D22" s="7" t="str">
        <f t="shared" si="1"/>
        <v>Premium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変幻自在の猿王 ハヌマーン</v>
      </c>
      <c r="I22" s="7" t="str">
        <f>VLOOKUP(B22,[1]characters!$A:$J,10,FALSE)</f>
        <v>PremiumS</v>
      </c>
      <c r="J22" s="7">
        <f>VLOOKUP(B22,[1]characters!$A:$I,9,FALSE)</f>
        <v>5</v>
      </c>
      <c r="K22" s="7" t="str">
        <f>VLOOKUP(B22,[1]characters!$A:$H,8,FALSE)</f>
        <v>green</v>
      </c>
      <c r="L22" s="7" t="str">
        <f>VLOOKUP(B22,[1]characters!$A:$K,11,FALSE)</f>
        <v>attack</v>
      </c>
      <c r="M22" s="7" t="str">
        <f>VLOOKUP(B22,[1]characters!$A:$M,13,FALSE)</f>
        <v>animal</v>
      </c>
      <c r="N22" s="7" t="str">
        <f>VLOOKUP(B22,[1]characters!$A:$G,7,FALSE)</f>
        <v>男性</v>
      </c>
      <c r="O22" s="45">
        <f t="shared" si="2"/>
        <v>6154</v>
      </c>
      <c r="P22" s="46">
        <f>O22/SUM(O:O)</f>
        <v>4.7631578947368421E-2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input_500100!A$2</f>
        <v>500100</v>
      </c>
      <c r="B23" s="6">
        <v>731</v>
      </c>
      <c r="C23" s="7" t="str">
        <f t="shared" si="0"/>
        <v>Premium5R3less</v>
      </c>
      <c r="D23" s="7" t="str">
        <f t="shared" si="1"/>
        <v>Premium</v>
      </c>
      <c r="E23" s="7" t="str">
        <f>IF(COUNTIF('R6追加前'!A:A,B23)=0,IF(OR(I23="PremiumSS",I23="PremiumSSw"),"R5only","R3less"),"")</f>
        <v>R3less</v>
      </c>
      <c r="F23" s="7" t="str">
        <f>IF(COUNTIF('R6開放'!A:A,B23)&gt;0,"R6release","")</f>
        <v/>
      </c>
      <c r="G23" s="7"/>
      <c r="H23" s="7" t="str">
        <f>VLOOKUP(B23,[1]characters!$A:$C,3,FALSE)</f>
        <v>敬虔なる追銃 ガラシャ</v>
      </c>
      <c r="I23" s="7" t="str">
        <f>VLOOKUP(B23,[1]characters!$A:$J,10,FALSE)</f>
        <v>PremiumS</v>
      </c>
      <c r="J23" s="7">
        <f>VLOOKUP(B23,[1]characters!$A:$I,9,FALSE)</f>
        <v>5</v>
      </c>
      <c r="K23" s="7" t="str">
        <f>VLOOKUP(B23,[1]characters!$A:$H,8,FALSE)</f>
        <v>green</v>
      </c>
      <c r="L23" s="7" t="str">
        <f>VLOOKUP(B23,[1]characters!$A:$K,11,FALSE)</f>
        <v>heal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t="shared" si="2"/>
        <v>6154</v>
      </c>
      <c r="P23" s="46">
        <f>O23/SUM(O:O)</f>
        <v>4.7631578947368421E-2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input_500100!A$2</f>
        <v>500100</v>
      </c>
      <c r="B24" s="6">
        <v>744</v>
      </c>
      <c r="C24" s="7" t="str">
        <f t="shared" si="0"/>
        <v>PremiumSS5R5only</v>
      </c>
      <c r="D24" s="7" t="str">
        <f t="shared" si="1"/>
        <v>PremiumSS</v>
      </c>
      <c r="E24" s="7" t="str">
        <f>IF(COUNTIF('R6追加前'!A:A,B24)=0,IF(OR(I24="PremiumSS",I24="PremiumSSw"),"R5only","R3less"),"")</f>
        <v>R5only</v>
      </c>
      <c r="F24" s="7" t="str">
        <f>IF(COUNTIF('R6開放'!A:A,B24)&gt;0,"R6release","")</f>
        <v/>
      </c>
      <c r="G24" s="7"/>
      <c r="H24" s="7" t="str">
        <f>VLOOKUP(B24,[1]characters!$A:$C,3,FALSE)</f>
        <v>ヘルメス</v>
      </c>
      <c r="I24" s="7" t="str">
        <f>VLOOKUP(B24,[1]characters!$A:$J,10,FALSE)</f>
        <v>PremiumSS</v>
      </c>
      <c r="J24" s="7">
        <f>VLOOKUP(B24,[1]characters!$A:$I,9,FALSE)</f>
        <v>5</v>
      </c>
      <c r="K24" s="7" t="str">
        <f>VLOOKUP(B24,[1]characters!$A:$H,8,FALSE)</f>
        <v>green</v>
      </c>
      <c r="L24" s="7" t="str">
        <f>VLOOKUP(B24,[1]characters!$A:$K,11,FALSE)</f>
        <v>technical</v>
      </c>
      <c r="M24" s="7" t="str">
        <f>VLOOKUP(B24,[1]characters!$A:$M,13,FALSE)</f>
        <v>god</v>
      </c>
      <c r="N24" s="7" t="str">
        <f>VLOOKUP(B24,[1]characters!$A:$G,7,FALSE)</f>
        <v>男性</v>
      </c>
      <c r="O24" s="45">
        <f t="shared" si="2"/>
        <v>570</v>
      </c>
      <c r="P24" s="46">
        <f>O24/SUM(O:O)</f>
        <v>4.4117647058823529E-3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input_500100!A$2</f>
        <v>500100</v>
      </c>
      <c r="B25" s="6">
        <v>773</v>
      </c>
      <c r="C25" s="7" t="str">
        <f t="shared" si="0"/>
        <v>PremiumSS5</v>
      </c>
      <c r="D25" s="7" t="str">
        <f t="shared" si="1"/>
        <v>PremiumSS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浮跳天兎 イナバ</v>
      </c>
      <c r="I25" s="7" t="str">
        <f>VLOOKUP(B25,[1]characters!$A:$J,10,FALSE)</f>
        <v>PremiumSS</v>
      </c>
      <c r="J25" s="7">
        <f>VLOOKUP(B25,[1]characters!$A:$I,9,FALSE)</f>
        <v>5</v>
      </c>
      <c r="K25" s="7" t="str">
        <f>VLOOKUP(B25,[1]characters!$A:$H,8,FALSE)</f>
        <v>green</v>
      </c>
      <c r="L25" s="7" t="str">
        <f>VLOOKUP(B25,[1]characters!$A:$K,11,FALSE)</f>
        <v>balance</v>
      </c>
      <c r="M25" s="7" t="str">
        <f>VLOOKUP(B25,[1]characters!$A:$M,13,FALSE)</f>
        <v>animal</v>
      </c>
      <c r="N25" s="7" t="str">
        <f>VLOOKUP(B25,[1]characters!$A:$G,7,FALSE)</f>
        <v>女性</v>
      </c>
      <c r="O25" s="45">
        <f t="shared" si="2"/>
        <v>570</v>
      </c>
      <c r="P25" s="46">
        <f>O25/SUM(O:O)</f>
        <v>4.4117647058823529E-3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input_500100!A$2</f>
        <v>500100</v>
      </c>
      <c r="B26" s="6">
        <v>850</v>
      </c>
      <c r="C26" s="7" t="str">
        <f t="shared" si="0"/>
        <v>PremiumSS5R5only</v>
      </c>
      <c r="D26" s="7" t="str">
        <f t="shared" si="1"/>
        <v>PremiumSS</v>
      </c>
      <c r="E26" s="7" t="str">
        <f>IF(COUNTIF('R6追加前'!A:A,B26)=0,IF(OR(I26="PremiumSS",I26="PremiumSSw"),"R5only","R3less"),"")</f>
        <v>R5only</v>
      </c>
      <c r="F26" s="7" t="str">
        <f>IF(COUNTIF('R6開放'!A:A,B26)&gt;0,"R6release","")</f>
        <v/>
      </c>
      <c r="G26" s="7"/>
      <c r="H26" s="7" t="str">
        <f>VLOOKUP(B26,[1]characters!$A:$C,3,FALSE)</f>
        <v>バアル</v>
      </c>
      <c r="I26" s="7" t="str">
        <f>VLOOKUP(B26,[1]characters!$A:$J,10,FALSE)</f>
        <v>PremiumSS</v>
      </c>
      <c r="J26" s="7">
        <f>VLOOKUP(B26,[1]characters!$A:$I,9,FALSE)</f>
        <v>5</v>
      </c>
      <c r="K26" s="7" t="str">
        <f>VLOOKUP(B26,[1]characters!$A:$H,8,FALSE)</f>
        <v>green</v>
      </c>
      <c r="L26" s="7" t="str">
        <f>VLOOKUP(B26,[1]characters!$A:$K,11,FALSE)</f>
        <v>technical</v>
      </c>
      <c r="M26" s="7" t="str">
        <f>VLOOKUP(B26,[1]characters!$A:$M,13,FALSE)</f>
        <v>god</v>
      </c>
      <c r="N26" s="7" t="str">
        <f>VLOOKUP(B26,[1]characters!$A:$G,7,FALSE)</f>
        <v>男性</v>
      </c>
      <c r="O26" s="45">
        <f t="shared" si="2"/>
        <v>570</v>
      </c>
      <c r="P26" s="46">
        <f>O26/SUM(O:O)</f>
        <v>4.4117647058823529E-3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input_500100!A$2</f>
        <v>500100</v>
      </c>
      <c r="B27" s="6">
        <v>865</v>
      </c>
      <c r="C27" s="7" t="str">
        <f t="shared" si="0"/>
        <v>Premium5R3less</v>
      </c>
      <c r="D27" s="7" t="str">
        <f t="shared" si="1"/>
        <v>Premium</v>
      </c>
      <c r="E27" s="7" t="str">
        <f>IF(COUNTIF('R6追加前'!A:A,B27)=0,IF(OR(I27="PremiumSS",I27="PremiumSSw"),"R5only","R3less"),"")</f>
        <v>R3less</v>
      </c>
      <c r="F27" s="7" t="str">
        <f>IF(COUNTIF('R6開放'!A:A,B27)&gt;0,"R6release","")</f>
        <v/>
      </c>
      <c r="G27" s="7"/>
      <c r="H27" s="7" t="str">
        <f>VLOOKUP(B27,[1]characters!$A:$C,3,FALSE)</f>
        <v>無情の感線 ピノキオ</v>
      </c>
      <c r="I27" s="7" t="str">
        <f>VLOOKUP(B27,[1]characters!$A:$J,10,FALSE)</f>
        <v>PremiumS</v>
      </c>
      <c r="J27" s="7">
        <f>VLOOKUP(B27,[1]characters!$A:$I,9,FALSE)</f>
        <v>5</v>
      </c>
      <c r="K27" s="7" t="str">
        <f>VLOOKUP(B27,[1]characters!$A:$H,8,FALSE)</f>
        <v>green</v>
      </c>
      <c r="L27" s="7" t="str">
        <f>VLOOKUP(B27,[1]characters!$A:$K,11,FALSE)</f>
        <v>attack</v>
      </c>
      <c r="M27" s="7" t="str">
        <f>VLOOKUP(B27,[1]characters!$A:$M,13,FALSE)</f>
        <v>machine</v>
      </c>
      <c r="N27" s="7" t="str">
        <f>VLOOKUP(B27,[1]characters!$A:$G,7,FALSE)</f>
        <v>男性</v>
      </c>
      <c r="O27" s="45">
        <f t="shared" si="2"/>
        <v>6154</v>
      </c>
      <c r="P27" s="46">
        <f>O27/SUM(O:O)</f>
        <v>4.7631578947368421E-2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input_500100!A$2</f>
        <v>500100</v>
      </c>
      <c r="B28" s="6">
        <v>940</v>
      </c>
      <c r="C28" s="7" t="str">
        <f t="shared" si="0"/>
        <v>Premium5R3less</v>
      </c>
      <c r="D28" s="7" t="str">
        <f t="shared" si="1"/>
        <v>Premium</v>
      </c>
      <c r="E28" s="7" t="str">
        <f>IF(COUNTIF('R6追加前'!A:A,B28)=0,IF(OR(I28="PremiumSS",I28="PremiumSSw"),"R5only","R3less"),"")</f>
        <v>R3less</v>
      </c>
      <c r="F28" s="7" t="str">
        <f>IF(COUNTIF('R6開放'!A:A,B28)&gt;0,"R6release","")</f>
        <v/>
      </c>
      <c r="G28" s="7"/>
      <c r="H28" s="7" t="str">
        <f>VLOOKUP(B28,[1]characters!$A:$C,3,FALSE)</f>
        <v>不壊の大要塞 バスティーユ</v>
      </c>
      <c r="I28" s="7" t="str">
        <f>VLOOKUP(B28,[1]characters!$A:$J,10,FALSE)</f>
        <v>PremiumS</v>
      </c>
      <c r="J28" s="7">
        <f>VLOOKUP(B28,[1]characters!$A:$I,9,FALSE)</f>
        <v>5</v>
      </c>
      <c r="K28" s="7" t="str">
        <f>VLOOKUP(B28,[1]characters!$A:$H,8,FALSE)</f>
        <v>green</v>
      </c>
      <c r="L28" s="7" t="str">
        <f>VLOOKUP(B28,[1]characters!$A:$K,11,FALSE)</f>
        <v>hp</v>
      </c>
      <c r="M28" s="7" t="str">
        <f>VLOOKUP(B28,[1]characters!$A:$M,13,FALSE)</f>
        <v>unknown</v>
      </c>
      <c r="N28" s="7" t="str">
        <f>VLOOKUP(B28,[1]characters!$A:$G,7,FALSE)</f>
        <v>男性</v>
      </c>
      <c r="O28" s="45">
        <f t="shared" si="2"/>
        <v>6154</v>
      </c>
      <c r="P28" s="46">
        <f>O28/SUM(O:O)</f>
        <v>4.7631578947368421E-2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input_500100!A$2</f>
        <v>500100</v>
      </c>
      <c r="B29" s="6">
        <v>1014</v>
      </c>
      <c r="C29" s="7" t="str">
        <f t="shared" si="0"/>
        <v>PremiumSS5R5only</v>
      </c>
      <c r="D29" s="7" t="str">
        <f t="shared" si="1"/>
        <v>PremiumSS</v>
      </c>
      <c r="E29" s="7" t="str">
        <f>IF(COUNTIF('R6追加前'!A:A,B29)=0,IF(OR(I29="PremiumSS",I29="PremiumSSw"),"R5only","R3less"),"")</f>
        <v>R5only</v>
      </c>
      <c r="F29" s="7" t="str">
        <f>IF(COUNTIF('R6開放'!A:A,B29)&gt;0,"R6release","")</f>
        <v/>
      </c>
      <c r="G29" s="7"/>
      <c r="H29" s="7" t="str">
        <f>VLOOKUP(B29,[1]characters!$A:$C,3,FALSE)</f>
        <v>イシス</v>
      </c>
      <c r="I29" s="7" t="str">
        <f>VLOOKUP(B29,[1]characters!$A:$J,10,FALSE)</f>
        <v>PremiumSS</v>
      </c>
      <c r="J29" s="7">
        <f>VLOOKUP(B29,[1]characters!$A:$I,9,FALSE)</f>
        <v>5</v>
      </c>
      <c r="K29" s="7" t="str">
        <f>VLOOKUP(B29,[1]characters!$A:$H,8,FALSE)</f>
        <v>green</v>
      </c>
      <c r="L29" s="7" t="str">
        <f>VLOOKUP(B29,[1]characters!$A:$K,11,FALSE)</f>
        <v>hp</v>
      </c>
      <c r="M29" s="7" t="str">
        <f>VLOOKUP(B29,[1]characters!$A:$M,13,FALSE)</f>
        <v>god</v>
      </c>
      <c r="N29" s="7" t="str">
        <f>VLOOKUP(B29,[1]characters!$A:$G,7,FALSE)</f>
        <v>男性</v>
      </c>
      <c r="O29" s="45">
        <f t="shared" si="2"/>
        <v>570</v>
      </c>
      <c r="P29" s="46">
        <f>O29/SUM(O:O)</f>
        <v>4.4117647058823529E-3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input_500100!A$2</f>
        <v>500100</v>
      </c>
      <c r="B30" s="6">
        <v>1028</v>
      </c>
      <c r="C30" s="7" t="str">
        <f t="shared" si="0"/>
        <v>PremiumSS5R5only</v>
      </c>
      <c r="D30" s="7" t="str">
        <f t="shared" si="1"/>
        <v>PremiumSS</v>
      </c>
      <c r="E30" s="7" t="str">
        <f>IF(COUNTIF('R6追加前'!A:A,B30)=0,IF(OR(I30="PremiumSS",I30="PremiumSSw"),"R5only","R3less"),"")</f>
        <v>R5only</v>
      </c>
      <c r="F30" s="7" t="str">
        <f>IF(COUNTIF('R6開放'!A:A,B30)&gt;0,"R6release","")</f>
        <v/>
      </c>
      <c r="G30" s="7"/>
      <c r="H30" s="7" t="str">
        <f>VLOOKUP(B30,[1]characters!$A:$C,3,FALSE)</f>
        <v>牛若丸</v>
      </c>
      <c r="I30" s="7" t="str">
        <f>VLOOKUP(B30,[1]characters!$A:$J,10,FALSE)</f>
        <v>PremiumSS</v>
      </c>
      <c r="J30" s="7">
        <f>VLOOKUP(B30,[1]characters!$A:$I,9,FALSE)</f>
        <v>5</v>
      </c>
      <c r="K30" s="7" t="str">
        <f>VLOOKUP(B30,[1]characters!$A:$H,8,FALSE)</f>
        <v>green</v>
      </c>
      <c r="L30" s="7" t="str">
        <f>VLOOKUP(B30,[1]characters!$A:$K,11,FALSE)</f>
        <v>balance</v>
      </c>
      <c r="M30" s="7" t="str">
        <f>VLOOKUP(B30,[1]characters!$A:$M,13,FALSE)</f>
        <v>human</v>
      </c>
      <c r="N30" s="7" t="str">
        <f>VLOOKUP(B30,[1]characters!$A:$G,7,FALSE)</f>
        <v>男性</v>
      </c>
      <c r="O30" s="45">
        <f t="shared" si="2"/>
        <v>570</v>
      </c>
      <c r="P30" s="46">
        <f>O30/SUM(O:O)</f>
        <v>4.4117647058823529E-3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input_500100!A$2</f>
        <v>500100</v>
      </c>
      <c r="B31" s="6">
        <v>1069</v>
      </c>
      <c r="C31" s="7" t="str">
        <f t="shared" si="0"/>
        <v>PremiumSS5R5only</v>
      </c>
      <c r="D31" s="7" t="str">
        <f t="shared" si="1"/>
        <v>PremiumSS</v>
      </c>
      <c r="E31" s="7" t="str">
        <f>IF(COUNTIF('R6追加前'!A:A,B31)=0,IF(OR(I31="PremiumSS",I31="PremiumSSw"),"R5only","R3less"),"")</f>
        <v>R5only</v>
      </c>
      <c r="F31" s="7" t="str">
        <f>IF(COUNTIF('R6開放'!A:A,B31)&gt;0,"R6release","")</f>
        <v/>
      </c>
      <c r="G31" s="7"/>
      <c r="H31" s="7" t="str">
        <f>VLOOKUP(B31,[1]characters!$A:$C,3,FALSE)</f>
        <v>イシュタル</v>
      </c>
      <c r="I31" s="7" t="str">
        <f>VLOOKUP(B31,[1]characters!$A:$J,10,FALSE)</f>
        <v>PremiumSS</v>
      </c>
      <c r="J31" s="7">
        <f>VLOOKUP(B31,[1]characters!$A:$I,9,FALSE)</f>
        <v>5</v>
      </c>
      <c r="K31" s="7" t="str">
        <f>VLOOKUP(B31,[1]characters!$A:$H,8,FALSE)</f>
        <v>green</v>
      </c>
      <c r="L31" s="7" t="str">
        <f>VLOOKUP(B31,[1]characters!$A:$K,11,FALSE)</f>
        <v>technical</v>
      </c>
      <c r="M31" s="7" t="str">
        <f>VLOOKUP(B31,[1]characters!$A:$M,13,FALSE)</f>
        <v>god</v>
      </c>
      <c r="N31" s="7" t="str">
        <f>VLOOKUP(B31,[1]characters!$A:$G,7,FALSE)</f>
        <v>男性</v>
      </c>
      <c r="O31" s="45">
        <f t="shared" si="2"/>
        <v>570</v>
      </c>
      <c r="P31" s="46">
        <f>O31/SUM(O:O)</f>
        <v>4.4117647058823529E-3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input_500100!A$2</f>
        <v>500100</v>
      </c>
      <c r="B32" s="6">
        <v>1102</v>
      </c>
      <c r="C32" s="7" t="str">
        <f t="shared" si="0"/>
        <v>PremiumSS5R5only</v>
      </c>
      <c r="D32" s="7" t="str">
        <f t="shared" si="1"/>
        <v>PremiumSS</v>
      </c>
      <c r="E32" s="7" t="str">
        <f>IF(COUNTIF('R6追加前'!A:A,B32)=0,IF(OR(I32="PremiumSS",I32="PremiumSSw"),"R5only","R3less"),"")</f>
        <v>R5only</v>
      </c>
      <c r="F32" s="7" t="str">
        <f>IF(COUNTIF('R6開放'!A:A,B32)&gt;0,"R6release","")</f>
        <v/>
      </c>
      <c r="G32" s="7"/>
      <c r="H32" s="7" t="str">
        <f>VLOOKUP(B32,[1]characters!$A:$C,3,FALSE)</f>
        <v>ドガ</v>
      </c>
      <c r="I32" s="7" t="str">
        <f>VLOOKUP(B32,[1]characters!$A:$J,10,FALSE)</f>
        <v>PremiumSSw</v>
      </c>
      <c r="J32" s="7">
        <f>VLOOKUP(B32,[1]characters!$A:$I,9,FALSE)</f>
        <v>5</v>
      </c>
      <c r="K32" s="7" t="str">
        <f>VLOOKUP(B32,[1]characters!$A:$H,8,FALSE)</f>
        <v>green</v>
      </c>
      <c r="L32" s="7" t="str">
        <f>VLOOKUP(B32,[1]characters!$A:$K,11,FALSE)</f>
        <v>balance</v>
      </c>
      <c r="M32" s="7" t="str">
        <f>VLOOKUP(B32,[1]characters!$A:$M,13,FALSE)</f>
        <v>animal</v>
      </c>
      <c r="N32" s="7" t="str">
        <f>VLOOKUP(B32,[1]characters!$A:$G,7,FALSE)</f>
        <v>不明</v>
      </c>
      <c r="O32" s="45">
        <f t="shared" si="2"/>
        <v>570</v>
      </c>
      <c r="P32" s="46">
        <f>O32/SUM(O:O)</f>
        <v>4.4117647058823529E-3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input_500100!A$2</f>
        <v>500100</v>
      </c>
      <c r="B33" s="6">
        <v>1139</v>
      </c>
      <c r="C33" s="7" t="str">
        <f t="shared" si="0"/>
        <v>PremiumSS5R5only</v>
      </c>
      <c r="D33" s="7" t="str">
        <f t="shared" si="1"/>
        <v>PremiumSS</v>
      </c>
      <c r="E33" s="7" t="str">
        <f>IF(COUNTIF('R6追加前'!A:A,B33)=0,IF(OR(I33="PremiumSS",I33="PremiumSSw"),"R5only","R3less"),"")</f>
        <v>R5only</v>
      </c>
      <c r="F33" s="7" t="str">
        <f>IF(COUNTIF('R6開放'!A:A,B33)&gt;0,"R6release","")</f>
        <v/>
      </c>
      <c r="G33" s="7"/>
      <c r="H33" s="7" t="str">
        <f>VLOOKUP(B33,[1]characters!$A:$C,3,FALSE)</f>
        <v>趙雲</v>
      </c>
      <c r="I33" s="7" t="str">
        <f>VLOOKUP(B33,[1]characters!$A:$J,10,FALSE)</f>
        <v>PremiumSS</v>
      </c>
      <c r="J33" s="7">
        <f>VLOOKUP(B33,[1]characters!$A:$I,9,FALSE)</f>
        <v>5</v>
      </c>
      <c r="K33" s="7" t="str">
        <f>VLOOKUP(B33,[1]characters!$A:$H,8,FALSE)</f>
        <v>green</v>
      </c>
      <c r="L33" s="7" t="str">
        <f>VLOOKUP(B33,[1]characters!$A:$K,11,FALSE)</f>
        <v>balance</v>
      </c>
      <c r="M33" s="7" t="str">
        <f>VLOOKUP(B33,[1]characters!$A:$M,13,FALSE)</f>
        <v>samurai</v>
      </c>
      <c r="N33" s="7" t="str">
        <f>VLOOKUP(B33,[1]characters!$A:$G,7,FALSE)</f>
        <v>不明</v>
      </c>
      <c r="O33" s="45">
        <f t="shared" si="2"/>
        <v>570</v>
      </c>
      <c r="P33" s="46">
        <f>O33/SUM(O:O)</f>
        <v>4.4117647058823529E-3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input_500100!A$2</f>
        <v>500100</v>
      </c>
      <c r="B34" s="6">
        <v>1153</v>
      </c>
      <c r="C34" s="7" t="str">
        <f t="shared" si="0"/>
        <v>PremiumSS5R5only</v>
      </c>
      <c r="D34" s="7" t="str">
        <f t="shared" si="1"/>
        <v>PremiumSS</v>
      </c>
      <c r="E34" s="7" t="str">
        <f>IF(COUNTIF('R6追加前'!A:A,B34)=0,IF(OR(I34="PremiumSS",I34="PremiumSSw"),"R5only","R3less"),"")</f>
        <v>R5only</v>
      </c>
      <c r="F34" s="7" t="str">
        <f>IF(COUNTIF('R6開放'!A:A,B34)&gt;0,"R6release","")</f>
        <v/>
      </c>
      <c r="G34" s="7"/>
      <c r="H34" s="7" t="str">
        <f>VLOOKUP(B34,[1]characters!$A:$C,3,FALSE)</f>
        <v>ラクシュミー</v>
      </c>
      <c r="I34" s="7" t="str">
        <f>VLOOKUP(B34,[1]characters!$A:$J,10,FALSE)</f>
        <v>PremiumSSw</v>
      </c>
      <c r="J34" s="7">
        <f>VLOOKUP(B34,[1]characters!$A:$I,9,FALSE)</f>
        <v>5</v>
      </c>
      <c r="K34" s="7" t="str">
        <f>VLOOKUP(B34,[1]characters!$A:$H,8,FALSE)</f>
        <v>green</v>
      </c>
      <c r="L34" s="7" t="str">
        <f>VLOOKUP(B34,[1]characters!$A:$K,11,FALSE)</f>
        <v>hp</v>
      </c>
      <c r="M34" s="7" t="str">
        <f>VLOOKUP(B34,[1]characters!$A:$M,13,FALSE)</f>
        <v>god</v>
      </c>
      <c r="N34" s="7" t="str">
        <f>VLOOKUP(B34,[1]characters!$A:$G,7,FALSE)</f>
        <v>不明</v>
      </c>
      <c r="O34" s="45">
        <f t="shared" si="2"/>
        <v>570</v>
      </c>
      <c r="P34" s="46">
        <f>O34/SUM(O:O)</f>
        <v>4.4117647058823529E-3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input_500100!A$2</f>
        <v>500100</v>
      </c>
      <c r="B35" s="6">
        <v>1211</v>
      </c>
      <c r="C35" s="7" t="str">
        <f t="shared" si="0"/>
        <v>Premium5R3less</v>
      </c>
      <c r="D35" s="7" t="str">
        <f t="shared" si="1"/>
        <v>Premium</v>
      </c>
      <c r="E35" s="7" t="str">
        <f>IF(COUNTIF('R6追加前'!A:A,B35)=0,IF(OR(I35="PremiumSS",I35="PremiumSSw"),"R5only","R3less"),"")</f>
        <v>R3less</v>
      </c>
      <c r="F35" s="7" t="str">
        <f>IF(COUNTIF('R6開放'!A:A,B35)&gt;0,"R6release","")</f>
        <v/>
      </c>
      <c r="G35" s="7"/>
      <c r="H35" s="7" t="str">
        <f>VLOOKUP(B35,[1]characters!$A:$C,3,FALSE)</f>
        <v>奏駆の翻騎 ケンタウロス</v>
      </c>
      <c r="I35" s="7" t="str">
        <f>VLOOKUP(B35,[1]characters!$A:$J,10,FALSE)</f>
        <v>PremiumS</v>
      </c>
      <c r="J35" s="7">
        <f>VLOOKUP(B35,[1]characters!$A:$I,9,FALSE)</f>
        <v>5</v>
      </c>
      <c r="K35" s="7" t="str">
        <f>VLOOKUP(B35,[1]characters!$A:$H,8,FALSE)</f>
        <v>green</v>
      </c>
      <c r="L35" s="7" t="str">
        <f>VLOOKUP(B35,[1]characters!$A:$K,11,FALSE)</f>
        <v>attack</v>
      </c>
      <c r="M35" s="7" t="str">
        <f>VLOOKUP(B35,[1]characters!$A:$M,13,FALSE)</f>
        <v>god</v>
      </c>
      <c r="N35" s="7">
        <f>VLOOKUP(B35,[1]characters!$A:$G,7,FALSE)</f>
        <v>0</v>
      </c>
      <c r="O35" s="45">
        <f t="shared" si="2"/>
        <v>6154</v>
      </c>
      <c r="P35" s="46">
        <f>O35/SUM(O:O)</f>
        <v>4.7631578947368421E-2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input_500100!A$2</f>
        <v>500100</v>
      </c>
      <c r="B36" s="6">
        <v>1226</v>
      </c>
      <c r="C36" s="7" t="str">
        <f t="shared" si="0"/>
        <v>PremiumSS5R5only</v>
      </c>
      <c r="D36" s="7" t="str">
        <f t="shared" si="1"/>
        <v>PremiumSS</v>
      </c>
      <c r="E36" s="7" t="str">
        <f>IF(COUNTIF('R6追加前'!A:A,B36)=0,IF(OR(I36="PremiumSS",I36="PremiumSSw"),"R5only","R3less"),"")</f>
        <v>R5only</v>
      </c>
      <c r="F36" s="7" t="str">
        <f>IF(COUNTIF('R6開放'!A:A,B36)&gt;0,"R6release","")</f>
        <v/>
      </c>
      <c r="G36" s="7"/>
      <c r="H36" s="7" t="str">
        <f>VLOOKUP(B36,[1]characters!$A:$C,3,FALSE)</f>
        <v>トルストイ</v>
      </c>
      <c r="I36" s="7" t="str">
        <f>VLOOKUP(B36,[1]characters!$A:$J,10,FALSE)</f>
        <v>PremiumSS</v>
      </c>
      <c r="J36" s="7">
        <f>VLOOKUP(B36,[1]characters!$A:$I,9,FALSE)</f>
        <v>5</v>
      </c>
      <c r="K36" s="7" t="str">
        <f>VLOOKUP(B36,[1]characters!$A:$H,8,FALSE)</f>
        <v>green</v>
      </c>
      <c r="L36" s="7" t="str">
        <f>VLOOKUP(B36,[1]characters!$A:$K,11,FALSE)</f>
        <v>attack</v>
      </c>
      <c r="M36" s="7" t="str">
        <f>VLOOKUP(B36,[1]characters!$A:$M,13,FALSE)</f>
        <v>human</v>
      </c>
      <c r="N36" s="7">
        <f>VLOOKUP(B36,[1]characters!$A:$G,7,FALSE)</f>
        <v>0</v>
      </c>
      <c r="O36" s="45">
        <f t="shared" si="2"/>
        <v>570</v>
      </c>
      <c r="P36" s="46">
        <f>O36/SUM(O:O)</f>
        <v>4.4117647058823529E-3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input_500100!A$2</f>
        <v>500100</v>
      </c>
      <c r="B37" s="6">
        <v>1246</v>
      </c>
      <c r="C37" s="7" t="str">
        <f t="shared" si="0"/>
        <v>PremiumSS5R5only</v>
      </c>
      <c r="D37" s="7" t="str">
        <f t="shared" si="1"/>
        <v>PremiumSS</v>
      </c>
      <c r="E37" s="7" t="str">
        <f>IF(COUNTIF('R6追加前'!A:A,B37)=0,IF(OR(I37="PremiumSS",I37="PremiumSSw"),"R5only","R3less"),"")</f>
        <v>R5only</v>
      </c>
      <c r="F37" s="7" t="str">
        <f>IF(COUNTIF('R6開放'!A:A,B37)&gt;0,"R6release","")</f>
        <v/>
      </c>
      <c r="G37" s="7"/>
      <c r="H37" s="7" t="str">
        <f>VLOOKUP(B37,[1]characters!$A:$C,3,FALSE)</f>
        <v>望月千代女</v>
      </c>
      <c r="I37" s="7" t="str">
        <f>VLOOKUP(B37,[1]characters!$A:$J,10,FALSE)</f>
        <v>PremiumSS</v>
      </c>
      <c r="J37" s="7">
        <f>VLOOKUP(B37,[1]characters!$A:$I,9,FALSE)</f>
        <v>5</v>
      </c>
      <c r="K37" s="7" t="str">
        <f>VLOOKUP(B37,[1]characters!$A:$H,8,FALSE)</f>
        <v>green</v>
      </c>
      <c r="L37" s="7" t="str">
        <f>VLOOKUP(B37,[1]characters!$A:$K,11,FALSE)</f>
        <v>heal</v>
      </c>
      <c r="M37" s="7" t="str">
        <f>VLOOKUP(B37,[1]characters!$A:$M,13,FALSE)</f>
        <v>human</v>
      </c>
      <c r="N37" s="7">
        <f>VLOOKUP(B37,[1]characters!$A:$G,7,FALSE)</f>
        <v>0</v>
      </c>
      <c r="O37" s="45">
        <f t="shared" si="2"/>
        <v>570</v>
      </c>
      <c r="P37" s="46">
        <f>O37/SUM(O:O)</f>
        <v>4.4117647058823529E-3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input_500100!A$2</f>
        <v>500100</v>
      </c>
      <c r="B38" s="1">
        <v>379</v>
      </c>
      <c r="C38" s="7" t="str">
        <f t="shared" ref="C38:C41" si="3">D38&amp;J38&amp;E38&amp;F38&amp;G38</f>
        <v>PremiumSSS5R3less</v>
      </c>
      <c r="D38" s="7" t="str">
        <f t="shared" ref="D38:D41" si="4">IF(OR(I38="PremiumSS",I38="PremiumSSw"),"PremiumSS",IF(I38="PremiumSSS",I38,IF(I38="PremiumW",IF(J38=5,"premium",I38),"Premium")))</f>
        <v>PremiumSSS</v>
      </c>
      <c r="E38" s="7" t="str">
        <f>IF(COUNTIF('R6追加前'!A:A,B38)=0,IF(OR(I38="PremiumSS",I38="PremiumSSw"),"R5only","R3less"),"")</f>
        <v>R3less</v>
      </c>
      <c r="F38" s="7" t="str">
        <f>IF(COUNTIF('R6開放'!A:A,B38)&gt;0,"R6release","")</f>
        <v/>
      </c>
      <c r="G38" s="7"/>
      <c r="H38" s="7" t="str">
        <f>VLOOKUP(B38,[1]characters!$A:$C,3,FALSE)</f>
        <v>幾何の機刃 オイラー</v>
      </c>
      <c r="I38" s="7" t="str">
        <f>VLOOKUP(B38,[1]characters!$A:$J,10,FALSE)</f>
        <v>PremiumSSS</v>
      </c>
      <c r="J38" s="7">
        <f>VLOOKUP(B38,[1]characters!$A:$I,9,FALSE)</f>
        <v>5</v>
      </c>
      <c r="K38" s="7" t="str">
        <f>VLOOKUP(B38,[1]characters!$A:$H,8,FALSE)</f>
        <v>green</v>
      </c>
      <c r="L38" s="7" t="str">
        <f>VLOOKUP(B38,[1]characters!$A:$K,11,FALSE)</f>
        <v>balance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v>646</v>
      </c>
      <c r="P38" s="46">
        <f>O38/SUM(O:O)</f>
        <v>5.0000000000000001E-3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input_500100!A$2</f>
        <v>500100</v>
      </c>
      <c r="B39" s="1">
        <v>750</v>
      </c>
      <c r="C39" s="7" t="str">
        <f t="shared" si="3"/>
        <v>PremiumSSS5R3less</v>
      </c>
      <c r="D39" s="7" t="str">
        <f t="shared" si="4"/>
        <v>PremiumSSS</v>
      </c>
      <c r="E39" s="7" t="str">
        <f>IF(COUNTIF('R6追加前'!A:A,B39)=0,IF(OR(I39="PremiumSS",I39="PremiumSSw"),"R5only","R3less"),"")</f>
        <v>R3less</v>
      </c>
      <c r="F39" s="7" t="str">
        <f>IF(COUNTIF('R6開放'!A:A,B39)&gt;0,"R6release","")</f>
        <v/>
      </c>
      <c r="G39" s="7"/>
      <c r="H39" s="7" t="str">
        <f>VLOOKUP(B39,[1]characters!$A:$C,3,FALSE)</f>
        <v>ポアソン</v>
      </c>
      <c r="I39" s="7" t="str">
        <f>VLOOKUP(B39,[1]characters!$A:$J,10,FALSE)</f>
        <v>PremiumSSS</v>
      </c>
      <c r="J39" s="7">
        <f>VLOOKUP(B39,[1]characters!$A:$I,9,FALSE)</f>
        <v>5</v>
      </c>
      <c r="K39" s="7" t="str">
        <f>VLOOKUP(B39,[1]characters!$A:$H,8,FALSE)</f>
        <v>green</v>
      </c>
      <c r="L39" s="7" t="str">
        <f>VLOOKUP(B39,[1]characters!$A:$K,11,FALSE)</f>
        <v>balance</v>
      </c>
      <c r="M39" s="7" t="str">
        <f>VLOOKUP(B39,[1]characters!$A:$M,13,FALSE)</f>
        <v>academia</v>
      </c>
      <c r="N39" s="7" t="str">
        <f>VLOOKUP(B39,[1]characters!$A:$G,7,FALSE)</f>
        <v>男性</v>
      </c>
      <c r="O39" s="45">
        <v>646</v>
      </c>
      <c r="P39" s="46">
        <f>O39/SUM(O:O)</f>
        <v>5.0000000000000001E-3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input_500100!A$2</f>
        <v>500100</v>
      </c>
      <c r="B40" s="1">
        <v>1159</v>
      </c>
      <c r="C40" s="7" t="str">
        <f t="shared" si="3"/>
        <v>PremiumSSS5R3less</v>
      </c>
      <c r="D40" s="7" t="str">
        <f t="shared" si="4"/>
        <v>PremiumSSS</v>
      </c>
      <c r="E40" s="7" t="str">
        <f>IF(COUNTIF('R6追加前'!A:A,B40)=0,IF(OR(I40="PremiumSS",I40="PremiumSSw"),"R5only","R3less"),"")</f>
        <v>R3less</v>
      </c>
      <c r="F40" s="7" t="str">
        <f>IF(COUNTIF('R6開放'!A:A,B40)&gt;0,"R6release","")</f>
        <v/>
      </c>
      <c r="G40" s="7"/>
      <c r="H40" s="7" t="str">
        <f>VLOOKUP(B40,[1]characters!$A:$C,3,FALSE)</f>
        <v>ガロア</v>
      </c>
      <c r="I40" s="7" t="str">
        <f>VLOOKUP(B40,[1]characters!$A:$J,10,FALSE)</f>
        <v>PremiumSSS</v>
      </c>
      <c r="J40" s="7">
        <f>VLOOKUP(B40,[1]characters!$A:$I,9,FALSE)</f>
        <v>5</v>
      </c>
      <c r="K40" s="7" t="str">
        <f>VLOOKUP(B40,[1]characters!$A:$H,8,FALSE)</f>
        <v>green</v>
      </c>
      <c r="L40" s="7" t="str">
        <f>VLOOKUP(B40,[1]characters!$A:$K,11,FALSE)</f>
        <v>attack</v>
      </c>
      <c r="M40" s="7" t="str">
        <f>VLOOKUP(B40,[1]characters!$A:$M,13,FALSE)</f>
        <v>academia</v>
      </c>
      <c r="N40" s="7" t="str">
        <f>VLOOKUP(B40,[1]characters!$A:$G,7,FALSE)</f>
        <v>不明</v>
      </c>
      <c r="O40" s="45">
        <v>646</v>
      </c>
      <c r="P40" s="46">
        <f>O40/SUM(O:O)</f>
        <v>5.0000000000000001E-3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input_500100!A$2</f>
        <v>500100</v>
      </c>
      <c r="B41" s="1">
        <v>487</v>
      </c>
      <c r="C41" s="7" t="str">
        <f t="shared" si="3"/>
        <v>PremiumSSS5R3less</v>
      </c>
      <c r="D41" s="7" t="str">
        <f t="shared" si="4"/>
        <v>PremiumSSS</v>
      </c>
      <c r="E41" s="7" t="str">
        <f>IF(COUNTIF('R6追加前'!A:A,B41)=0,IF(OR(I41="PremiumSS",I41="PremiumSSw"),"R5only","R3less"),"")</f>
        <v>R3less</v>
      </c>
      <c r="F41" s="7" t="str">
        <f>IF(COUNTIF('R6開放'!A:A,B41)&gt;0,"R6release","")</f>
        <v/>
      </c>
      <c r="G41" s="7"/>
      <c r="H41" s="7" t="str">
        <f>VLOOKUP(B41,[1]characters!$A:$C,3,FALSE)</f>
        <v>暴創の造物 チューリング</v>
      </c>
      <c r="I41" s="7" t="str">
        <f>VLOOKUP(B41,[1]characters!$A:$J,10,FALSE)</f>
        <v>PremiumSSS</v>
      </c>
      <c r="J41" s="7">
        <f>VLOOKUP(B41,[1]characters!$A:$I,9,FALSE)</f>
        <v>5</v>
      </c>
      <c r="K41" s="7" t="str">
        <f>VLOOKUP(B41,[1]characters!$A:$H,8,FALSE)</f>
        <v>green</v>
      </c>
      <c r="L41" s="7" t="str">
        <f>VLOOKUP(B41,[1]characters!$A:$K,11,FALSE)</f>
        <v>hp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v>646</v>
      </c>
      <c r="P41" s="46">
        <f>O41/SUM(O:O)</f>
        <v>5.0000000000000001E-3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E42" s="1">
        <f>COUNTIF(D:D,"Premium")</f>
        <v>19</v>
      </c>
      <c r="F42" s="1">
        <f>E45*0.905/E42</f>
        <v>6154</v>
      </c>
    </row>
    <row r="43" spans="1:22" ht="21" customHeight="1" x14ac:dyDescent="0.15">
      <c r="E43" s="1">
        <f>COUNTIF(D:D,"PremiumSS")</f>
        <v>17</v>
      </c>
      <c r="F43" s="1">
        <f>E45*0.075/E43</f>
        <v>570</v>
      </c>
    </row>
    <row r="44" spans="1:22" ht="21" customHeight="1" x14ac:dyDescent="0.15">
      <c r="E44" s="1">
        <v>4</v>
      </c>
      <c r="F44" s="1">
        <f>E45*0.02/E44</f>
        <v>646</v>
      </c>
    </row>
    <row r="45" spans="1:22" ht="21" customHeight="1" x14ac:dyDescent="0.15">
      <c r="E45" s="1">
        <f>E42*E43*E44*100</f>
        <v>129200</v>
      </c>
      <c r="F45" s="1">
        <f>GCD(F42,F43,F44)</f>
        <v>2</v>
      </c>
    </row>
  </sheetData>
  <autoFilter ref="A1:V37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0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0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input_500010</vt:lpstr>
      <vt:lpstr>tables_500010</vt:lpstr>
      <vt:lpstr>input_500100</vt:lpstr>
      <vt:lpstr>tables_500100</vt:lpstr>
      <vt:lpstr>tables_settle_500100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2016-12-22T14:17:30Z</dcterms:modified>
</cp:coreProperties>
</file>