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3900" yWindow="880" windowWidth="32900" windowHeight="1892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enemy_skills!$A$1:$AA$1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8" l="1"/>
  <c r="A3" i="18"/>
  <c r="A4" i="18"/>
  <c r="A5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2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26" i="21"/>
  <c r="O27" i="21"/>
  <c r="O25" i="21"/>
  <c r="J97" i="11"/>
  <c r="O97" i="9"/>
  <c r="N97" i="9"/>
  <c r="M97" i="9"/>
  <c r="L97" i="9"/>
  <c r="K97" i="9"/>
  <c r="J97" i="9"/>
  <c r="I97" i="9"/>
  <c r="H97" i="9"/>
  <c r="G97" i="9"/>
  <c r="E97" i="9"/>
  <c r="D97" i="9"/>
  <c r="A97" i="9"/>
  <c r="J96" i="11"/>
  <c r="O96" i="9"/>
  <c r="N96" i="9"/>
  <c r="M96" i="9"/>
  <c r="L96" i="9"/>
  <c r="K96" i="9"/>
  <c r="J96" i="9"/>
  <c r="I96" i="9"/>
  <c r="H96" i="9"/>
  <c r="G96" i="9"/>
  <c r="E96" i="9"/>
  <c r="D96" i="9"/>
  <c r="A96" i="9"/>
  <c r="J95" i="11"/>
  <c r="O95" i="9"/>
  <c r="N95" i="9"/>
  <c r="M95" i="9"/>
  <c r="L95" i="9"/>
  <c r="K95" i="9"/>
  <c r="J95" i="9"/>
  <c r="I95" i="9"/>
  <c r="H95" i="9"/>
  <c r="G95" i="9"/>
  <c r="E95" i="9"/>
  <c r="D95" i="9"/>
  <c r="A95" i="9"/>
  <c r="J94" i="11"/>
  <c r="O94" i="9"/>
  <c r="N94" i="9"/>
  <c r="M94" i="9"/>
  <c r="L94" i="9"/>
  <c r="K94" i="9"/>
  <c r="J94" i="9"/>
  <c r="I94" i="9"/>
  <c r="H94" i="9"/>
  <c r="G94" i="9"/>
  <c r="E94" i="9"/>
  <c r="D94" i="9"/>
  <c r="A94" i="9"/>
  <c r="J93" i="11"/>
  <c r="O93" i="9"/>
  <c r="N93" i="9"/>
  <c r="M93" i="9"/>
  <c r="L93" i="9"/>
  <c r="K93" i="9"/>
  <c r="J93" i="9"/>
  <c r="I93" i="9"/>
  <c r="H93" i="9"/>
  <c r="G93" i="9"/>
  <c r="E93" i="9"/>
  <c r="D93" i="9"/>
  <c r="A93" i="9"/>
  <c r="J92" i="11"/>
  <c r="O92" i="9"/>
  <c r="N92" i="9"/>
  <c r="M92" i="9"/>
  <c r="L92" i="9"/>
  <c r="K92" i="9"/>
  <c r="J92" i="9"/>
  <c r="I92" i="9"/>
  <c r="H92" i="9"/>
  <c r="G92" i="9"/>
  <c r="E92" i="9"/>
  <c r="D92" i="9"/>
  <c r="A92" i="9"/>
  <c r="J91" i="11"/>
  <c r="O91" i="9"/>
  <c r="N91" i="9"/>
  <c r="M91" i="9"/>
  <c r="L91" i="9"/>
  <c r="K91" i="9"/>
  <c r="J91" i="9"/>
  <c r="I91" i="9"/>
  <c r="H91" i="9"/>
  <c r="G91" i="9"/>
  <c r="E91" i="9"/>
  <c r="D91" i="9"/>
  <c r="A91" i="9"/>
  <c r="J90" i="11"/>
  <c r="O90" i="9"/>
  <c r="N90" i="9"/>
  <c r="M90" i="9"/>
  <c r="L90" i="9"/>
  <c r="K90" i="9"/>
  <c r="J90" i="9"/>
  <c r="I90" i="9"/>
  <c r="H90" i="9"/>
  <c r="G90" i="9"/>
  <c r="E90" i="9"/>
  <c r="D90" i="9"/>
  <c r="A90" i="9"/>
  <c r="J89" i="11"/>
  <c r="O89" i="9"/>
  <c r="N89" i="9"/>
  <c r="M89" i="9"/>
  <c r="L89" i="9"/>
  <c r="K89" i="9"/>
  <c r="J89" i="9"/>
  <c r="I89" i="9"/>
  <c r="H89" i="9"/>
  <c r="G89" i="9"/>
  <c r="E89" i="9"/>
  <c r="D89" i="9"/>
  <c r="A89" i="9"/>
  <c r="J88" i="11"/>
  <c r="O88" i="9"/>
  <c r="N88" i="9"/>
  <c r="M88" i="9"/>
  <c r="L88" i="9"/>
  <c r="K88" i="9"/>
  <c r="J88" i="9"/>
  <c r="I88" i="9"/>
  <c r="H88" i="9"/>
  <c r="G88" i="9"/>
  <c r="E88" i="9"/>
  <c r="D88" i="9"/>
  <c r="A88" i="9"/>
  <c r="J87" i="11"/>
  <c r="O87" i="9"/>
  <c r="N87" i="9"/>
  <c r="M87" i="9"/>
  <c r="L87" i="9"/>
  <c r="K87" i="9"/>
  <c r="J87" i="9"/>
  <c r="I87" i="9"/>
  <c r="H87" i="9"/>
  <c r="G87" i="9"/>
  <c r="E87" i="9"/>
  <c r="D87" i="9"/>
  <c r="A87" i="9"/>
  <c r="J86" i="11"/>
  <c r="O86" i="9"/>
  <c r="N86" i="9"/>
  <c r="M86" i="9"/>
  <c r="L86" i="9"/>
  <c r="K86" i="9"/>
  <c r="J86" i="9"/>
  <c r="I86" i="9"/>
  <c r="H86" i="9"/>
  <c r="G86" i="9"/>
  <c r="E86" i="9"/>
  <c r="D86" i="9"/>
  <c r="A86" i="9"/>
  <c r="J85" i="11"/>
  <c r="O85" i="9"/>
  <c r="N85" i="9"/>
  <c r="M85" i="9"/>
  <c r="L85" i="9"/>
  <c r="K85" i="9"/>
  <c r="J85" i="9"/>
  <c r="I85" i="9"/>
  <c r="H85" i="9"/>
  <c r="G85" i="9"/>
  <c r="E85" i="9"/>
  <c r="D85" i="9"/>
  <c r="A85" i="9"/>
  <c r="J84" i="11"/>
  <c r="O84" i="9"/>
  <c r="N84" i="9"/>
  <c r="M84" i="9"/>
  <c r="L84" i="9"/>
  <c r="K84" i="9"/>
  <c r="J84" i="9"/>
  <c r="I84" i="9"/>
  <c r="H84" i="9"/>
  <c r="G84" i="9"/>
  <c r="E84" i="9"/>
  <c r="D84" i="9"/>
  <c r="A84" i="9"/>
  <c r="J83" i="11"/>
  <c r="O83" i="9"/>
  <c r="N83" i="9"/>
  <c r="M83" i="9"/>
  <c r="L83" i="9"/>
  <c r="K83" i="9"/>
  <c r="J83" i="9"/>
  <c r="I83" i="9"/>
  <c r="H83" i="9"/>
  <c r="G83" i="9"/>
  <c r="E83" i="9"/>
  <c r="D83" i="9"/>
  <c r="A83" i="9"/>
  <c r="J82" i="11"/>
  <c r="O82" i="9"/>
  <c r="N82" i="9"/>
  <c r="M82" i="9"/>
  <c r="L82" i="9"/>
  <c r="K82" i="9"/>
  <c r="J82" i="9"/>
  <c r="I82" i="9"/>
  <c r="H82" i="9"/>
  <c r="G82" i="9"/>
  <c r="E82" i="9"/>
  <c r="D82" i="9"/>
  <c r="A82" i="9"/>
  <c r="J81" i="11"/>
  <c r="O81" i="9"/>
  <c r="N81" i="9"/>
  <c r="M81" i="9"/>
  <c r="L81" i="9"/>
  <c r="K81" i="9"/>
  <c r="J81" i="9"/>
  <c r="I81" i="9"/>
  <c r="H81" i="9"/>
  <c r="G81" i="9"/>
  <c r="E81" i="9"/>
  <c r="D81" i="9"/>
  <c r="A81" i="9"/>
  <c r="J80" i="11"/>
  <c r="O80" i="9"/>
  <c r="N80" i="9"/>
  <c r="M80" i="9"/>
  <c r="L80" i="9"/>
  <c r="K80" i="9"/>
  <c r="J80" i="9"/>
  <c r="I80" i="9"/>
  <c r="H80" i="9"/>
  <c r="G80" i="9"/>
  <c r="E80" i="9"/>
  <c r="D80" i="9"/>
  <c r="A80" i="9"/>
  <c r="J79" i="11"/>
  <c r="O79" i="9"/>
  <c r="N79" i="9"/>
  <c r="M79" i="9"/>
  <c r="L79" i="9"/>
  <c r="K79" i="9"/>
  <c r="J79" i="9"/>
  <c r="I79" i="9"/>
  <c r="H79" i="9"/>
  <c r="G79" i="9"/>
  <c r="E79" i="9"/>
  <c r="D79" i="9"/>
  <c r="A79" i="9"/>
  <c r="J78" i="11"/>
  <c r="O78" i="9"/>
  <c r="N78" i="9"/>
  <c r="M78" i="9"/>
  <c r="L78" i="9"/>
  <c r="K78" i="9"/>
  <c r="J78" i="9"/>
  <c r="I78" i="9"/>
  <c r="H78" i="9"/>
  <c r="G78" i="9"/>
  <c r="E78" i="9"/>
  <c r="D78" i="9"/>
  <c r="A78" i="9"/>
  <c r="J77" i="11"/>
  <c r="O77" i="9"/>
  <c r="N77" i="9"/>
  <c r="M77" i="9"/>
  <c r="L77" i="9"/>
  <c r="K77" i="9"/>
  <c r="J77" i="9"/>
  <c r="I77" i="9"/>
  <c r="H77" i="9"/>
  <c r="G77" i="9"/>
  <c r="E77" i="9"/>
  <c r="D77" i="9"/>
  <c r="A77" i="9"/>
  <c r="J76" i="11"/>
  <c r="O76" i="9"/>
  <c r="N76" i="9"/>
  <c r="M76" i="9"/>
  <c r="L76" i="9"/>
  <c r="K76" i="9"/>
  <c r="J76" i="9"/>
  <c r="I76" i="9"/>
  <c r="H76" i="9"/>
  <c r="G76" i="9"/>
  <c r="E76" i="9"/>
  <c r="D76" i="9"/>
  <c r="A76" i="9"/>
  <c r="J75" i="11"/>
  <c r="O75" i="9"/>
  <c r="N75" i="9"/>
  <c r="M75" i="9"/>
  <c r="L75" i="9"/>
  <c r="K75" i="9"/>
  <c r="J75" i="9"/>
  <c r="I75" i="9"/>
  <c r="H75" i="9"/>
  <c r="G75" i="9"/>
  <c r="E75" i="9"/>
  <c r="D75" i="9"/>
  <c r="A75" i="9"/>
  <c r="J74" i="11"/>
  <c r="O74" i="9"/>
  <c r="N74" i="9"/>
  <c r="M74" i="9"/>
  <c r="L74" i="9"/>
  <c r="K74" i="9"/>
  <c r="J74" i="9"/>
  <c r="I74" i="9"/>
  <c r="H74" i="9"/>
  <c r="G74" i="9"/>
  <c r="E74" i="9"/>
  <c r="D74" i="9"/>
  <c r="A74" i="9"/>
  <c r="J73" i="11"/>
  <c r="O73" i="9"/>
  <c r="N73" i="9"/>
  <c r="M73" i="9"/>
  <c r="L73" i="9"/>
  <c r="K73" i="9"/>
  <c r="J73" i="9"/>
  <c r="I73" i="9"/>
  <c r="H73" i="9"/>
  <c r="G73" i="9"/>
  <c r="E73" i="9"/>
  <c r="D73" i="9"/>
  <c r="A73" i="9"/>
  <c r="J72" i="11"/>
  <c r="O72" i="9"/>
  <c r="N72" i="9"/>
  <c r="M72" i="9"/>
  <c r="L72" i="9"/>
  <c r="K72" i="9"/>
  <c r="J72" i="9"/>
  <c r="I72" i="9"/>
  <c r="H72" i="9"/>
  <c r="G72" i="9"/>
  <c r="E72" i="9"/>
  <c r="D72" i="9"/>
  <c r="A72" i="9"/>
  <c r="J71" i="11"/>
  <c r="O71" i="9"/>
  <c r="N71" i="9"/>
  <c r="M71" i="9"/>
  <c r="L71" i="9"/>
  <c r="K71" i="9"/>
  <c r="J71" i="9"/>
  <c r="I71" i="9"/>
  <c r="H71" i="9"/>
  <c r="G71" i="9"/>
  <c r="E71" i="9"/>
  <c r="D71" i="9"/>
  <c r="A71" i="9"/>
  <c r="J70" i="11"/>
  <c r="O70" i="9"/>
  <c r="N70" i="9"/>
  <c r="M70" i="9"/>
  <c r="L70" i="9"/>
  <c r="K70" i="9"/>
  <c r="J70" i="9"/>
  <c r="I70" i="9"/>
  <c r="H70" i="9"/>
  <c r="G70" i="9"/>
  <c r="E70" i="9"/>
  <c r="D70" i="9"/>
  <c r="A70" i="9"/>
  <c r="J69" i="11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I27" i="21"/>
  <c r="J27" i="21"/>
  <c r="G27" i="21"/>
  <c r="F27" i="21"/>
  <c r="D27" i="21"/>
  <c r="C27" i="21"/>
  <c r="I26" i="21"/>
  <c r="J26" i="21"/>
  <c r="G26" i="21"/>
  <c r="F26" i="21"/>
  <c r="D26" i="21"/>
  <c r="C26" i="21"/>
  <c r="I25" i="21"/>
  <c r="J25" i="21"/>
  <c r="G25" i="21"/>
  <c r="F25" i="21"/>
  <c r="D25" i="21"/>
  <c r="C25" i="21"/>
  <c r="O3" i="21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4" i="21"/>
  <c r="O2" i="21"/>
  <c r="I24" i="21"/>
  <c r="J24" i="21"/>
  <c r="G24" i="21"/>
  <c r="F24" i="21"/>
  <c r="D24" i="21"/>
  <c r="C24" i="21"/>
  <c r="I23" i="21"/>
  <c r="J23" i="21"/>
  <c r="G23" i="21"/>
  <c r="F23" i="21"/>
  <c r="D23" i="21"/>
  <c r="C23" i="21"/>
  <c r="I22" i="21"/>
  <c r="J22" i="21"/>
  <c r="G22" i="21"/>
  <c r="F22" i="21"/>
  <c r="D22" i="21"/>
  <c r="C22" i="21"/>
  <c r="I21" i="21"/>
  <c r="J21" i="21"/>
  <c r="G21" i="21"/>
  <c r="F21" i="21"/>
  <c r="D21" i="21"/>
  <c r="C21" i="21"/>
  <c r="I20" i="21"/>
  <c r="J20" i="21"/>
  <c r="G20" i="21"/>
  <c r="F20" i="21"/>
  <c r="D20" i="21"/>
  <c r="C20" i="21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0" i="21"/>
  <c r="J10" i="21"/>
  <c r="G10" i="21"/>
  <c r="F10" i="21"/>
  <c r="D10" i="21"/>
  <c r="C10" i="21"/>
  <c r="I8" i="21"/>
  <c r="J8" i="21"/>
  <c r="G8" i="21"/>
  <c r="F8" i="21"/>
  <c r="D8" i="21"/>
  <c r="C8" i="21"/>
  <c r="I4" i="21"/>
  <c r="J4" i="21"/>
  <c r="G4" i="21"/>
  <c r="F4" i="21"/>
  <c r="D4" i="21"/>
  <c r="C4" i="21"/>
  <c r="I11" i="21"/>
  <c r="J11" i="21"/>
  <c r="G11" i="21"/>
  <c r="F11" i="21"/>
  <c r="D11" i="21"/>
  <c r="C11" i="21"/>
  <c r="I9" i="21"/>
  <c r="J9" i="21"/>
  <c r="G9" i="21"/>
  <c r="F9" i="21"/>
  <c r="D9" i="21"/>
  <c r="C9" i="21"/>
  <c r="I7" i="21"/>
  <c r="J7" i="21"/>
  <c r="G7" i="21"/>
  <c r="F7" i="21"/>
  <c r="D7" i="21"/>
  <c r="C7" i="21"/>
  <c r="I6" i="21"/>
  <c r="I5" i="21"/>
  <c r="I3" i="21"/>
  <c r="J3" i="21"/>
  <c r="J6" i="21"/>
  <c r="G6" i="21"/>
  <c r="F6" i="21"/>
  <c r="D6" i="21"/>
  <c r="C6" i="21"/>
  <c r="J5" i="21"/>
  <c r="G5" i="21"/>
  <c r="F5" i="21"/>
  <c r="D5" i="21"/>
  <c r="C5" i="21"/>
  <c r="G3" i="21"/>
  <c r="F3" i="21"/>
  <c r="D3" i="21"/>
  <c r="C3" i="21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35" i="11"/>
  <c r="J36" i="11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36" i="10"/>
  <c r="T36" i="10"/>
  <c r="W36" i="10"/>
  <c r="V36" i="10"/>
  <c r="X36" i="10"/>
  <c r="U36" i="10"/>
  <c r="Y36" i="10"/>
  <c r="M45" i="10"/>
  <c r="N45" i="10"/>
  <c r="Q45" i="10"/>
  <c r="P45" i="10"/>
  <c r="R45" i="10"/>
  <c r="O45" i="10"/>
  <c r="S45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M44" i="10"/>
  <c r="N44" i="10"/>
  <c r="Q44" i="10"/>
  <c r="P44" i="10"/>
  <c r="R44" i="10"/>
  <c r="O44" i="10"/>
  <c r="S44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20" i="10"/>
  <c r="T20" i="10"/>
  <c r="W20" i="10"/>
  <c r="V20" i="10"/>
  <c r="X20" i="10"/>
  <c r="U20" i="10"/>
  <c r="Y20" i="10"/>
  <c r="M28" i="10"/>
  <c r="M38" i="10"/>
  <c r="N38" i="10"/>
  <c r="Q38" i="10"/>
  <c r="P38" i="10"/>
  <c r="R38" i="10"/>
  <c r="O38" i="10"/>
  <c r="S38" i="10"/>
  <c r="N28" i="10"/>
  <c r="Q28" i="10"/>
  <c r="P28" i="10"/>
  <c r="R28" i="10"/>
  <c r="O28" i="10"/>
  <c r="S28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M26" i="10"/>
  <c r="M37" i="10"/>
  <c r="N37" i="10"/>
  <c r="Q37" i="10"/>
  <c r="P37" i="10"/>
  <c r="R37" i="10"/>
  <c r="O37" i="10"/>
  <c r="S37" i="10"/>
  <c r="N26" i="10"/>
  <c r="Q26" i="10"/>
  <c r="P26" i="10"/>
  <c r="R26" i="10"/>
  <c r="O26" i="10"/>
  <c r="S26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9" i="10"/>
  <c r="T19" i="10"/>
  <c r="W19" i="10"/>
  <c r="V19" i="10"/>
  <c r="X19" i="10"/>
  <c r="U19" i="10"/>
  <c r="Y19" i="10"/>
  <c r="M27" i="10"/>
  <c r="N27" i="10"/>
  <c r="Q27" i="10"/>
  <c r="P27" i="10"/>
  <c r="R27" i="10"/>
  <c r="O27" i="10"/>
  <c r="S27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3" i="11"/>
  <c r="M3" i="10"/>
  <c r="T3" i="10"/>
  <c r="W3" i="10"/>
  <c r="V3" i="10"/>
  <c r="X3" i="10"/>
  <c r="U3" i="10"/>
  <c r="Y3" i="10"/>
  <c r="M41" i="10"/>
  <c r="N41" i="10"/>
  <c r="Q41" i="10"/>
  <c r="P41" i="10"/>
  <c r="R41" i="10"/>
  <c r="O41" i="10"/>
  <c r="S41" i="10"/>
  <c r="M30" i="10"/>
  <c r="N30" i="10"/>
  <c r="Q30" i="10"/>
  <c r="P30" i="10"/>
  <c r="R30" i="10"/>
  <c r="O30" i="10"/>
  <c r="S30" i="10"/>
  <c r="M22" i="10"/>
  <c r="N22" i="10"/>
  <c r="Q22" i="10"/>
  <c r="P22" i="10"/>
  <c r="R22" i="10"/>
  <c r="O22" i="10"/>
  <c r="S22" i="10"/>
  <c r="M12" i="10"/>
  <c r="N12" i="10"/>
  <c r="Q12" i="10"/>
  <c r="P12" i="10"/>
  <c r="R12" i="10"/>
  <c r="O12" i="10"/>
  <c r="S12" i="10"/>
  <c r="N3" i="10"/>
  <c r="Q3" i="10"/>
  <c r="P3" i="10"/>
  <c r="R3" i="10"/>
  <c r="O3" i="10"/>
  <c r="S3" i="10"/>
  <c r="G3" i="10"/>
  <c r="J3" i="10"/>
  <c r="I3" i="10"/>
  <c r="K3" i="10"/>
  <c r="H3" i="10"/>
  <c r="L3" i="10"/>
  <c r="E5" i="9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J2" i="11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T22" i="10"/>
  <c r="W22" i="10"/>
  <c r="V22" i="10"/>
  <c r="X22" i="10"/>
  <c r="U22" i="10"/>
  <c r="Y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T12" i="10"/>
  <c r="W12" i="10"/>
  <c r="V12" i="10"/>
  <c r="X12" i="10"/>
  <c r="U12" i="10"/>
  <c r="Y12" i="10"/>
  <c r="G12" i="10"/>
  <c r="J12" i="10"/>
  <c r="I12" i="10"/>
  <c r="K12" i="10"/>
  <c r="H12" i="10"/>
  <c r="L12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E2" i="9"/>
  <c r="Y7" i="7"/>
  <c r="W7" i="7"/>
  <c r="U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Y2" i="7"/>
  <c r="X2" i="1"/>
  <c r="H9" i="2"/>
  <c r="E9" i="2"/>
  <c r="D9" i="2"/>
  <c r="H2" i="1"/>
  <c r="H3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J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G3" i="1"/>
  <c r="AF3" i="1"/>
  <c r="AE3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<sst xmlns="http://schemas.openxmlformats.org/spreadsheetml/2006/main" count="1944" uniqueCount="586">
  <si>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</si>
  <si>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</si>
  <si>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</si>
  <si>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</si>
  <si>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</si>
  <si>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</si>
  <si>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</si>
  <si>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</si>
  <si>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</si>
  <si>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</si>
  <si>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</si>
  <si>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</si>
  <si>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</si>
  <si>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</si>
  <si>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</si>
  <si>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</si>
  <si>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</si>
  <si>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</si>
  <si>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</si>
  <si>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</si>
  <si>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</si>
  <si>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</si>
  <si>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</si>
  <si>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</si>
  <si>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</si>
  <si>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</si>
  <si>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</si>
  <si>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</si>
  <si>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</si>
  <si>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</si>
  <si>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</si>
  <si>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</si>
  <si>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</si>
  <si>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</si>
  <si>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</si>
  <si>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</si>
  <si>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</si>
  <si>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</si>
  <si>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</si>
  <si>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</si>
  <si>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</si>
  <si>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</si>
  <si>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</si>
  <si>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</si>
  <si>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</si>
  <si>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</si>
  <si>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</si>
  <si>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</si>
  <si>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</si>
  <si>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</si>
  <si>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</si>
  <si>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</si>
  <si>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</si>
  <si>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</si>
  <si>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</si>
  <si>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</si>
  <si>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</si>
  <si>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</si>
  <si>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</si>
  <si>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</si>
  <si>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</si>
  <si>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</si>
  <si>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</si>
  <si>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</si>
  <si>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</si>
  <si>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</si>
  <si>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</si>
  <si>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</si>
  <si>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</si>
  <si>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</si>
  <si>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</si>
  <si>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</si>
  <si>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</si>
  <si>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</si>
  <si>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</si>
  <si>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</si>
  <si>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</si>
  <si>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</si>
  <si>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</si>
  <si>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</si>
  <si>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</si>
  <si>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</si>
  <si>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</si>
  <si>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</si>
  <si>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</si>
  <si>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</si>
  <si>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</si>
  <si>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</si>
  <si>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</si>
  <si>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</si>
  <si>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</si>
  <si>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</si>
  <si>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</si>
  <si>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</si>
  <si>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</si>
  <si>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</si>
  <si>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</si>
  <si>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</si>
  <si>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</si>
  <si>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</si>
  <si>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</si>
  <si>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</si>
  <si>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</si>
  <si>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</si>
  <si>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</si>
  <si>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</si>
  <si>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</si>
  <si>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</si>
  <si>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</si>
  <si>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</si>
  <si>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</si>
  <si>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</si>
  <si>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</si>
  <si>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</si>
  <si>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</si>
  <si>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</si>
  <si>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</si>
  <si>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</si>
  <si>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</si>
  <si>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</si>
  <si>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</si>
  <si>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</si>
  <si>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</si>
  <si>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</si>
  <si>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</si>
  <si>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</si>
  <si>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</si>
  <si>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</si>
  <si>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</si>
  <si>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</si>
  <si>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</si>
  <si>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</si>
  <si>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</si>
  <si>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</si>
  <si>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</si>
  <si>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</si>
  <si>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</si>
  <si>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</si>
  <si>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</si>
  <si>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</si>
  <si>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</si>
  <si>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</si>
  <si>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</si>
  <si>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</si>
  <si>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</si>
  <si>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</si>
  <si>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</si>
  <si>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</si>
  <si>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</si>
  <si>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</si>
  <si>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</si>
  <si>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</si>
  <si>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</si>
  <si>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</si>
  <si>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</si>
  <si>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</si>
  <si>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</si>
  <si>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</si>
  <si>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</si>
  <si>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</si>
  <si>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</si>
  <si>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</si>
  <si>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</si>
  <si>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</si>
  <si>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</si>
  <si>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</si>
  <si>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</si>
  <si>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</si>
  <si>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</si>
  <si>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</si>
  <si>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</si>
  <si>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</si>
  <si>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</si>
  <si>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</si>
  <si>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</si>
  <si>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</si>
  <si>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</si>
  <si>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</si>
  <si>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</si>
  <si>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</si>
  <si>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</si>
  <si>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</si>
  <si>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</si>
  <si>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</si>
  <si>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</si>
  <si>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</si>
  <si>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</si>
  <si>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</si>
  <si>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</si>
  <si>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</si>
  <si>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</si>
  <si>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</si>
  <si>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</si>
  <si>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</si>
  <si>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</si>
  <si>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</si>
  <si>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</si>
  <si>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</si>
  <si>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</si>
  <si>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</si>
  <si>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</si>
  <si>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</si>
  <si>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</si>
  <si>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</si>
  <si>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</si>
  <si>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</si>
  <si>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</si>
  <si>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</si>
  <si>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</si>
  <si>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</si>
  <si>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</si>
  <si>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</si>
  <si>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</si>
  <si>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</si>
  <si>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</si>
  <si>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</si>
  <si>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</si>
  <si>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</si>
  <si>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</si>
  <si>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</si>
  <si>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</si>
  <si>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</si>
  <si>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</si>
  <si>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</si>
  <si>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</si>
  <si>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</si>
  <si>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</si>
  <si>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</si>
  <si>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</si>
  <si>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</si>
  <si>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</si>
  <si>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</si>
  <si>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</si>
  <si>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</si>
  <si>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</si>
  <si>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</si>
  <si>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</si>
  <si>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</si>
  <si>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</si>
  <si>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</si>
  <si>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</si>
  <si>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</si>
  <si>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</si>
  <si>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</si>
  <si>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</si>
  <si>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</si>
  <si>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</si>
  <si>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</si>
  <si>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</si>
  <si>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</si>
  <si>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</si>
  <si>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</si>
  <si>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</si>
  <si>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</si>
  <si>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</si>
  <si>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</si>
  <si>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クリティカル！</t>
    <phoneticPr fontId="5"/>
  </si>
  <si>
    <t>old</t>
    <phoneticPr fontId="5"/>
  </si>
  <si>
    <t>4ターンウィルス</t>
    <phoneticPr fontId="5"/>
  </si>
  <si>
    <t>自身の攻撃力をUP</t>
    <rPh sb="0" eb="2">
      <t>jisinnno</t>
    </rPh>
    <rPh sb="3" eb="6">
      <t>コウゲキリョク</t>
    </rPh>
    <phoneticPr fontId="5"/>
  </si>
  <si>
    <t>3ターン回復力30％DOWN</t>
    <rPh sb="4" eb="7">
      <t>カイフクリョク</t>
    </rPh>
    <phoneticPr fontId="5"/>
  </si>
  <si>
    <t>1フロア:ヒロ</t>
    <phoneticPr fontId="5"/>
  </si>
  <si>
    <t>開幕:アマラ2</t>
    <rPh sb="0" eb="2">
      <t>カイマク</t>
    </rPh>
    <phoneticPr fontId="5"/>
  </si>
  <si>
    <t>HP30%以下:アマラ1</t>
    <rPh sb="5" eb="7">
      <t>イカ</t>
    </rPh>
    <phoneticPr fontId="5"/>
  </si>
  <si>
    <t>アマラ1</t>
    <phoneticPr fontId="5"/>
  </si>
  <si>
    <t>HP50%以下:アマラ2</t>
    <rPh sb="5" eb="7">
      <t>イカ</t>
    </rPh>
    <phoneticPr fontId="5"/>
  </si>
  <si>
    <t>3ターン回復力50％DOWN</t>
    <rPh sb="4" eb="7">
      <t>カイフクリョク</t>
    </rPh>
    <phoneticPr fontId="5"/>
  </si>
  <si>
    <t>HP20%以下:アマラ2</t>
    <rPh sb="5" eb="7">
      <t>イカ</t>
    </rPh>
    <phoneticPr fontId="5"/>
  </si>
  <si>
    <t>開幕:ハヌマーン</t>
    <rPh sb="0" eb="2">
      <t>カイマク</t>
    </rPh>
    <phoneticPr fontId="5"/>
  </si>
  <si>
    <t>赤パネルを吸収して+
4ターン自身の防御力UP</t>
    <rPh sb="0" eb="1">
      <t>アカパネル</t>
    </rPh>
    <rPh sb="5" eb="7">
      <t>キュウシュウ</t>
    </rPh>
    <rPh sb="15" eb="17">
      <t>ジシンノ</t>
    </rPh>
    <rPh sb="18" eb="21">
      <t>ボウギョリョク</t>
    </rPh>
    <phoneticPr fontId="5"/>
  </si>
  <si>
    <t>HP50%まで：ハヌマーン</t>
    <phoneticPr fontId="5"/>
  </si>
  <si>
    <t>お邪魔パネルを吸収して+
2ターン自身の防御力UP</t>
    <rPh sb="7" eb="9">
      <t>キュウシュウ</t>
    </rPh>
    <rPh sb="17" eb="19">
      <t>ジシンノ</t>
    </rPh>
    <rPh sb="20" eb="23">
      <t>ボウギョリョク</t>
    </rPh>
    <phoneticPr fontId="5"/>
  </si>
  <si>
    <t>お邪魔パネル変換(1個)</t>
    <rPh sb="6" eb="8">
      <t>ヘンカン</t>
    </rPh>
    <rPh sb="10" eb="11">
      <t>コ</t>
    </rPh>
    <phoneticPr fontId="5"/>
  </si>
  <si>
    <t>お邪魔パネル変換(2個)</t>
    <rPh sb="6" eb="8">
      <t>ヘンカン</t>
    </rPh>
    <rPh sb="10" eb="11">
      <t>コ</t>
    </rPh>
    <phoneticPr fontId="5"/>
  </si>
  <si>
    <t>HP50%以下：ハヌマーン</t>
    <rPh sb="5" eb="7">
      <t>イカ</t>
    </rPh>
    <phoneticPr fontId="5"/>
  </si>
  <si>
    <t>お邪魔パネル変換(3個)</t>
    <rPh sb="6" eb="8">
      <t>ヘンカン</t>
    </rPh>
    <rPh sb="10" eb="11">
      <t>コ</t>
    </rPh>
    <phoneticPr fontId="5"/>
  </si>
  <si>
    <t>ゴクウ</t>
    <phoneticPr fontId="5"/>
  </si>
  <si>
    <t>HP30%以下:ゴクウ</t>
    <rPh sb="5" eb="7">
      <t>イカ</t>
    </rPh>
    <phoneticPr fontId="5"/>
  </si>
  <si>
    <t>ランダムに攻撃頻度を1にする</t>
    <rPh sb="5" eb="7">
      <t>コウゲキ</t>
    </rPh>
    <rPh sb="7" eb="9">
      <t>ヒンド</t>
    </rPh>
    <phoneticPr fontId="5"/>
  </si>
  <si>
    <t>開幕:ナーガ1</t>
    <rPh sb="0" eb="2">
      <t>カイマク</t>
    </rPh>
    <phoneticPr fontId="5"/>
  </si>
  <si>
    <t>お邪魔パネル変換(4個)</t>
    <rPh sb="6" eb="8">
      <t>ヘンカン</t>
    </rPh>
    <rPh sb="10" eb="11">
      <t>コ</t>
    </rPh>
    <phoneticPr fontId="5"/>
  </si>
  <si>
    <t>次ターン:ナーガ1</t>
    <rPh sb="0" eb="1">
      <t>ジターン</t>
    </rPh>
    <phoneticPr fontId="5"/>
  </si>
  <si>
    <t>お邪魔パネルを吸収して+
2ターン自身の攻撃力特大UP+
2ターン攻撃頻度を1にする</t>
    <rPh sb="7" eb="9">
      <t>キュウシュウ</t>
    </rPh>
    <rPh sb="17" eb="19">
      <t>ジシンノ</t>
    </rPh>
    <rPh sb="20" eb="22">
      <t>コウゲキ</t>
    </rPh>
    <rPh sb="22" eb="23">
      <t>ボウギョリョク</t>
    </rPh>
    <rPh sb="23" eb="25">
      <t>トクダイ</t>
    </rPh>
    <rPh sb="33" eb="37">
      <t>コウゲキヒンド</t>
    </rPh>
    <phoneticPr fontId="5"/>
  </si>
  <si>
    <t>HP50%まで:ナーガ1</t>
    <phoneticPr fontId="5"/>
  </si>
  <si>
    <t>ヒューマンに大ダメージ</t>
    <rPh sb="6" eb="7">
      <t>ダイダメージ</t>
    </rPh>
    <phoneticPr fontId="5"/>
  </si>
  <si>
    <t>HP50%以下1回:ナーガ1</t>
    <rPh sb="5" eb="7">
      <t>イカ</t>
    </rPh>
    <rPh sb="8" eb="9">
      <t>カイ</t>
    </rPh>
    <phoneticPr fontId="5"/>
  </si>
  <si>
    <t>4ターン回復力50％DOWN</t>
    <rPh sb="4" eb="7">
      <t>カイフクリョク</t>
    </rPh>
    <phoneticPr fontId="5"/>
  </si>
  <si>
    <t>HP50%以下:ナーガ1</t>
    <rPh sb="5" eb="7">
      <t>イカ</t>
    </rPh>
    <phoneticPr fontId="5"/>
  </si>
  <si>
    <t>開幕:ナーガ2</t>
    <rPh sb="0" eb="2">
      <t>カイマク</t>
    </rPh>
    <phoneticPr fontId="5"/>
  </si>
  <si>
    <t>HP50%まで:ナーガ2</t>
    <phoneticPr fontId="5"/>
  </si>
  <si>
    <t>連続攻撃</t>
    <rPh sb="0" eb="4">
      <t>レンゾクコウゲキ</t>
    </rPh>
    <phoneticPr fontId="5"/>
  </si>
  <si>
    <t>HP50%以下1回:ナーガ2</t>
    <rPh sb="5" eb="7">
      <t>イカ</t>
    </rPh>
    <rPh sb="8" eb="9">
      <t>カイ</t>
    </rPh>
    <phoneticPr fontId="5"/>
  </si>
  <si>
    <t>HP50%以下:ナーガ2</t>
    <rPh sb="5" eb="7">
      <t>イカ</t>
    </rPh>
    <phoneticPr fontId="5"/>
  </si>
  <si>
    <t>お邪魔パネルを吸収して回復</t>
    <rPh sb="7" eb="9">
      <t>キュウシュウ</t>
    </rPh>
    <rPh sb="11" eb="13">
      <t>カイフク</t>
    </rPh>
    <phoneticPr fontId="5"/>
  </si>
  <si>
    <t>開幕:ナーガ3</t>
    <rPh sb="0" eb="2">
      <t>カイマク</t>
    </rPh>
    <phoneticPr fontId="5"/>
  </si>
  <si>
    <t>お邪魔パネル変換(4個)+
3ターン攻撃頻度を1にする</t>
    <rPh sb="6" eb="8">
      <t>ヘンカン</t>
    </rPh>
    <rPh sb="10" eb="11">
      <t>コ</t>
    </rPh>
    <rPh sb="18" eb="22">
      <t>コウゲキヒンド</t>
    </rPh>
    <phoneticPr fontId="5"/>
  </si>
  <si>
    <t>HP50%まで:ナーガ3</t>
    <phoneticPr fontId="5"/>
  </si>
  <si>
    <t>お邪魔パネル変換(1個)+
攻撃</t>
    <rPh sb="6" eb="8">
      <t>ヘンカン</t>
    </rPh>
    <rPh sb="10" eb="11">
      <t>コ</t>
    </rPh>
    <rPh sb="14" eb="16">
      <t>コウゲキ</t>
    </rPh>
    <phoneticPr fontId="5"/>
  </si>
  <si>
    <t>2ターンウィルス</t>
    <phoneticPr fontId="5"/>
  </si>
  <si>
    <t>HP50%以下:ナーガ3</t>
    <rPh sb="5" eb="7">
      <t>イカ</t>
    </rPh>
    <phoneticPr fontId="5"/>
  </si>
  <si>
    <t>HP75%以下1回:ナーガ3</t>
    <rPh sb="5" eb="7">
      <t>イカ</t>
    </rPh>
    <rPh sb="8" eb="9">
      <t>カイイ</t>
    </rPh>
    <phoneticPr fontId="5"/>
  </si>
  <si>
    <t>解除するまで回復力90%DOWN</t>
    <rPh sb="0" eb="2">
      <t>カイジョスル</t>
    </rPh>
    <rPh sb="6" eb="9">
      <t>カイフクリョク</t>
    </rPh>
    <phoneticPr fontId="5"/>
  </si>
  <si>
    <t>お邪魔パネル変換(3個)+
連続攻撃</t>
    <rPh sb="6" eb="8">
      <t>ヘンカン</t>
    </rPh>
    <rPh sb="10" eb="11">
      <t>コ</t>
    </rPh>
    <rPh sb="14" eb="16">
      <t>レンゾク</t>
    </rPh>
    <rPh sb="16" eb="18">
      <t>コウゲキ</t>
    </rPh>
    <phoneticPr fontId="5"/>
  </si>
  <si>
    <t>お邪魔パネルを吸収して攻撃</t>
    <rPh sb="7" eb="9">
      <t>キュウシュウ</t>
    </rPh>
    <rPh sb="11" eb="13">
      <t>コウゲキ</t>
    </rPh>
    <phoneticPr fontId="5"/>
  </si>
  <si>
    <t>HP50%以下1回:ナーガ3</t>
    <rPh sb="5" eb="7">
      <t>イカ</t>
    </rPh>
    <rPh sb="8" eb="9">
      <t>カイ</t>
    </rPh>
    <phoneticPr fontId="5"/>
  </si>
  <si>
    <t>お邪魔パネル変換(4個)+
4ターンウィルス</t>
    <rPh sb="6" eb="8">
      <t>ヘンカン</t>
    </rPh>
    <rPh sb="10" eb="11">
      <t>コ</t>
    </rPh>
    <phoneticPr fontId="5"/>
  </si>
  <si>
    <t>HP25%以下1回:ナーガ3</t>
    <rPh sb="5" eb="7">
      <t>イカ</t>
    </rPh>
    <rPh sb="8" eb="9">
      <t>カイ</t>
    </rPh>
    <phoneticPr fontId="5"/>
  </si>
  <si>
    <t>青パネル吸収予告+
次ターン即死級攻撃</t>
    <rPh sb="0" eb="1">
      <t>アオパネル</t>
    </rPh>
    <rPh sb="4" eb="6">
      <t>キュウシュウ</t>
    </rPh>
    <rPh sb="6" eb="8">
      <t>ヨコク</t>
    </rPh>
    <rPh sb="10" eb="11">
      <t>ジターン</t>
    </rPh>
    <rPh sb="14" eb="16">
      <t>ソクシ</t>
    </rPh>
    <rPh sb="16" eb="17">
      <t>キュウ</t>
    </rPh>
    <rPh sb="17" eb="19">
      <t>コウゲキ</t>
    </rPh>
    <phoneticPr fontId="5"/>
  </si>
  <si>
    <t>青パネルを吸収して全体攻撃</t>
    <rPh sb="0" eb="1">
      <t>アオパネル</t>
    </rPh>
    <rPh sb="5" eb="7">
      <t>キュウシュウ</t>
    </rPh>
    <rPh sb="9" eb="11">
      <t>ゼンタイ</t>
    </rPh>
    <rPh sb="11" eb="13">
      <t>コウゲキ</t>
    </rPh>
    <phoneticPr fontId="5"/>
  </si>
  <si>
    <t>null</t>
    <phoneticPr fontId="5"/>
  </si>
  <si>
    <t>null</t>
    <phoneticPr fontId="5"/>
  </si>
  <si>
    <t>ja</t>
    <phoneticPr fontId="5"/>
  </si>
  <si>
    <t>全体攻撃</t>
    <rPh sb="0" eb="4">
      <t>ゼンタイコウゲキ</t>
    </rPh>
    <phoneticPr fontId="5"/>
  </si>
  <si>
    <t>null</t>
    <phoneticPr fontId="5"/>
  </si>
  <si>
    <t>4ターン赤パネル吸収して防御力UP</t>
    <rPh sb="4" eb="5">
      <t>アカ</t>
    </rPh>
    <rPh sb="12" eb="14">
      <t>ボウギョ</t>
    </rPh>
    <phoneticPr fontId="5"/>
  </si>
  <si>
    <t>3ターン全体の回復力30％DOWN</t>
    <rPh sb="4" eb="6">
      <t>ゼンタイノ</t>
    </rPh>
    <rPh sb="7" eb="10">
      <t>カイフクリョク</t>
    </rPh>
    <phoneticPr fontId="5"/>
  </si>
  <si>
    <t>攻撃力UP</t>
    <rPh sb="0" eb="3">
      <t>コウゲキリョク</t>
    </rPh>
    <phoneticPr fontId="5"/>
  </si>
  <si>
    <t>3ターン全体の回復力50％DOWN</t>
    <rPh sb="4" eb="6">
      <t>ゼンタイノ</t>
    </rPh>
    <rPh sb="7" eb="10">
      <t>カイフクリョク</t>
    </rPh>
    <phoneticPr fontId="5"/>
  </si>
  <si>
    <t>ランダムでお邪魔パネルに1個変換</t>
    <rPh sb="13" eb="14">
      <t>コ</t>
    </rPh>
    <rPh sb="14" eb="16">
      <t>ヘンカン</t>
    </rPh>
    <phoneticPr fontId="5"/>
  </si>
  <si>
    <t>ランダムでお邪魔パネルに2個変換</t>
    <rPh sb="13" eb="14">
      <t>コ</t>
    </rPh>
    <rPh sb="14" eb="16">
      <t>ヘンカン</t>
    </rPh>
    <phoneticPr fontId="5"/>
  </si>
  <si>
    <t>ランダムでお邪魔パネルに3個変換</t>
    <rPh sb="13" eb="14">
      <t>コ</t>
    </rPh>
    <rPh sb="14" eb="16">
      <t>ヘンカン</t>
    </rPh>
    <phoneticPr fontId="5"/>
  </si>
  <si>
    <t>単体の攻撃頻度UP</t>
    <rPh sb="0" eb="2">
      <t>タンタイ</t>
    </rPh>
    <rPh sb="3" eb="5">
      <t>コウゲキ</t>
    </rPh>
    <rPh sb="5" eb="7">
      <t>ヒンド</t>
    </rPh>
    <phoneticPr fontId="5"/>
  </si>
  <si>
    <t>ランダムでお邪魔パネルに4個変換</t>
    <rPh sb="13" eb="14">
      <t>コ</t>
    </rPh>
    <rPh sb="14" eb="16">
      <t>ヘンカン</t>
    </rPh>
    <phoneticPr fontId="5"/>
  </si>
  <si>
    <t>2ターンお邪魔パネルを吸収して
攻撃力特大UP+
攻撃頻度UP</t>
    <rPh sb="11" eb="13">
      <t>キュウシュウ</t>
    </rPh>
    <rPh sb="16" eb="18">
      <t>コウゲキ</t>
    </rPh>
    <rPh sb="18" eb="19">
      <t>ボウギョリョク</t>
    </rPh>
    <rPh sb="19" eb="21">
      <t>トクダイ</t>
    </rPh>
    <rPh sb="25" eb="29">
      <t>コウゲキヒンド</t>
    </rPh>
    <phoneticPr fontId="5"/>
  </si>
  <si>
    <t>種族ヒューマンのユニットに大ダメージの全体攻撃</t>
    <rPh sb="0" eb="2">
      <t>シュゾク</t>
    </rPh>
    <rPh sb="13" eb="14">
      <t>ダイダメージ</t>
    </rPh>
    <rPh sb="19" eb="23">
      <t>ゼンタイコウゲキ</t>
    </rPh>
    <phoneticPr fontId="5"/>
  </si>
  <si>
    <t>4ターン全体の回復力50％DOWN</t>
    <rPh sb="4" eb="6">
      <t>ゼンタイノ</t>
    </rPh>
    <rPh sb="7" eb="10">
      <t>カイフクリョク</t>
    </rPh>
    <phoneticPr fontId="5"/>
  </si>
  <si>
    <t>4回連続攻撃</t>
    <rPh sb="1" eb="2">
      <t>カイ</t>
    </rPh>
    <rPh sb="2" eb="6">
      <t>レンゾクコウゲキ</t>
    </rPh>
    <phoneticPr fontId="5"/>
  </si>
  <si>
    <t>解除するまで全体の回復力90%DOWN</t>
    <rPh sb="0" eb="2">
      <t>カイジョスル</t>
    </rPh>
    <rPh sb="6" eb="8">
      <t>ゼンタイノ</t>
    </rPh>
    <rPh sb="9" eb="12">
      <t>カイフクリョク</t>
    </rPh>
    <phoneticPr fontId="5"/>
  </si>
  <si>
    <t>お邪魔パネルを吸収して全体攻撃</t>
    <rPh sb="7" eb="9">
      <t>キュウシュウ</t>
    </rPh>
    <rPh sb="11" eb="13">
      <t>ゼンタイ</t>
    </rPh>
    <rPh sb="13" eb="15">
      <t>コウゲキ</t>
    </rPh>
    <phoneticPr fontId="5"/>
  </si>
  <si>
    <t>次のターン青パネルを吸収して大ダメージ</t>
    <rPh sb="0" eb="1">
      <t>ツギノターン</t>
    </rPh>
    <rPh sb="5" eb="6">
      <t>アオパネル</t>
    </rPh>
    <rPh sb="10" eb="12">
      <t>キュウシュウ</t>
    </rPh>
    <rPh sb="14" eb="15">
      <t>ダイダメージ</t>
    </rPh>
    <phoneticPr fontId="5"/>
  </si>
  <si>
    <t>青パネルを吸収して大ダメージ+
青パネルドロップ率DOWN</t>
    <rPh sb="0" eb="1">
      <t>アオパネル</t>
    </rPh>
    <rPh sb="5" eb="7">
      <t>キュウシュウ</t>
    </rPh>
    <rPh sb="9" eb="10">
      <t>ダイダメージ</t>
    </rPh>
    <rPh sb="16" eb="17">
      <t>アオ</t>
    </rPh>
    <phoneticPr fontId="5"/>
  </si>
  <si>
    <t>ランダムでお邪魔パネルに2個変換+
単体攻撃</t>
    <rPh sb="13" eb="14">
      <t>コ</t>
    </rPh>
    <rPh sb="14" eb="16">
      <t>ヘンカン</t>
    </rPh>
    <rPh sb="18" eb="22">
      <t>タンタイコウゲキ</t>
    </rPh>
    <phoneticPr fontId="5"/>
  </si>
  <si>
    <t>ランダムでお邪魔パネルに2個変換+
2回連続攻撃</t>
    <rPh sb="13" eb="14">
      <t>コ</t>
    </rPh>
    <rPh sb="14" eb="16">
      <t>ヘンカン</t>
    </rPh>
    <rPh sb="19" eb="20">
      <t>カイ</t>
    </rPh>
    <rPh sb="20" eb="24">
      <t>レンゾクコウゲキ</t>
    </rPh>
    <phoneticPr fontId="5"/>
  </si>
  <si>
    <t>クリティカル！</t>
    <phoneticPr fontId="5"/>
  </si>
  <si>
    <t>開幕:ナーガ1:セリフ:通常時</t>
    <rPh sb="0" eb="2">
      <t>カイマク</t>
    </rPh>
    <phoneticPr fontId="5"/>
  </si>
  <si>
    <t>開幕:ナーガ1:セリフ:5001</t>
    <rPh sb="0" eb="2">
      <t>カイマク</t>
    </rPh>
    <phoneticPr fontId="5"/>
  </si>
  <si>
    <t>開幕:ナーガ1:セリフ:5002</t>
    <rPh sb="0" eb="2">
      <t>カイマク</t>
    </rPh>
    <phoneticPr fontId="5"/>
  </si>
  <si>
    <t>開幕:ナーガ3:通常時</t>
    <rPh sb="0" eb="2">
      <t>カイマク</t>
    </rPh>
    <rPh sb="8" eb="11">
      <t>ツウジョウジ</t>
    </rPh>
    <phoneticPr fontId="5"/>
  </si>
  <si>
    <t>開幕:ナーガ3:5001</t>
    <rPh sb="0" eb="2">
      <t>カイマク</t>
    </rPh>
    <phoneticPr fontId="5"/>
  </si>
  <si>
    <t>開幕:ナーガ3:5002</t>
    <rPh sb="0" eb="2">
      <t>カイマク</t>
    </rPh>
    <phoneticPr fontId="5"/>
  </si>
  <si>
    <t>死亡時:ナーガ3:5001</t>
    <rPh sb="0" eb="3">
      <t>シボウジ</t>
    </rPh>
    <phoneticPr fontId="5"/>
  </si>
  <si>
    <t>死亡時:ナーガ3:5002</t>
    <rPh sb="0" eb="3">
      <t>シボウジ</t>
    </rPh>
    <phoneticPr fontId="5"/>
  </si>
  <si>
    <t>死亡時:ナーガ3:通常時</t>
    <rPh sb="0" eb="3">
      <t>シボウジ</t>
    </rPh>
    <rPh sb="9" eb="12">
      <t>ツウジョウジ</t>
    </rPh>
    <phoneticPr fontId="5"/>
  </si>
  <si>
    <t>通常時</t>
    <rPh sb="0" eb="3">
      <t>ツウジョウジ</t>
    </rPh>
    <phoneticPr fontId="5"/>
  </si>
  <si>
    <t>ガルーダ:5001</t>
    <phoneticPr fontId="5"/>
  </si>
  <si>
    <t>ガルーダ:5002</t>
    <phoneticPr fontId="5"/>
  </si>
  <si>
    <t>null</t>
    <phoneticPr fontId="5"/>
  </si>
  <si>
    <t>null</t>
    <phoneticPr fontId="5"/>
  </si>
  <si>
    <t>ランダムでお邪魔パネルに3個変換+
単体攻撃</t>
    <rPh sb="13" eb="14">
      <t>コ</t>
    </rPh>
    <rPh sb="14" eb="16">
      <t>ヘンカン</t>
    </rPh>
    <rPh sb="18" eb="22">
      <t>タンタイコウゲキ</t>
    </rPh>
    <phoneticPr fontId="5"/>
  </si>
  <si>
    <t>ランダムでお邪魔パネルに3個変換+
2回連続攻撃</t>
    <rPh sb="13" eb="14">
      <t>コ</t>
    </rPh>
    <rPh sb="14" eb="16">
      <t>ヘンカン</t>
    </rPh>
    <rPh sb="19" eb="20">
      <t>カイ</t>
    </rPh>
    <rPh sb="20" eb="24">
      <t>レンゾクコウゲキ</t>
    </rPh>
    <phoneticPr fontId="5"/>
  </si>
  <si>
    <t>ランダムでお邪魔パネルに5個変換</t>
    <rPh sb="13" eb="14">
      <t>コ</t>
    </rPh>
    <rPh sb="14" eb="16">
      <t>ヘンカン</t>
    </rPh>
    <phoneticPr fontId="5"/>
  </si>
  <si>
    <t>ランダムでお邪魔パネルに5個変換+
3ターン攻撃頻度UP</t>
    <rPh sb="22" eb="26">
      <t>コウゲキヒンド</t>
    </rPh>
    <phoneticPr fontId="5"/>
  </si>
  <si>
    <t>ランダムでお邪魔パネルに3個変換+
全体攻撃</t>
    <rPh sb="18" eb="20">
      <t>ゼンタイ</t>
    </rPh>
    <rPh sb="20" eb="22">
      <t>コウゲキヒンド</t>
    </rPh>
    <phoneticPr fontId="5"/>
  </si>
  <si>
    <t>ランダムでお邪魔パネルに4個変換+
4回連続攻撃</t>
    <rPh sb="19" eb="20">
      <t>カイ</t>
    </rPh>
    <rPh sb="20" eb="22">
      <t>レンゾク</t>
    </rPh>
    <rPh sb="22" eb="24">
      <t>コウゲキヒンド</t>
    </rPh>
    <phoneticPr fontId="5"/>
  </si>
  <si>
    <t>ランダムでお邪魔パネルに5個変換+
4ターンウィルス</t>
    <phoneticPr fontId="5"/>
  </si>
  <si>
    <t>ゴクウ:如意棒</t>
    <rPh sb="4" eb="7">
      <t>ニョイボウ</t>
    </rPh>
    <phoneticPr fontId="5"/>
  </si>
  <si>
    <t>ゴクウ:HP30%以下:金斗雲</t>
    <rPh sb="9" eb="11">
      <t>イカ</t>
    </rPh>
    <phoneticPr fontId="5"/>
  </si>
  <si>
    <t>1フロア:ヒロ:雷の舞</t>
    <rPh sb="8" eb="9">
      <t>イカズチ</t>
    </rPh>
    <rPh sb="10" eb="11">
      <t>マイ</t>
    </rPh>
    <phoneticPr fontId="5"/>
  </si>
  <si>
    <t>1フロア:サンダーバード:スパーク</t>
    <phoneticPr fontId="5"/>
  </si>
  <si>
    <t>開幕:アマラ1:毒の短刀</t>
    <rPh sb="0" eb="2">
      <t>カイマク</t>
    </rPh>
    <rPh sb="8" eb="9">
      <t>ドクノタントウ</t>
    </rPh>
    <phoneticPr fontId="5"/>
  </si>
  <si>
    <t>HP30%以下:アマラ1:咆吼</t>
    <rPh sb="5" eb="7">
      <t>イカ</t>
    </rPh>
    <rPh sb="13" eb="15">
      <t>ホウコウ</t>
    </rPh>
    <phoneticPr fontId="5"/>
  </si>
  <si>
    <t>HP50%以下:アマラ2:大咆吼</t>
    <rPh sb="5" eb="7">
      <t>イカ</t>
    </rPh>
    <rPh sb="13" eb="14">
      <t>オオキイ</t>
    </rPh>
    <phoneticPr fontId="5"/>
  </si>
  <si>
    <t>開幕:アマラ2:野生の本能</t>
    <rPh sb="0" eb="2">
      <t>カイマク</t>
    </rPh>
    <phoneticPr fontId="5"/>
  </si>
  <si>
    <t>開幕:ハヌマーン:猿王迅瞬堅毛の術</t>
    <rPh sb="0" eb="2">
      <t>カイマク</t>
    </rPh>
    <rPh sb="13" eb="14">
      <t>ケンコ</t>
    </rPh>
    <rPh sb="14" eb="15">
      <t>モウ</t>
    </rPh>
    <phoneticPr fontId="5"/>
  </si>
  <si>
    <t>HP50%まで：ハヌマーン:五行封印 臨</t>
    <rPh sb="14" eb="18">
      <t>ゴギョウフウイン</t>
    </rPh>
    <rPh sb="19" eb="20">
      <t>リン</t>
    </rPh>
    <phoneticPr fontId="5"/>
  </si>
  <si>
    <t>HP50%まで：ハヌマーン:五行封印 兵</t>
    <rPh sb="19" eb="20">
      <t>ヘイシ</t>
    </rPh>
    <phoneticPr fontId="5"/>
  </si>
  <si>
    <t>HP50%以下：ハヌマーン:五行封印 兵</t>
    <rPh sb="5" eb="7">
      <t>イカ</t>
    </rPh>
    <phoneticPr fontId="5"/>
  </si>
  <si>
    <t>HP50%以下：ハヌマーン:五行封印 闘</t>
    <rPh sb="5" eb="7">
      <t>イカ</t>
    </rPh>
    <rPh sb="19" eb="20">
      <t>トウソウ</t>
    </rPh>
    <phoneticPr fontId="5"/>
  </si>
  <si>
    <t>HP50%まで：ハヌマーン:猿王迅瞬分身の術</t>
    <rPh sb="18" eb="20">
      <t>ブンシン</t>
    </rPh>
    <phoneticPr fontId="5"/>
  </si>
  <si>
    <t>HP50%以下：ハヌマーン:猿王迅瞬分身の術</t>
    <rPh sb="5" eb="7">
      <t>イカ</t>
    </rPh>
    <rPh sb="18" eb="20">
      <t>ブンシン</t>
    </rPh>
    <phoneticPr fontId="5"/>
  </si>
  <si>
    <t>お邪魔パネルを吸収してダメージ</t>
    <rPh sb="7" eb="9">
      <t>キュウシュウ</t>
    </rPh>
    <phoneticPr fontId="5"/>
  </si>
  <si>
    <t>ランダムでお邪魔パネルに5個変換+
4ターンウィルス</t>
    <rPh sb="13" eb="14">
      <t>コ</t>
    </rPh>
    <rPh sb="14" eb="16">
      <t>ヘンカン</t>
    </rPh>
    <phoneticPr fontId="5"/>
  </si>
  <si>
    <t>HP50%まで:ナーガ1:神気を帯びし波動</t>
    <rPh sb="13" eb="15">
      <t>シンキ</t>
    </rPh>
    <rPh sb="16" eb="17">
      <t>オビシ</t>
    </rPh>
    <rPh sb="19" eb="21">
      <t>ハドウ</t>
    </rPh>
    <phoneticPr fontId="5"/>
  </si>
  <si>
    <t>HP50%以下:ナーガ1:神気を帯びし波動</t>
    <rPh sb="5" eb="7">
      <t>イカ</t>
    </rPh>
    <phoneticPr fontId="5"/>
  </si>
  <si>
    <t>HP50%以下1回:ナーガ1:出血毒</t>
    <rPh sb="5" eb="7">
      <t>イカ</t>
    </rPh>
    <rPh sb="8" eb="9">
      <t>カイ</t>
    </rPh>
    <rPh sb="15" eb="17">
      <t>シュッケツ</t>
    </rPh>
    <rPh sb="17" eb="18">
      <t>シンケイドク</t>
    </rPh>
    <phoneticPr fontId="5"/>
  </si>
  <si>
    <t>HP75%以下1回:ナーガ3:神経毒</t>
    <rPh sb="5" eb="7">
      <t>イカ</t>
    </rPh>
    <rPh sb="8" eb="9">
      <t>カイイ</t>
    </rPh>
    <rPh sb="15" eb="18">
      <t>シンケイドク</t>
    </rPh>
    <phoneticPr fontId="5"/>
  </si>
  <si>
    <t>HP50%まで:ナーガ2:多頭咬み</t>
    <rPh sb="13" eb="15">
      <t>tatou</t>
    </rPh>
    <rPh sb="15" eb="16">
      <t>カミツキ</t>
    </rPh>
    <phoneticPr fontId="5"/>
  </si>
  <si>
    <t>HP25%以下1回:ナーガ3:飢饉へ至りし旱魃</t>
    <rPh sb="5" eb="7">
      <t>イカ</t>
    </rPh>
    <rPh sb="8" eb="9">
      <t>カイ</t>
    </rPh>
    <rPh sb="15" eb="17">
      <t>キキン</t>
    </rPh>
    <rPh sb="18" eb="19">
      <t>イタリシ</t>
    </rPh>
    <rPh sb="21" eb="23">
      <t>カンバツ</t>
    </rPh>
    <phoneticPr fontId="5"/>
  </si>
  <si>
    <t>HP50%以下:ナーガ2:多頭咬み</t>
    <rPh sb="5" eb="7">
      <t>イカ</t>
    </rPh>
    <phoneticPr fontId="5"/>
  </si>
  <si>
    <t>スパーク</t>
    <phoneticPr fontId="5"/>
  </si>
  <si>
    <t>毒の短刀</t>
    <rPh sb="0" eb="1">
      <t>ドクノタントウ</t>
    </rPh>
    <phoneticPr fontId="5"/>
  </si>
  <si>
    <t>咆吼</t>
    <rPh sb="0" eb="2">
      <t>ホウコウ</t>
    </rPh>
    <phoneticPr fontId="5"/>
  </si>
  <si>
    <t>野生の本能</t>
    <phoneticPr fontId="5"/>
  </si>
  <si>
    <t>大咆吼</t>
    <rPh sb="0" eb="1">
      <t>オオキイ</t>
    </rPh>
    <phoneticPr fontId="5"/>
  </si>
  <si>
    <t>猛毒の短刀</t>
    <rPh sb="0" eb="2">
      <t>モウドク</t>
    </rPh>
    <phoneticPr fontId="5"/>
  </si>
  <si>
    <t>猿王迅瞬堅毛の術</t>
    <rPh sb="4" eb="5">
      <t>ケンコ</t>
    </rPh>
    <rPh sb="5" eb="6">
      <t>モウ</t>
    </rPh>
    <phoneticPr fontId="5"/>
  </si>
  <si>
    <t>五行封印 臨</t>
    <rPh sb="0" eb="4">
      <t>ゴギョウフウイン</t>
    </rPh>
    <rPh sb="5" eb="6">
      <t>リン</t>
    </rPh>
    <phoneticPr fontId="5"/>
  </si>
  <si>
    <t>五行封印 兵</t>
    <rPh sb="5" eb="6">
      <t>ヘイシ</t>
    </rPh>
    <phoneticPr fontId="5"/>
  </si>
  <si>
    <t>猿王迅瞬分身の術</t>
    <rPh sb="4" eb="6">
      <t>ブンシン</t>
    </rPh>
    <phoneticPr fontId="5"/>
  </si>
  <si>
    <t>五行封印 兵</t>
    <phoneticPr fontId="5"/>
  </si>
  <si>
    <t>五行封印 闘</t>
    <rPh sb="5" eb="6">
      <t>トウソウ</t>
    </rPh>
    <phoneticPr fontId="5"/>
  </si>
  <si>
    <t>如意棒</t>
    <rPh sb="0" eb="3">
      <t>ニョイボウ</t>
    </rPh>
    <phoneticPr fontId="5"/>
  </si>
  <si>
    <t>金斗雲</t>
    <phoneticPr fontId="5"/>
  </si>
  <si>
    <t>ガルーダ! またあたしの邪魔をするのね!</t>
    <phoneticPr fontId="5"/>
  </si>
  <si>
    <t>人の子があたしを止められると思ってるの?</t>
    <rPh sb="0" eb="1">
      <t>ヒトノコガ</t>
    </rPh>
    <rPh sb="8" eb="9">
      <t>トメラレルト</t>
    </rPh>
    <rPh sb="14" eb="15">
      <t>オモッテルノ</t>
    </rPh>
    <phoneticPr fontId="5"/>
  </si>
  <si>
    <t>杖よ! あたしに力を!</t>
    <rPh sb="0" eb="1">
      <t>ツエヨ</t>
    </rPh>
    <rPh sb="8" eb="9">
      <t>チカラヲ</t>
    </rPh>
    <phoneticPr fontId="5"/>
  </si>
  <si>
    <t>このくらいなら耐えられるよね?</t>
    <rPh sb="7" eb="8">
      <t>タエラレルヨネ</t>
    </rPh>
    <phoneticPr fontId="5"/>
  </si>
  <si>
    <t>あたしが耐えてきたのはこんなものじゃないわ!</t>
    <rPh sb="4" eb="5">
      <t>タエテキタ</t>
    </rPh>
    <phoneticPr fontId="5"/>
  </si>
  <si>
    <t>雨って良いと思わない?</t>
    <rPh sb="0" eb="1">
      <t>アメッテ</t>
    </rPh>
    <rPh sb="3" eb="4">
      <t>イイト</t>
    </rPh>
    <rPh sb="6" eb="7">
      <t>オモワナイ</t>
    </rPh>
    <phoneticPr fontId="5"/>
  </si>
  <si>
    <t>みんな! やっちゃって!</t>
    <phoneticPr fontId="5"/>
  </si>
  <si>
    <t>あたしは雨がだーいすきっ!</t>
    <rPh sb="4" eb="5">
      <t>アメガ</t>
    </rPh>
    <phoneticPr fontId="5"/>
  </si>
  <si>
    <t>ヘビに睨まれたカエルって知ってる?</t>
    <rPh sb="3" eb="4">
      <t>ニラマレタ</t>
    </rPh>
    <phoneticPr fontId="5"/>
  </si>
  <si>
    <t>杖よ! あたしに癒しを!</t>
    <rPh sb="0" eb="1">
      <t>ツエヨ</t>
    </rPh>
    <rPh sb="8" eb="9">
      <t>イヤシ</t>
    </rPh>
    <phoneticPr fontId="5"/>
  </si>
  <si>
    <t>あたしが好きな世界を作りたいだけなのに!</t>
    <phoneticPr fontId="5"/>
  </si>
  <si>
    <t>みんな! 思いっきりやっちゃって!</t>
    <rPh sb="5" eb="6">
      <t>オモイッキリ</t>
    </rPh>
    <phoneticPr fontId="5"/>
  </si>
  <si>
    <t>みんな! 一緒にいくよ!</t>
    <rPh sb="5" eb="7">
      <t>イッショニ</t>
    </rPh>
    <phoneticPr fontId="5"/>
  </si>
  <si>
    <t>これは耐えられないよね?</t>
    <rPh sb="3" eb="4">
      <t>タエラ</t>
    </rPh>
    <phoneticPr fontId="5"/>
  </si>
  <si>
    <t>あたしを……本気にさせたわね</t>
  </si>
  <si>
    <t>雨…好きなんだけどなぁ</t>
    <rPh sb="0" eb="1">
      <t>アメ</t>
    </rPh>
    <rPh sb="2" eb="3">
      <t>スキナンダケドナ</t>
    </rPh>
    <phoneticPr fontId="5"/>
  </si>
  <si>
    <t>あなたは…雨は…きらい?</t>
    <phoneticPr fontId="5"/>
  </si>
  <si>
    <t>あたしが雨好きなの知ってるでしょ?</t>
    <phoneticPr fontId="5"/>
  </si>
  <si>
    <t>うん…ガルーダ…あとはお願いね</t>
    <phoneticPr fontId="5"/>
  </si>
  <si>
    <t>杖よ! あたしに更なる癒しを!</t>
    <rPh sb="0" eb="1">
      <t>ツエヨ</t>
    </rPh>
    <rPh sb="8" eb="9">
      <t>サラナル</t>
    </rPh>
    <rPh sb="11" eb="12">
      <t>イヤシ</t>
    </rPh>
    <phoneticPr fontId="5"/>
  </si>
  <si>
    <t>杖よ! 薙ぎ払って!</t>
    <rPh sb="0" eb="1">
      <t>ツエヨ</t>
    </rPh>
    <rPh sb="4" eb="5">
      <t>nagiharatte</t>
    </rPh>
    <phoneticPr fontId="5"/>
  </si>
  <si>
    <t>ゆっくりと…少しずつ…</t>
    <rPh sb="6" eb="7">
      <t>スコシズツ</t>
    </rPh>
    <phoneticPr fontId="5"/>
  </si>
  <si>
    <t>ガルーダ! またあたしの邪魔をするのね!</t>
    <phoneticPr fontId="5"/>
  </si>
  <si>
    <t>ガルーダ…あなただけは絶対に許さない!</t>
    <phoneticPr fontId="5"/>
  </si>
  <si>
    <t>ガルーダ…あなただけは絶対に許さない!</t>
    <phoneticPr fontId="5"/>
  </si>
  <si>
    <t>あたしが雨好きなの知ってるでしょ?</t>
    <phoneticPr fontId="5"/>
  </si>
  <si>
    <t>あたしはもう我慢なんてしない!</t>
    <phoneticPr fontId="5"/>
  </si>
  <si>
    <t>うん…ガルーダ…あとはお願いね</t>
    <phoneticPr fontId="5"/>
  </si>
  <si>
    <t>HP30%以下:アマラ2:猛毒の短刀</t>
    <rPh sb="5" eb="7">
      <t>イカ</t>
    </rPh>
    <rPh sb="13" eb="15">
      <t>モウドク</t>
    </rPh>
    <phoneticPr fontId="5"/>
  </si>
  <si>
    <t>ナーガ</t>
    <phoneticPr fontId="5"/>
  </si>
  <si>
    <t>ガルーダに止められたナーガは
今回の暴走を反省し以前よりも
抑えていた感情を
ガルーダに伝えるようになりました</t>
    <phoneticPr fontId="5"/>
  </si>
  <si>
    <t>天候管理AIのガルーダは晴れを司っており
女王の暴走後感情が爆発し
好きな雨しか降らせないナーガを
止めにきました</t>
    <phoneticPr fontId="5"/>
  </si>
  <si>
    <t>天候管理のAIで怒ると干ばつを
なだめると雨を降らします
天候管理に責任感を持っており
その為自身の感情を抑えています</t>
    <phoneticPr fontId="5"/>
  </si>
  <si>
    <t>晴れを司るもの</t>
    <phoneticPr fontId="5"/>
  </si>
  <si>
    <t>抑えてきた感情を</t>
    <phoneticPr fontId="5"/>
  </si>
  <si>
    <t>ナーガ</t>
    <phoneticPr fontId="5"/>
  </si>
  <si>
    <t>ランダムでお邪魔パネルに5個変換+
2ターン攻撃頻度UP</t>
    <rPh sb="22" eb="26">
      <t>コウゲキヒンド</t>
    </rPh>
    <phoneticPr fontId="5"/>
  </si>
  <si>
    <t>ランダムでお邪魔パネルに3個変換+
2ターン攻撃頻度UP</t>
    <rPh sb="22" eb="26">
      <t>コウゲキヒンド</t>
    </rPh>
    <phoneticPr fontId="5"/>
  </si>
  <si>
    <t>ランダムでお邪魔パネルに2個変換+
全体攻撃</t>
    <rPh sb="18" eb="20">
      <t>ゼンタイ</t>
    </rPh>
    <rPh sb="20" eb="22">
      <t>コウゲキヒンド</t>
    </rPh>
    <phoneticPr fontId="5"/>
  </si>
  <si>
    <t>ランダムでお邪魔パネルに2個変換+
4回連続攻撃</t>
    <rPh sb="19" eb="20">
      <t>カイ</t>
    </rPh>
    <rPh sb="20" eb="22">
      <t>レンゾク</t>
    </rPh>
    <rPh sb="22" eb="24">
      <t>コウゲキヒンド</t>
    </rPh>
    <phoneticPr fontId="5"/>
  </si>
  <si>
    <t>干ばつの恐ろしさを教えてあげる</t>
    <rPh sb="0" eb="1">
      <t>カンバツ</t>
    </rPh>
    <rPh sb="4" eb="5">
      <t>オソロシサヲ</t>
    </rPh>
    <rPh sb="9" eb="10">
      <t>オシエテアゲル</t>
    </rPh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</si>
  <si>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</si>
  <si>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</si>
  <si>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</si>
  <si>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</si>
  <si>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</si>
  <si>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</si>
  <si>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</si>
  <si>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null</t>
    <phoneticPr fontId="5"/>
  </si>
  <si>
    <t>link</t>
    <phoneticPr fontId="5"/>
  </si>
  <si>
    <t>null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</si>
  <si>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</si>
  <si>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</si>
  <si>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</si>
  <si>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</si>
  <si>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</si>
  <si>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</si>
  <si>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</si>
  <si>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old</t>
  </si>
  <si>
    <t>full_member</t>
    <phoneticPr fontId="5"/>
  </si>
  <si>
    <t>サンダーバードは
攻撃頻度1の全体攻撃をします</t>
    <phoneticPr fontId="5"/>
  </si>
  <si>
    <t>アマラは1ゲージ目のHPが30%以下の時
回復力が下がるスキルを使用します</t>
    <phoneticPr fontId="5"/>
  </si>
  <si>
    <t>アマラは2ゲージ目のHPが30%以下の時
強力なウィルスを付与してきます</t>
    <phoneticPr fontId="5"/>
  </si>
  <si>
    <t>ハヌマーンはお邪魔パネル変換と
パネル吸収攻撃のスキルを使用します</t>
    <phoneticPr fontId="5"/>
  </si>
  <si>
    <t>ナーガの1ゲージ目は
種族ヒューマンのユニットに対して
キラー攻撃を行います
パーティ編成に気をつけましょう</t>
    <phoneticPr fontId="5"/>
  </si>
  <si>
    <t>ナーガは2ゲージ目のHPが50%以下の時
お邪魔パネルを吸収して
自身の体力を回復します</t>
    <phoneticPr fontId="5"/>
  </si>
  <si>
    <t>ナーガの3ゲージ目はHPが75%以下の時
回復力が大幅に下がるスキルを使用します</t>
    <phoneticPr fontId="5"/>
  </si>
  <si>
    <t>ナーガは3ゲージ目のHPが50%以下の時
お邪魔パネルを吸収して
自身の体力を回復します</t>
    <phoneticPr fontId="5"/>
  </si>
  <si>
    <t>ナーガは3ゲージ目のHPが50%以下の時
お邪魔パネルを吸収して全体攻撃を行います</t>
    <phoneticPr fontId="5"/>
  </si>
  <si>
    <t>ナーガは3ゲージ目のHPが25%以下の時
予告後に強力な青パネル吸収攻撃を行います</t>
    <phoneticPr fontId="5"/>
  </si>
  <si>
    <t>赤パネルを吸収して4ターン防御力UP</t>
    <rPh sb="0" eb="1">
      <t>アカ</t>
    </rPh>
    <rPh sb="13" eb="15">
      <t>ボウギョ</t>
    </rPh>
    <phoneticPr fontId="5"/>
  </si>
  <si>
    <t>攻撃頻度UP</t>
    <rPh sb="0" eb="2">
      <t>コウゲキ</t>
    </rPh>
    <rPh sb="2" eb="4">
      <t>ヒンド</t>
    </rPh>
    <phoneticPr fontId="5"/>
  </si>
  <si>
    <t>お邪魔パネルを吸収して全体攻撃</t>
    <rPh sb="7" eb="9">
      <t>キュウシュウ</t>
    </rPh>
    <rPh sb="11" eb="15">
      <t>ゼンタイコウゲキ</t>
    </rPh>
    <phoneticPr fontId="5"/>
  </si>
  <si>
    <t>赤パネルを吸収して3ターン防御力UP</t>
    <rPh sb="0" eb="1">
      <t>アカ</t>
    </rPh>
    <rPh sb="13" eb="15">
      <t>ボウギョ</t>
    </rPh>
    <phoneticPr fontId="5"/>
  </si>
  <si>
    <t>きっついの…いくわよ！</t>
    <phoneticPr fontId="5"/>
  </si>
  <si>
    <t>稲妻蹴り</t>
    <rPh sb="0" eb="2">
      <t>イナヅマ</t>
    </rPh>
    <rPh sb="2" eb="3">
      <t>geri</t>
    </rPh>
    <phoneticPr fontId="5"/>
  </si>
  <si>
    <t>うん…ガルーダ…あとはお願いね</t>
    <phoneticPr fontId="5"/>
  </si>
  <si>
    <t>[effect:enemy_message, val1:1.2, val2:1.2],[effect:critical, val:1.3, animation:enemy_critical]</t>
    <phoneticPr fontId="5"/>
  </si>
  <si>
    <t>[effect:enemy_message, val1:1.2, val2:1.2],[effect:spread, val:0.25],[effect:fix_speed, target:myself, turn:1]</t>
    <phoneticPr fontId="5"/>
  </si>
  <si>
    <t>[effect:enemy_message, val1:1.2, val2:1.2],[effect:enhance_enemy, target:myself, turn:-1, status:attack, val:0.5, calc:mul, animation:enemy_enhance_attack],[effect:fix_speed, target:myself, turn:2]</t>
    <phoneticPr fontId="5"/>
  </si>
  <si>
    <t>[effect:enemy_message, val1:1.2, val2:1.8],[effect:break_enchance_enemy, target:myself, val:100, lowest_val:500, count:-1, status:defense, turn:4, block01:block_red, calc:add, animation:enemy_enhance_defense],[effect:fix_speed, target:myself, turn:2]</t>
    <phoneticPr fontId="5"/>
  </si>
  <si>
    <t xml:space="preserve">[effect:enemy_message, val1:1.2, val2:1.5],[effect:break_attack_fix, target:unit_all, val:130, lowest_val:1500, count:-1, color:green, block01:jammer] </t>
    <phoneticPr fontId="5"/>
  </si>
  <si>
    <t xml:space="preserve">[effect:enemy_message, val1:1.2, val2:1.5],[effect:break_attack_fix, target:unit_all, val:130, lowest_val:1500, count:-1, color:green, block01:jammer] </t>
    <phoneticPr fontId="5"/>
  </si>
  <si>
    <t>[effect:enemy_message, val1:1.2, val2:1.2],[effect:critical, val:1.3, animation:enemy_critical]</t>
    <phoneticPr fontId="5"/>
  </si>
  <si>
    <t>[effect:enemy_message, val1:1.2, val2:1.2],[effect:freq_turn, target:enemy_one, turn:-1, val:1, animation:enemy_freq_turn]</t>
    <phoneticPr fontId="5"/>
  </si>
  <si>
    <t>[effect:enemy_message, val1:1.2, val2:2.9],[effect:break_enchance_enemy, target:myself, val:0.2, lowest_val:0.01, count:-1, status:attack, turn:2, block01:jammer, calc:add, animation:enemy_enhance_attack],[effect:freq_turn, target:myself, turn:2, val:1, animation:enemy_freq_turn]</t>
    <phoneticPr fontId="5"/>
  </si>
  <si>
    <t>[effect:enemy_message, val1:2.0, val2:2.3],[effect:damage_anti_tribe, target:unit_all, tribe:human, val1:1, val2:0.23]</t>
    <phoneticPr fontId="5"/>
  </si>
  <si>
    <t>[effect:enemy_message, val1:2.0, val2:2.3],[effect:damage_anti_tribe, target:unit_all, tribe:human, val1:1, val2:0.23]</t>
    <phoneticPr fontId="5"/>
  </si>
  <si>
    <t>[effect:enemy_message, val1:1.2, val2:1.2],[effect:rush, count:4, val:0.35]</t>
    <phoneticPr fontId="5"/>
  </si>
  <si>
    <t>[effect:enemy_message, val1:1.2, val2:1.2],[effect:rush, count:4, val:0.35]</t>
    <phoneticPr fontId="5"/>
  </si>
  <si>
    <t>[effect:enemy_message, val1:1.2, val2:1.3],[effect:break_heal_ratio, target:myself, val:0.05, lowest_val:0.1, count:-1, block01:jammer, animation:enemy_heal]</t>
    <phoneticPr fontId="5"/>
  </si>
  <si>
    <t>[effect:enemy_message, val1:1.7, val2:1.2],[effect:rush, count:4, val:0.4]</t>
    <phoneticPr fontId="5"/>
  </si>
  <si>
    <t>[effect:enemy_message, val1:1.2, val2:1.5],[effect:break_attack_fix, target:unit_all, val:1000, lowest_val:7000, count:-1, color:green, block01:jammer]</t>
    <phoneticPr fontId="5"/>
  </si>
  <si>
    <t>[effect:enemy_message, val1:1.5, val2:1.3],[effect:break_heal_ratio, target:myself, val:0.05, lowest_val:0.1, count:-1, block01:jammer, animation:enemy_heal]</t>
    <phoneticPr fontId="5"/>
  </si>
  <si>
    <t>[effect:enemy_message, val1:1.2, val2:1.2],[effect:critical, val:1.3, animation:enemy_critical]</t>
    <phoneticPr fontId="5"/>
  </si>
  <si>
    <t>[effect:enemy_message, val1:1.2, val2:1.2],[effect:spread, val:0.25],[effect:fix_speed, target:myself, turn:1]</t>
    <phoneticPr fontId="5"/>
  </si>
  <si>
    <t>[effect:enemy_message, val1:1.2, val2:1.2],[effect:enhance_enemy, target:myself, turn:-1, status:attack, val:0.5, calc:mul, animation:enemy_enhance_attack],[effect:fix_speed, target:myself, turn:2]</t>
    <phoneticPr fontId="5"/>
  </si>
  <si>
    <t>[effect:enemy_message, val1:1.2, val2:1.8],[effect:break_enchance_enemy, target:myself, val:80, lowest_val:300, count:-1, status:defense, turn:3, block01:block_red, calc:add, animation:enemy_enhance_defense],[effect:fix_speed, target:myself, turn:2]</t>
    <phoneticPr fontId="5"/>
  </si>
  <si>
    <t xml:space="preserve">[effect:enemy_message, val1:1.2, val2:1.5],[effect:break_attack_fix, target:unit_all, val:100, lowest_val:1200, count:-1, color:green, block01:jammer] </t>
    <phoneticPr fontId="5"/>
  </si>
  <si>
    <t xml:space="preserve">[effect:enemy_message, val1:1.2, val2:1.5],[effect:break_attack_fix, target:unit_all, val:100, lowest_val:1200, count:-1, color:green, block01:jammer] </t>
    <phoneticPr fontId="5"/>
  </si>
  <si>
    <t>[effect:enemy_message, val1:1.2, val2:1.2],[effect:critical, val:1.3, animation:enemy_critical]</t>
    <phoneticPr fontId="5"/>
  </si>
  <si>
    <t>[effect:enemy_message, val1:1.2, val2:1.2],[effect:freq_turn, target:enemy_one, turn:-1, val:1, animation:enemy_freq_turn]</t>
    <phoneticPr fontId="5"/>
  </si>
  <si>
    <t>[effect:enemy_message, val1:1.2, val2:2.9],[effect:break_enchance_enemy, target:myself, val:0.1, lowest_val:0.01, count:-1, status:attack, turn:2, block01:jammer, calc:add, animation:enemy_enhance_attack],[effect:freq_turn, target:myself, turn:2, val:1, animation:enemy_freq_turn]</t>
    <phoneticPr fontId="5"/>
  </si>
  <si>
    <t>[effect:enemy_message, val1:2.0, val2:2.3],[effect:damage_anti_tribe, target:unit_all, tribe:human, val1:1, val2:0.23]</t>
    <phoneticPr fontId="5"/>
  </si>
  <si>
    <t>[effect:enemy_message, val1:2.0, val2:2.3],[effect:damage_anti_tribe, target:unit_all, tribe:human, val1:1, val2:0.23]</t>
    <phoneticPr fontId="5"/>
  </si>
  <si>
    <t>[effect:enemy_message, val1:1.2, val2:1.2],[effect:rush, count:4, val:0.35]</t>
    <phoneticPr fontId="5"/>
  </si>
  <si>
    <t>[effect:enemy_message, val1:1.2, val2:1.2],[effect:rush, count:4, val:0.35]</t>
    <phoneticPr fontId="5"/>
  </si>
  <si>
    <t>[effect:enemy_message, val1:1.2, val2:1.3],[effect:break_heal_ratio, target:myself, val:0.05, lowest_val:0.1, count:-1, block01:jammer, animation:enemy_heal]</t>
    <phoneticPr fontId="5"/>
  </si>
  <si>
    <t>[effect:enemy_message, val1:1.7, val2:1.2],[effect:rush, count:4, val:0.35]</t>
    <phoneticPr fontId="5"/>
  </si>
  <si>
    <t>[effect:enemy_message, val1:1.2, val2:1.5],[effect:break_attack_fix, target:unit_all, val:500, lowest_val:5000, count:-1, color:green, block01:jammer]</t>
    <phoneticPr fontId="5"/>
  </si>
  <si>
    <t>[effect:enemy_message, val1:1.5, val2:1.3],[effect:break_heal_ratio, target:myself, val:0.05, lowest_val:0.1, count:-1, block01:jammer, animation:enemy_heal]</t>
    <phoneticPr fontId="5"/>
  </si>
  <si>
    <t>[effect:enemy_message, val1:1.2, val2:1.6],[effect:force_change_block, new_block:jammer, target:block_all, ignore01:crash, ignore02:crack_bomb, ignore03:color_break, ignore04:jammer, ignore05:magnet, count:2, val:0, animation:change_block]</t>
    <phoneticPr fontId="5"/>
  </si>
  <si>
    <t>[effect:enemy_message, val1:1.2, val2:1.6],[effect:force_change_block, new_block:jammer, target:block_all, ignore01:crash, ignore02:crack_bomb, ignore03:color_break, ignore04:jammer, ignore05:magnet, count:3, val:0, animation:change_block]</t>
    <phoneticPr fontId="5"/>
  </si>
  <si>
    <t>[effect:enemy_message, val1:1.2, val2:1.6],[effect:force_change_block, new_block:jammer, target:block_all, ignore01:crash, ignore02:crack_bomb, ignore03:color_break, ignore04:jammer, ignore05:magnet, count:3, val:0, animation:change_block]</t>
    <phoneticPr fontId="5"/>
  </si>
  <si>
    <t>[effect:enemy_message, val1:1.2, val2:1.6],[effect:force_change_block, new_block:jammer, target:block_all, ignore01:crash, ignore02:crack_bomb, ignore03:color_break, ignore04:jammer, ignore05:magnet, count:4, val:0, animation:change_block]</t>
    <phoneticPr fontId="5"/>
  </si>
  <si>
    <t xml:space="preserve">[effect:enemy_message, val1:2.2, val2:2.1],[effect:force_change_block, new_block:jammer, target:block_all, ignore01:crash, ignore02:crack_bomb, ignore03:color_break, ignore04:jammer, ignore05:magnet, count:3, val:0, animation:change_block],[effect:fix_speed, target:myself, turn:1],[effect:critical, val:1] </t>
    <phoneticPr fontId="5"/>
  </si>
  <si>
    <t xml:space="preserve">[effect:enemy_message, val1:1.2, val2:2.1],[effect:force_change_block, new_block:jammer, target:block_all, ignore01:crash, ignore02:crack_bomb, ignore03:color_break, ignore04:jammer, ignore05:magnet, count:2, val:0, animation:change_block],[effect:critical, val:1] </t>
    <phoneticPr fontId="5"/>
  </si>
  <si>
    <t>[effect:enemy_message, val1:1.3, val2:2.3],[effect:force_change_block, new_block:jammer, target:block_all, ignore01:crash, ignore02:crack_bomb, ignore03:color_break, ignore04:jammer, ignore05:magnet, count:3, val:0, animation:change_block],[effect:rush, count:2, val:0.6]</t>
    <phoneticPr fontId="5"/>
  </si>
  <si>
    <t>[effect:enemy_message, val1:1.7, val2:1.6],[effect:force_change_block, new_block:jammer, target:block_all, ignore01:crash, ignore02:crack_bomb, ignore03:color_break, ignore04:jammer, ignore05:magnet, count:5, val:0, animation:change_block],[effect:critical, val:1]</t>
    <phoneticPr fontId="5"/>
  </si>
  <si>
    <t xml:space="preserve">[effect:enemy_message, val1:1.2, val2:2.1],[effect:force_change_block, new_block:jammer, target:block_all, ignore01:crash, ignore02:crack_bomb, ignore03:color_break, ignore04:jammer, ignore05:magnet, count:2, val:0, animation:change_block],[effect:critical, val:1] </t>
    <phoneticPr fontId="5"/>
  </si>
  <si>
    <t>[effect:enemy_message, val1:2.0, val2:2.7],[effect:force_change_block, new_block:jammer, target:block_all, ignore01:crash, ignore02:crack_bomb, ignore03:color_break, ignore04:jammer, ignore05:magnet, count:5, val:0, animation:change_block],[effect:fix_speed, target:myself, turn:2],[effect:freq_turn, target:myself, turn:2, val:1, animation:enemy_freq_turn]</t>
    <phoneticPr fontId="5"/>
  </si>
  <si>
    <t>[effect:enemy_message, val1:1.9, val2:2.7],[effect:force_change_block, new_block:jammer, target:block_all, ignore01:crash, ignore02:crack_bomb, ignore03:color_break, ignore04:jammer, ignore05:magnet, count:5, val:0, animation:change_block],[effect:fix_speed, target:myself, turn:2],[effect:freq_turn, target:myself, turn:2, val:1, animation:enemy_freq_turn]</t>
    <phoneticPr fontId="5"/>
  </si>
  <si>
    <t>[effect:enemy_message, val1:1.9, val2:2.7],[effect:force_change_block, new_block:jammer, target:block_all, ignore01:crash, ignore02:crack_bomb, ignore03:color_break, ignore04:jammer, ignore05:magnet, count:5, val:0, animation:change_block],[effect:fix_speed, target:myself, turn:2],[effect:freq_turn, target:myself, turn:2, val:1, animation:enemy_freq_turn]</t>
    <phoneticPr fontId="5"/>
  </si>
  <si>
    <t>[effect:enemy_message, val1:1.2, val2:2.1],[effect:force_change_block, new_block:jammer, target:block_all, ignore01:crash, ignore02:crack_bomb, ignore03:color_break, ignore04:jammer, ignore05:magnet, count:3, val:0, animation:change_block],[effect:spread, val:0.25]</t>
    <phoneticPr fontId="5"/>
  </si>
  <si>
    <t>[effect:enemy_message, val1:1.2, val2:2.3],[effect:force_change_block, new_block:jammer, target:block_all, ignore01:crash, ignore02:crack_bomb, ignore03:color_break, ignore04:jammer, ignore05:magnet, count:4, val:0, animation:change_block],[effect:rush, count:4, val:0.4]</t>
    <phoneticPr fontId="5"/>
  </si>
  <si>
    <t>[effect:enemy_message, val1:1.2, val2:1.6],[effect:force_change_block, new_block:jammer, target:block_all, ignore01:crash, ignore02:crack_bomb, ignore03:color_break, ignore04:jammer, ignore05:magnet, count:1, val:0, animation:change_block]</t>
    <phoneticPr fontId="5"/>
  </si>
  <si>
    <t>[effect:enemy_message, val1:1.2, val2:1.6],[effect:force_change_block, new_block:jammer, target:block_all, ignore01:crash, ignore02:crack_bomb, ignore03:color_break, ignore04:jammer, ignore05:magnet, count:2, val:0, animation:change_block]</t>
    <phoneticPr fontId="5"/>
  </si>
  <si>
    <t>[effect:enemy_message, val1:1.2, val2:1.6],[effect:force_change_block, new_block:jammer, target:block_all, ignore01:crash, ignore02:crack_bomb, ignore03:color_break, ignore04:jammer, ignore05:magnet, count:2, val:0, animation:change_block]</t>
    <phoneticPr fontId="5"/>
  </si>
  <si>
    <t>[effect:enemy_message, val1:1.2, val2:1.6],[effect:force_change_block, new_block:jammer, target:block_all, ignore01:crash, ignore02:crack_bomb, ignore03:color_break, ignore04:jammer, ignore05:magnet, count:3, val:0, animation:change_block]</t>
    <phoneticPr fontId="5"/>
  </si>
  <si>
    <t xml:space="preserve">[effect:enemy_message, val1:2.2, val2:2.1],[effect:force_change_block, new_block:jammer, target:block_all, ignore01:crash, ignore02:crack_bomb, ignore03:color_break, ignore04:jammer, ignore05:magnet, count:3, val:0, animation:change_block],[effect:fix_speed, target:myself, turn:1],[effect:critical, val:1] </t>
    <phoneticPr fontId="5"/>
  </si>
  <si>
    <t xml:space="preserve">[effect:enemy_message, val1:1.2, val2:2.1],[effect:force_change_block, new_block:jammer, target:block_all, ignore01:crash, ignore02:crack_bomb, ignore03:color_break, ignore04:jammer, ignore05:magnet, count:2, val:0, animation:change_block],[effect:critical, val:1] </t>
    <phoneticPr fontId="5"/>
  </si>
  <si>
    <t>[effect:enemy_message, val1:1.3, val2:2.3],[effect:force_change_block, new_block:jammer, target:block_all, ignore01:crash, ignore02:crack_bomb, ignore03:color_break, ignore04:jammer, ignore05:magnet, count:2, val:0, animation:change_block],[effect:rush, count:2, val:0.6]</t>
    <phoneticPr fontId="5"/>
  </si>
  <si>
    <t>[effect:enemy_message, val1:1.7, val2:1.6],[effect:force_change_block, new_block:jammer, target:block_all, ignore01:crash, ignore02:crack_bomb, ignore03:color_break, ignore04:jammer, ignore05:magnet, count:3, val:0, animation:change_block],[effect:critical, val:1]</t>
    <phoneticPr fontId="5"/>
  </si>
  <si>
    <t xml:space="preserve">[effect:enemy_message, val1:1.2, val2:2.1],[effect:force_change_block, new_block:jammer, target:block_all, ignore01:crash, ignore02:crack_bomb, ignore03:color_break, ignore04:jammer, ignore05:magnet, count:2, val:0, animation:change_block],[effect:critical, val:1] </t>
    <phoneticPr fontId="5"/>
  </si>
  <si>
    <t>[effect:enemy_message, val1:1.3, val2:2.3],[effect:force_change_block, new_block:jammer, target:block_all, ignore01:crash, ignore02:crack_bomb, ignore03:color_break, ignore04:jammer, ignore05:magnet, count:2, val:0, animation:change_block],[effect:rush, count:2, val:0.6]</t>
    <phoneticPr fontId="5"/>
  </si>
  <si>
    <t>[effect:enemy_message, val1:2.0, val2:2.7],[effect:force_change_block, new_block:jammer, target:block_all, ignore01:crash, ignore02:crack_bomb, ignore03:color_break, ignore04:jammer, ignore05:magnet, count:3, val:0, animation:change_block],[effect:fix_speed, target:myself, turn:2],[effect:freq_turn, target:myself, turn:2, val:1, animation:enemy_freq_turn]</t>
    <phoneticPr fontId="5"/>
  </si>
  <si>
    <t>[effect:enemy_message, val1:1.9, val2:2.7],[effect:force_change_block, new_block:jammer, target:block_all, ignore01:crash, ignore02:crack_bomb, ignore03:color_break, ignore04:jammer, ignore05:magnet, count:3, val:0, animation:change_block],[effect:fix_speed, target:myself, turn:2],[effect:freq_turn, target:myself, turn:2, val:1, animation:enemy_freq_turn]</t>
    <phoneticPr fontId="5"/>
  </si>
  <si>
    <t>[effect:enemy_message, val1:1.9, val2:2.7],[effect:force_change_block, new_block:jammer, target:block_all, ignore01:crash, ignore02:crack_bomb, ignore03:color_break, ignore04:jammer, ignore05:magnet, count:3, val:0, animation:change_block],[effect:fix_speed, target:myself, turn:2],[effect:freq_turn, target:myself, turn:2, val:1, animation:enemy_freq_turn]</t>
    <phoneticPr fontId="5"/>
  </si>
  <si>
    <t>[effect:enemy_message, val1:1.2, val2:2.1],[effect:force_change_block, new_block:jammer, target:block_all, ignore01:crash, ignore02:crack_bomb, ignore03:color_break, ignore04:jammer, ignore05:magnet, count:2, val:0, animation:change_block],[effect:spread, val:0.25]</t>
    <phoneticPr fontId="5"/>
  </si>
  <si>
    <t>[effect:enemy_message, val1:1.2, val2:2.3],[effect:force_change_block, new_block:jammer, target:block_all, ignore01:crash, ignore02:crack_bomb, ignore03:color_break, ignore04:jammer, ignore05:magnet, count:2, val:0, animation:change_block],[effect:rush, count:4, val:0.35]</t>
    <phoneticPr fontId="5"/>
  </si>
  <si>
    <t>青パネルを吸収して大ダメージの全体攻撃+
青パネルドロップ率DOWN</t>
    <rPh sb="0" eb="1">
      <t>アオパネル</t>
    </rPh>
    <rPh sb="5" eb="7">
      <t>キュウシュウ</t>
    </rPh>
    <rPh sb="9" eb="10">
      <t>ダイダメージ</t>
    </rPh>
    <rPh sb="15" eb="19">
      <t>ゼンタイコウゲキ</t>
    </rPh>
    <rPh sb="21" eb="22">
      <t>アオ</t>
    </rPh>
    <phoneticPr fontId="5"/>
  </si>
  <si>
    <t>次のターン青パネルを吸収して
大ダメージの全体攻撃</t>
    <rPh sb="0" eb="1">
      <t>ツギノターン</t>
    </rPh>
    <rPh sb="5" eb="6">
      <t>アオパネル</t>
    </rPh>
    <rPh sb="10" eb="12">
      <t>キュウシュウ</t>
    </rPh>
    <rPh sb="15" eb="16">
      <t>ダイダメージ</t>
    </rPh>
    <rPh sb="21" eb="25">
      <t>ゼンタイコウゲキ</t>
    </rPh>
    <phoneticPr fontId="5"/>
  </si>
  <si>
    <t>ランダムでお邪魔パネルに3個変換+
3ターン全ユニットにウィルス</t>
    <rPh sb="22" eb="23">
      <t>ゼンユニット</t>
    </rPh>
    <phoneticPr fontId="5"/>
  </si>
  <si>
    <t>解除するまで全ユニットの回復力60%DOWN</t>
    <rPh sb="0" eb="2">
      <t>カイジョスル</t>
    </rPh>
    <rPh sb="6" eb="7">
      <t>ゼンユニットノ</t>
    </rPh>
    <rPh sb="12" eb="15">
      <t>カイフクリョク</t>
    </rPh>
    <phoneticPr fontId="5"/>
  </si>
  <si>
    <t>2ターン全ユニットにウィルス</t>
    <rPh sb="4" eb="5">
      <t>ゼンユニット</t>
    </rPh>
    <phoneticPr fontId="5"/>
  </si>
  <si>
    <t>2ターン全ユニットの回復力40％DOWN</t>
    <rPh sb="4" eb="5">
      <t>ゼンタイノ</t>
    </rPh>
    <rPh sb="10" eb="13">
      <t>カイフクリョク</t>
    </rPh>
    <phoneticPr fontId="5"/>
  </si>
  <si>
    <t>ランダムでお邪魔パネルに2個変換+
2ターン全ユニットにウィルス</t>
    <rPh sb="13" eb="14">
      <t>コ</t>
    </rPh>
    <rPh sb="14" eb="16">
      <t>ヘンカン</t>
    </rPh>
    <rPh sb="22" eb="23">
      <t>ゼンユニットニ</t>
    </rPh>
    <phoneticPr fontId="5"/>
  </si>
  <si>
    <t>ランダムでお邪魔パネルに2個変換+
2ターン全ユニットにウィルス</t>
    <rPh sb="13" eb="14">
      <t>コ</t>
    </rPh>
    <rPh sb="14" eb="16">
      <t>ヘンカン</t>
    </rPh>
    <rPh sb="22" eb="23">
      <t>ゼン</t>
    </rPh>
    <phoneticPr fontId="5"/>
  </si>
  <si>
    <t>クリティカル!</t>
    <phoneticPr fontId="5"/>
  </si>
  <si>
    <t>ガルーダ! またあたしの邪魔をするのね!</t>
    <phoneticPr fontId="5"/>
  </si>
  <si>
    <t>1ターン全ユニットにウィルス</t>
    <rPh sb="4" eb="5">
      <t>ゼンユニットニ</t>
    </rPh>
    <phoneticPr fontId="5"/>
  </si>
  <si>
    <t>2ターン全ユニットの回復力20％DOWN</t>
    <rPh sb="4" eb="5">
      <t>ゼンタイノ</t>
    </rPh>
    <rPh sb="10" eb="13">
      <t>カイフクリョク</t>
    </rPh>
    <phoneticPr fontId="5"/>
  </si>
  <si>
    <t>クリティカル!</t>
    <phoneticPr fontId="5"/>
  </si>
  <si>
    <t>クリティカル!</t>
    <phoneticPr fontId="5"/>
  </si>
  <si>
    <t>2ターン全ユニットにウィルス</t>
    <rPh sb="4" eb="5">
      <t>ゼン</t>
    </rPh>
    <phoneticPr fontId="5"/>
  </si>
  <si>
    <t>3ターン全ユニットの回復力30％DOWN</t>
    <rPh sb="4" eb="5">
      <t>ゼンタイノ</t>
    </rPh>
    <rPh sb="10" eb="13">
      <t>カイフクリョク</t>
    </rPh>
    <phoneticPr fontId="5"/>
  </si>
  <si>
    <t>3ターン全ユニットの回復力50％DOWN</t>
    <rPh sb="4" eb="5">
      <t>ゼンタイノ</t>
    </rPh>
    <rPh sb="10" eb="13">
      <t>カイフクリョク</t>
    </rPh>
    <phoneticPr fontId="5"/>
  </si>
  <si>
    <t>2ターン全ユニットにウィルス</t>
    <rPh sb="4" eb="5">
      <t>ゼンユニットニ</t>
    </rPh>
    <phoneticPr fontId="5"/>
  </si>
  <si>
    <t>クリティカル!</t>
    <phoneticPr fontId="5"/>
  </si>
  <si>
    <t>ランダムでお邪魔パネルに5個変換+
4ターン全ユニットにウィルス</t>
    <rPh sb="13" eb="14">
      <t>コ</t>
    </rPh>
    <rPh sb="14" eb="16">
      <t>ヘンカン</t>
    </rPh>
    <rPh sb="22" eb="23">
      <t>ゼンユニットニ</t>
    </rPh>
    <phoneticPr fontId="5"/>
  </si>
  <si>
    <t>4ターン全ユニットの回復力50％DOWN</t>
    <rPh sb="4" eb="5">
      <t>ゼンタイノ</t>
    </rPh>
    <rPh sb="10" eb="13">
      <t>カイフクリョク</t>
    </rPh>
    <phoneticPr fontId="5"/>
  </si>
  <si>
    <t>解除するまで全ユニットの回復力90%DOWN</t>
    <rPh sb="0" eb="2">
      <t>カイジョスル</t>
    </rPh>
    <rPh sb="6" eb="7">
      <t>ゼンタイノ</t>
    </rPh>
    <rPh sb="12" eb="15">
      <t>カイフクリョク</t>
    </rPh>
    <phoneticPr fontId="5"/>
  </si>
  <si>
    <t>ランダムでお邪魔パネルに5個変換+
4ターン全ユニットにウィルス</t>
    <rPh sb="22" eb="23">
      <t>ゼンユニットニ</t>
    </rPh>
    <phoneticPr fontId="5"/>
  </si>
  <si>
    <t>[effect:enemy_message, val1:1.2, val2:2.1]</t>
  </si>
  <si>
    <t>[effect:enemy_message, val1:1.2, val2:1.4],[effect:virus, target:unit_all, turn:2, rate:1, val:0.1, animation:enemy_virus],[effect:fix_speed, target:myself, turn:2]</t>
    <phoneticPr fontId="5"/>
  </si>
  <si>
    <t>[effect:enemy_message, val1:1.2, val2:2.0],[effect:degrade_unit, target:unit_all, turn:3, status:heal, val:0.3, calc:mul, animation:degrade_unit_all_heal]</t>
    <phoneticPr fontId="5"/>
  </si>
  <si>
    <t>[effect:enemy_message, val1:1.2, val2:2.0],[effect:degrade_unit, target:unit_all, turn:3, status:heal, val:0.5, calc:mul, animation:degrade_unit_all_heal]</t>
    <phoneticPr fontId="5"/>
  </si>
  <si>
    <t>[effect:enemy_message, val1:1.2, val2:1.4],[effect:virus, target:unit_all, turn:2, rate:1, val:0.3, animation:enemy_virus]</t>
    <phoneticPr fontId="5"/>
  </si>
  <si>
    <t>[effect:enemy_message, val1:1.5, val2:3.1],[effect:force_change_block, new_block:jammer, target:block_all, ignore01:crash, ignore02:crack_bomb, ignore03:color_break, ignore04:jammer, ignore05:magnet, count:5, val:0, animation:change_block],[effect:virus, target:unit_all, turn:4, rate:1, val:0.1, animation:enemy_virus],[effect:fix_speed, target:myself, turn:2]</t>
    <phoneticPr fontId="5"/>
  </si>
  <si>
    <t>[effect:enemy_message, val1:2.0, val2:3.1],[effect:force_change_block, new_block:jammer, target:block_all, ignore01:crash, ignore02:crack_bomb, ignore03:color_break, ignore04:jammer, ignore05:magnet, count:5, val:0, animation:change_block],[effect:virus, target:unit_all, turn:4, rate:1, val:0.1, animation:enemy_virus],[effect:fix_speed, target:myself, turn:2]</t>
    <phoneticPr fontId="5"/>
  </si>
  <si>
    <t>[effect:enemy_message, val1:2.0, val2:3.1],[effect:force_change_block, new_block:jammer, target:block_all, ignore01:crash, ignore02:crack_bomb, ignore03:color_break, ignore04:jammer, ignore05:magnet, count:5, val:0, animation:change_block],[effect:virus, target:unit_all, turn:4, rate:1, val:0.1, animation:enemy_virus],[effect:fix_speed, target:myself, turn:2]</t>
    <phoneticPr fontId="5"/>
  </si>
  <si>
    <t>[effect:enemy_message, val1:1.5, val2:2.0],[effect:degrade_unit, target:unit_all, turn:4, status:heal, val:0.5, calc:mul, animation:degrade_unit_all_heal]</t>
    <phoneticPr fontId="5"/>
  </si>
  <si>
    <t>[effect:enemy_message, val1:1.2, val2:1.4],[effect:virus, target:unit_all, turn:2, rate:1, val:0.1, animation:enemy_virus]</t>
    <phoneticPr fontId="5"/>
  </si>
  <si>
    <t>[effect:enemy_message, val1:1.2, val2:2.2],[effect:degrade_unit, target:unit_all, turn:-1, status:heal, val:0.9, calc:mul, animation:degrade_unit_all_heal]</t>
    <phoneticPr fontId="5"/>
  </si>
  <si>
    <t>[effect:enemy_message, val1:1.2, val2:3.1],[effect:virus, target:unit_all, turn:4, rate:1, val:0.3, animation:enemy_virus],[effect:force_change_block, new_block:jammer, target:block_all, ignore01:crash, ignore02:crack_bomb, ignore03:color_break, ignore04:jammer, ignore05:magnet, count:5, val:0, animation:change_block]</t>
    <phoneticPr fontId="5"/>
  </si>
  <si>
    <t>[effect:enemy_message, val1:1.4, val2:2.4]</t>
    <phoneticPr fontId="5"/>
  </si>
  <si>
    <t>[effect:enemy_message, val1:1.5, val2:3.3],[effect:break_attack, target:unit_all, val:10, lowest_val:7500, count:-1, color:green, block01:block_blue],[effect:change_panel_ratio, turn:-1, block_type:blue, val:0, animation:block_incidence04]</t>
    <phoneticPr fontId="5"/>
  </si>
  <si>
    <t>[effect:enemy_message, val1:1.2, val2:1.4],[effect:virus, target:unit_all, turn:2, rate:1, val:0.1, animation:enemy_virus],[effect:fix_speed, target:myself, turn:2]</t>
    <phoneticPr fontId="5"/>
  </si>
  <si>
    <t>[effect:enemy_message, val1:1.2, val2:2.0],[effect:degrade_unit, target:unit_all, turn:2, status:heal, val:0.2, calc:mul, animation:degrade_unit_all_heal]</t>
    <phoneticPr fontId="5"/>
  </si>
  <si>
    <t>[effect:enemy_message, val1:1.2, val2:2.0],[effect:degrade_unit, target:unit_all, turn:2, status:heal, val:0.4, calc:mul, animation:degrade_unit_all_heal]</t>
    <phoneticPr fontId="5"/>
  </si>
  <si>
    <t>[effect:enemy_message, val1:1.2, val2:1.4],[effect:virus, target:unit_all, turn:1, rate:1, val:0.2, animation:enemy_virus]</t>
    <phoneticPr fontId="5"/>
  </si>
  <si>
    <t>[effect:enemy_message, val1:1.5, val2:3.1],[effect:force_change_block, new_block:jammer, target:block_all, ignore01:crash, ignore02:crack_bomb, ignore03:color_break, ignore04:jammer, ignore05:magnet, count:2, val:0, animation:change_block],[effect:virus, target:unit_all, turn:2, rate:1, val:0.1, animation:enemy_virus],[effect:fix_speed, target:myself, turn:2]</t>
    <phoneticPr fontId="5"/>
  </si>
  <si>
    <t>[effect:enemy_message, val1:2.0, val2:3.1],[effect:force_change_block, new_block:jammer, target:block_all, ignore01:crash, ignore02:crack_bomb, ignore03:color_break, ignore04:jammer, ignore05:magnet, count:2, val:0, animation:change_block],[effect:virus, target:unit_all, turn:2, rate:1, val:0.1, animation:enemy_virus],[effect:fix_speed, target:myself, turn:2]</t>
    <phoneticPr fontId="5"/>
  </si>
  <si>
    <t>[effect:enemy_message, val1:2.0, val2:3.1],[effect:force_change_block, new_block:jammer, target:block_all, ignore01:crash, ignore02:crack_bomb, ignore03:color_break, ignore04:jammer, ignore05:magnet, count:2, val:0, animation:change_block],[effect:virus, target:unit_all, turn:2, rate:1, val:0.1, animation:enemy_virus],[effect:fix_speed, target:myself, turn:2]</t>
    <phoneticPr fontId="5"/>
  </si>
  <si>
    <t>[effect:enemy_message, val1:1.5, val2:2.0],[effect:degrade_unit, target:unit_all, turn:2, status:heal, val:0.4, calc:mul, animation:degrade_unit_all_heal]</t>
    <phoneticPr fontId="5"/>
  </si>
  <si>
    <t>[effect:enemy_message, val1:1.2, val2:1.4],[effect:virus, target:unit_all, turn:2, rate:1, val:0.1, animation:enemy_virus]</t>
    <phoneticPr fontId="5"/>
  </si>
  <si>
    <t>[effect:enemy_message, val1:1.2, val2:2.2],[effect:degrade_unit, target:unit_all, turn:-1, status:heal, val:0.6, calc:mul, animation:degrade_unit_all_heal]</t>
    <phoneticPr fontId="5"/>
  </si>
  <si>
    <t>[effect:enemy_message, val1:1.2, val2:3.1],[effect:virus, target:unit_all, turn:3, rate:1, val:0.2, animation:enemy_virus],[effect:force_change_block, new_block:jammer, ignore05:magnet, target:block_all, ignore01:crash, ignore02:crack_bomb, ignore03:color_break, ignore04:jammer, ignore05:magnet, count:3, val:0, animation:change_block]</t>
    <phoneticPr fontId="5"/>
  </si>
  <si>
    <t>[effect:enemy_message, val1:1.4, val2:2.4]</t>
    <phoneticPr fontId="5"/>
  </si>
  <si>
    <t>[effect:enemy_message, val1:1.5, val2:3.3],[effect:break_attack, target:unit_all, val:10, lowest_val:7500, count:-1, color:green, block01:block_blue],[effect:change_panel_ratio, turn:-1, block_type:blue, val:0, animation:block_incidence04]</t>
    <phoneticPr fontId="5"/>
  </si>
  <si>
    <t>[effect:enemy_message, val1:1.7, val2:1.7, dead_type:suicide]</t>
    <phoneticPr fontId="5"/>
  </si>
  <si>
    <t>[effect:enemy_message, val1:2.2, val2:2.0, dead_type:suicide]</t>
    <phoneticPr fontId="5"/>
  </si>
  <si>
    <t>[effect:enemy_message, val1:2.2, val2:2.0, dead_type:suicide]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</si>
</sst>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16" fillId="13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14" fontId="16" fillId="32" borderId="7" xfId="0" applyNumberFormat="1" applyFont="1" applyFill="1" applyBorder="1" applyAlignment="1">
      <alignment horizontal="left" vertical="center"/>
    </xf>
    <xf numFmtId="0" fontId="16" fillId="32" borderId="7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/>
    </xf>
    <xf numFmtId="0" fontId="0" fillId="0" borderId="7" xfId="0" applyFill="1" applyBorder="1"/>
    <xf numFmtId="0" fontId="4" fillId="13" borderId="6" xfId="0" applyFont="1" applyFill="1" applyBorder="1" applyAlignment="1">
      <alignment vertical="center"/>
    </xf>
    <xf numFmtId="0" fontId="27" fillId="32" borderId="7" xfId="0" applyFont="1" applyFill="1" applyBorder="1"/>
    <xf numFmtId="0" fontId="28" fillId="32" borderId="7" xfId="0" applyFont="1" applyFill="1" applyBorder="1"/>
    <xf numFmtId="0" fontId="29" fillId="32" borderId="12" xfId="0" applyFont="1" applyFill="1" applyBorder="1" applyAlignment="1">
      <alignment vertical="center"/>
    </xf>
    <xf numFmtId="0" fontId="30" fillId="32" borderId="7" xfId="0" applyFont="1" applyFill="1" applyBorder="1"/>
    <xf numFmtId="0" fontId="31" fillId="32" borderId="7" xfId="0" applyFont="1" applyFill="1" applyBorder="1"/>
    <xf numFmtId="38" fontId="16" fillId="32" borderId="7" xfId="628" applyFont="1" applyFill="1" applyBorder="1" applyAlignment="1">
      <alignment wrapText="1"/>
    </xf>
    <xf numFmtId="0" fontId="0" fillId="32" borderId="7" xfId="0" applyFill="1" applyBorder="1"/>
    <xf numFmtId="176" fontId="4" fillId="6" borderId="3" xfId="0" applyNumberFormat="1" applyFont="1" applyFill="1" applyBorder="1" applyAlignment="1">
      <alignment horizontal="center"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6001</v>
          </cell>
        </row>
        <row r="1386">
          <cell r="A1386">
            <v>6002</v>
          </cell>
        </row>
        <row r="1387">
          <cell r="A1387">
            <v>6003</v>
          </cell>
        </row>
        <row r="1388">
          <cell r="A1388">
            <v>6004</v>
          </cell>
        </row>
        <row r="1389">
          <cell r="A1389">
            <v>6005</v>
          </cell>
        </row>
        <row r="1390">
          <cell r="A1390">
            <v>6006</v>
          </cell>
        </row>
        <row r="1391">
          <cell r="A1391">
            <v>6007</v>
          </cell>
        </row>
        <row r="1392">
          <cell r="A1392">
            <v>6008</v>
          </cell>
        </row>
        <row r="1393">
          <cell r="A1393">
            <v>6009</v>
          </cell>
        </row>
        <row r="1394">
          <cell r="A1394">
            <v>6010</v>
          </cell>
        </row>
        <row r="1395">
          <cell r="A1395">
            <v>6011</v>
          </cell>
        </row>
        <row r="1396">
          <cell r="A1396">
            <v>6012</v>
          </cell>
        </row>
        <row r="1397">
          <cell r="A1397">
            <v>6013</v>
          </cell>
        </row>
        <row r="1398">
          <cell r="A1398">
            <v>6014</v>
          </cell>
        </row>
        <row r="1399">
          <cell r="A1399">
            <v>6015</v>
          </cell>
        </row>
        <row r="1400">
          <cell r="A1400">
            <v>6016</v>
          </cell>
        </row>
        <row r="1401">
          <cell r="A1401">
            <v>6017</v>
          </cell>
        </row>
        <row r="1402">
          <cell r="A1402">
            <v>6018</v>
          </cell>
        </row>
        <row r="1403">
          <cell r="A1403">
            <v>6019</v>
          </cell>
        </row>
        <row r="1404">
          <cell r="A1404">
            <v>6020</v>
          </cell>
        </row>
        <row r="1405">
          <cell r="A1405">
            <v>8001</v>
          </cell>
        </row>
        <row r="1406">
          <cell r="A1406">
            <v>8002</v>
          </cell>
        </row>
        <row r="1407">
          <cell r="A1407">
            <v>8003</v>
          </cell>
        </row>
        <row r="1408">
          <cell r="A1408">
            <v>8004</v>
          </cell>
        </row>
        <row r="1409">
          <cell r="A1409">
            <v>8005</v>
          </cell>
        </row>
        <row r="1410">
          <cell r="A1410">
            <v>8006</v>
          </cell>
        </row>
        <row r="1411">
          <cell r="A1411">
            <v>8007</v>
          </cell>
        </row>
        <row r="1412">
          <cell r="A1412">
            <v>8008</v>
          </cell>
        </row>
        <row r="1413">
          <cell r="A1413">
            <v>8009</v>
          </cell>
        </row>
        <row r="1414">
          <cell r="A1414">
            <v>8010</v>
          </cell>
        </row>
        <row r="1415">
          <cell r="A1415">
            <v>8011</v>
          </cell>
        </row>
        <row r="1416">
          <cell r="A1416">
            <v>8012</v>
          </cell>
        </row>
        <row r="1417">
          <cell r="A1417">
            <v>8013</v>
          </cell>
        </row>
        <row r="1418">
          <cell r="A1418">
            <v>8014</v>
          </cell>
        </row>
        <row r="1419">
          <cell r="A1419">
            <v>8015</v>
          </cell>
        </row>
        <row r="1420">
          <cell r="A1420">
            <v>8016</v>
          </cell>
        </row>
        <row r="1421">
          <cell r="A1421">
            <v>8017</v>
          </cell>
        </row>
        <row r="1422">
          <cell r="A1422">
            <v>8018</v>
          </cell>
        </row>
        <row r="1423">
          <cell r="A1423">
            <v>8019</v>
          </cell>
        </row>
        <row r="1424">
          <cell r="A1424">
            <v>8020</v>
          </cell>
        </row>
        <row r="1425">
          <cell r="A1425">
            <v>8021</v>
          </cell>
        </row>
        <row r="1426">
          <cell r="A1426">
            <v>8022</v>
          </cell>
        </row>
        <row r="1427">
          <cell r="A1427">
            <v>8023</v>
          </cell>
        </row>
        <row r="1428">
          <cell r="A1428">
            <v>8024</v>
          </cell>
        </row>
        <row r="1429">
          <cell r="A1429">
            <v>8025</v>
          </cell>
        </row>
        <row r="1430">
          <cell r="A1430">
            <v>8026</v>
          </cell>
        </row>
        <row r="1431">
          <cell r="A1431">
            <v>8027</v>
          </cell>
        </row>
        <row r="1432">
          <cell r="A1432">
            <v>8028</v>
          </cell>
        </row>
        <row r="1433">
          <cell r="A1433">
            <v>8029</v>
          </cell>
        </row>
        <row r="1434">
          <cell r="A1434">
            <v>8030</v>
          </cell>
        </row>
        <row r="1435">
          <cell r="A1435">
            <v>8031</v>
          </cell>
        </row>
        <row r="1436">
          <cell r="A1436">
            <v>8032</v>
          </cell>
        </row>
        <row r="1437">
          <cell r="A1437">
            <v>8033</v>
          </cell>
        </row>
        <row r="1438">
          <cell r="A1438">
            <v>8034</v>
          </cell>
        </row>
        <row r="1439">
          <cell r="A1439">
            <v>8035</v>
          </cell>
        </row>
        <row r="1440">
          <cell r="A1440">
            <v>8036</v>
          </cell>
        </row>
        <row r="1441">
          <cell r="A1441">
            <v>8037</v>
          </cell>
        </row>
        <row r="1442">
          <cell r="A1442">
            <v>8038</v>
          </cell>
        </row>
        <row r="1443">
          <cell r="A1443">
            <v>8039</v>
          </cell>
        </row>
        <row r="1444">
          <cell r="A1444">
            <v>8040</v>
          </cell>
        </row>
        <row r="1445">
          <cell r="A1445">
            <v>8041</v>
          </cell>
        </row>
        <row r="1446">
          <cell r="A1446">
            <v>8042</v>
          </cell>
        </row>
        <row r="1447">
          <cell r="A1447">
            <v>8043</v>
          </cell>
        </row>
        <row r="1448">
          <cell r="A1448">
            <v>8044</v>
          </cell>
        </row>
        <row r="1449">
          <cell r="A1449">
            <v>8045</v>
          </cell>
        </row>
        <row r="1450">
          <cell r="A1450">
            <v>8046</v>
          </cell>
        </row>
        <row r="1451">
          <cell r="A1451">
            <v>8047</v>
          </cell>
        </row>
        <row r="1452">
          <cell r="A1452">
            <v>8048</v>
          </cell>
        </row>
        <row r="1453">
          <cell r="A1453">
            <v>8049</v>
          </cell>
        </row>
        <row r="1454">
          <cell r="A1454">
            <v>8050</v>
          </cell>
        </row>
        <row r="1455">
          <cell r="A1455">
            <v>8051</v>
          </cell>
        </row>
        <row r="1456">
          <cell r="A1456">
            <v>8052</v>
          </cell>
        </row>
        <row r="1457">
          <cell r="A1457">
            <v>8053</v>
          </cell>
        </row>
        <row r="1458">
          <cell r="A1458">
            <v>8054</v>
          </cell>
        </row>
        <row r="1459">
          <cell r="A1459">
            <v>8055</v>
          </cell>
        </row>
        <row r="1460">
          <cell r="A1460">
            <v>8056</v>
          </cell>
        </row>
        <row r="1461">
          <cell r="A1461">
            <v>8057</v>
          </cell>
        </row>
        <row r="1462">
          <cell r="A1462">
            <v>8058</v>
          </cell>
        </row>
        <row r="1463">
          <cell r="A1463">
            <v>8059</v>
          </cell>
        </row>
        <row r="1464">
          <cell r="A1464">
            <v>8060</v>
          </cell>
        </row>
        <row r="1465">
          <cell r="A1465">
            <v>8061</v>
          </cell>
        </row>
        <row r="1466">
          <cell r="A1466">
            <v>8062</v>
          </cell>
        </row>
        <row r="1467">
          <cell r="A1467">
            <v>8063</v>
          </cell>
        </row>
        <row r="1468">
          <cell r="A1468">
            <v>8064</v>
          </cell>
        </row>
        <row r="1469">
          <cell r="A1469">
            <v>8065</v>
          </cell>
        </row>
        <row r="1470">
          <cell r="A1470">
            <v>8066</v>
          </cell>
        </row>
        <row r="1471">
          <cell r="A1471">
            <v>8067</v>
          </cell>
        </row>
        <row r="1472">
          <cell r="A1472">
            <v>8068</v>
          </cell>
        </row>
        <row r="1473">
          <cell r="A1473">
            <v>8069</v>
          </cell>
        </row>
        <row r="1474">
          <cell r="A1474">
            <v>8070</v>
          </cell>
        </row>
        <row r="1475">
          <cell r="A1475">
            <v>8071</v>
          </cell>
        </row>
        <row r="1476">
          <cell r="A1476">
            <v>8072</v>
          </cell>
        </row>
        <row r="1477">
          <cell r="A1477">
            <v>8073</v>
          </cell>
        </row>
        <row r="1478">
          <cell r="A1478">
            <v>8074</v>
          </cell>
        </row>
        <row r="1479">
          <cell r="A1479">
            <v>8075</v>
          </cell>
        </row>
        <row r="1480">
          <cell r="A1480">
            <v>8076</v>
          </cell>
        </row>
        <row r="1481">
          <cell r="A1481">
            <v>8077</v>
          </cell>
        </row>
        <row r="1482">
          <cell r="A1482">
            <v>8078</v>
          </cell>
        </row>
        <row r="1483">
          <cell r="A1483">
            <v>8079</v>
          </cell>
        </row>
        <row r="1484">
          <cell r="A1484">
            <v>8080</v>
          </cell>
        </row>
        <row r="1485">
          <cell r="A1485">
            <v>8087</v>
          </cell>
        </row>
        <row r="1486">
          <cell r="A1486">
            <v>8088</v>
          </cell>
        </row>
        <row r="1487">
          <cell r="A1487">
            <v>8089</v>
          </cell>
        </row>
        <row r="1488">
          <cell r="A1488">
            <v>8090</v>
          </cell>
        </row>
        <row r="1489">
          <cell r="A1489">
            <v>8095</v>
          </cell>
        </row>
        <row r="1490">
          <cell r="A1490">
            <v>8096</v>
          </cell>
        </row>
        <row r="1491">
          <cell r="A1491">
            <v>8097</v>
          </cell>
        </row>
        <row r="1492">
          <cell r="A1492">
            <v>8098</v>
          </cell>
        </row>
        <row r="1493">
          <cell r="A1493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19" sqref="D1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257</v>
      </c>
      <c r="B2" s="57" t="s">
        <v>106</v>
      </c>
      <c r="C2" s="62">
        <v>48501</v>
      </c>
      <c r="D2" s="57" t="s">
        <v>107</v>
      </c>
      <c r="E2" s="56" t="str">
        <f>B2&amp;C2&amp;D2</f>
        <v>floors_48501.tmp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257</v>
      </c>
      <c r="B3" s="57" t="s">
        <v>109</v>
      </c>
      <c r="C3" s="62">
        <v>48501</v>
      </c>
      <c r="D3" s="57" t="s">
        <v>107</v>
      </c>
      <c r="E3" s="56" t="str">
        <f>B3&amp;C3&amp;D3</f>
        <v>enemy_habitats_48501.tmp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257</v>
      </c>
      <c r="B4" s="57" t="s">
        <v>111</v>
      </c>
      <c r="C4" s="62">
        <v>48501</v>
      </c>
      <c r="D4" s="57" t="s">
        <v>107</v>
      </c>
      <c r="E4" s="56" t="str">
        <f>B4&amp;C4&amp;D4</f>
        <v>enemy_habitat_S_48501.tmp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257</v>
      </c>
      <c r="B5" s="57" t="s">
        <v>113</v>
      </c>
      <c r="C5" s="62">
        <v>48501</v>
      </c>
      <c r="D5" s="57" t="s">
        <v>107</v>
      </c>
      <c r="E5" s="56" t="str">
        <f>B5&amp;C5&amp;D5</f>
        <v>enemy_skill_sets_48501.tmp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257</v>
      </c>
      <c r="B6" s="57" t="s">
        <v>115</v>
      </c>
      <c r="C6" s="62">
        <v>48501</v>
      </c>
      <c r="D6" s="57" t="s">
        <v>116</v>
      </c>
      <c r="E6" s="56" t="str">
        <f t="shared" ref="E6:E10" si="0">B6&amp;C6&amp;D6</f>
        <v>enemy_skills_tmp_48501.tmp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257</v>
      </c>
      <c r="B7" s="57" t="s">
        <v>117</v>
      </c>
      <c r="C7" s="62">
        <v>48501</v>
      </c>
      <c r="D7" s="57" t="s">
        <v>107</v>
      </c>
      <c r="E7" s="56" t="str">
        <f>B7&amp;C7&amp;D7</f>
        <v>enemy_skills_i18n_48501.tmp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257</v>
      </c>
      <c r="B8" s="57" t="s">
        <v>119</v>
      </c>
      <c r="C8" s="62">
        <v>48501</v>
      </c>
      <c r="D8" s="57" t="s">
        <v>120</v>
      </c>
      <c r="E8" s="56" t="str">
        <f t="shared" si="0"/>
        <v>enemy_skill_triggers_48501.tmp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451</v>
      </c>
      <c r="B9" s="67" t="s">
        <v>178</v>
      </c>
      <c r="C9" s="62">
        <v>48501</v>
      </c>
      <c r="D9" s="67" t="s">
        <v>172</v>
      </c>
      <c r="E9" s="68" t="str">
        <f t="shared" si="0"/>
        <v>stage_bug_bonuses_48501.tmp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188</v>
      </c>
      <c r="B10" s="67" t="s">
        <v>203</v>
      </c>
      <c r="C10" s="62">
        <v>48501</v>
      </c>
      <c r="D10" s="67" t="s">
        <v>181</v>
      </c>
      <c r="E10" s="68" t="str">
        <f t="shared" si="0"/>
        <v>stage_hints_data_c_48501.tmp</v>
      </c>
      <c r="F10" s="67" t="s">
        <v>211</v>
      </c>
      <c r="G10" s="72" t="s">
        <v>182</v>
      </c>
      <c r="H10" s="72" t="s">
        <v>174</v>
      </c>
      <c r="I10" s="73" t="s">
        <v>183</v>
      </c>
      <c r="J10" s="66" t="s">
        <v>184</v>
      </c>
      <c r="K10" s="66" t="s">
        <v>185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1" t="s">
        <v>451</v>
      </c>
      <c r="B11" s="67" t="s">
        <v>204</v>
      </c>
      <c r="C11" s="62">
        <v>48501</v>
      </c>
      <c r="D11" s="67" t="s">
        <v>172</v>
      </c>
      <c r="E11" s="68" t="str">
        <f t="shared" ref="E11:E13" si="1">B11&amp;C11&amp;D11</f>
        <v>stage_hints_data_f_48501.tmp</v>
      </c>
      <c r="F11" s="67" t="s">
        <v>212</v>
      </c>
      <c r="G11" s="72" t="s">
        <v>182</v>
      </c>
      <c r="H11" s="72" t="s">
        <v>174</v>
      </c>
      <c r="I11" s="73" t="s">
        <v>183</v>
      </c>
      <c r="J11" s="66" t="s">
        <v>184</v>
      </c>
      <c r="K11" s="66" t="s">
        <v>185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1" t="s">
        <v>451</v>
      </c>
      <c r="B12" s="67" t="s">
        <v>205</v>
      </c>
      <c r="C12" s="62">
        <v>48501</v>
      </c>
      <c r="D12" s="67" t="s">
        <v>172</v>
      </c>
      <c r="E12" s="68" t="str">
        <f t="shared" si="1"/>
        <v>stage_hints_i18n_48501.tmp</v>
      </c>
      <c r="F12" s="67" t="s">
        <v>213</v>
      </c>
      <c r="G12" s="73" t="s">
        <v>206</v>
      </c>
      <c r="H12" s="92" t="s">
        <v>207</v>
      </c>
      <c r="I12" s="72" t="s">
        <v>208</v>
      </c>
      <c r="J12" s="100" t="s">
        <v>209</v>
      </c>
      <c r="K12" s="66" t="s">
        <v>210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1" t="s">
        <v>451</v>
      </c>
      <c r="B13" s="67" t="s">
        <v>253</v>
      </c>
      <c r="C13" s="62">
        <v>48501</v>
      </c>
      <c r="D13" s="67" t="s">
        <v>234</v>
      </c>
      <c r="E13" s="68" t="str">
        <f t="shared" si="1"/>
        <v>stage_bonuses_48501.tmp</v>
      </c>
      <c r="F13" s="67" t="s">
        <v>233</v>
      </c>
      <c r="G13" s="72" t="s">
        <v>235</v>
      </c>
      <c r="H13" s="72" t="s">
        <v>236</v>
      </c>
      <c r="I13" s="72" t="s">
        <v>237</v>
      </c>
      <c r="J13" s="72" t="s">
        <v>238</v>
      </c>
      <c r="K13" s="72" t="s">
        <v>239</v>
      </c>
      <c r="L13" s="72" t="s">
        <v>240</v>
      </c>
      <c r="M13" s="72" t="s">
        <v>241</v>
      </c>
      <c r="N13" s="72" t="s">
        <v>242</v>
      </c>
      <c r="O13" s="72" t="s">
        <v>243</v>
      </c>
      <c r="P13" s="72" t="s">
        <v>244</v>
      </c>
      <c r="Q13" s="72" t="s">
        <v>245</v>
      </c>
      <c r="R13" s="72" t="s">
        <v>246</v>
      </c>
      <c r="S13" s="72" t="s">
        <v>247</v>
      </c>
      <c r="T13" s="72" t="s">
        <v>248</v>
      </c>
      <c r="U13" s="72" t="s">
        <v>249</v>
      </c>
      <c r="V13" s="72" t="s">
        <v>250</v>
      </c>
      <c r="W13" s="72" t="s">
        <v>251</v>
      </c>
      <c r="X13" s="72" t="s">
        <v>252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E11" sqref="E1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48501_1-1</v>
      </c>
      <c r="B2" s="16" t="str">
        <f>IF(COUNTIF(enemy_habitats!$H:$H,A2),"OK","NG")</f>
        <v>OK</v>
      </c>
      <c r="C2" s="7">
        <v>48501</v>
      </c>
      <c r="D2" s="11" t="str">
        <f ca="1">VLOOKUP($C2,OFFSET([2]quests!$A$1,0,0,COUNTA([2]quests!$A:$A),MATCH(D$1,[2]quests!$1:$1,0)-MATCH($C$1,[2]quests!$1:$1,0)+1),MATCH(D$1,[2]quests!$1:$1,0)-MATCH($C$1,[2]quests!$1:$1,0)+1,FALSE)</f>
        <v>ナーガ襲来！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グローバル版降臨1</v>
      </c>
      <c r="F2" s="21">
        <v>1</v>
      </c>
      <c r="G2" s="23" t="str">
        <f>C2&amp;"_"&amp;F2</f>
        <v>48501_1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【超絶級】ナーガ襲来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ref="A3:A5" si="0">G3&amp;"-"&amp;I3</f>
        <v>48501_1-2</v>
      </c>
      <c r="B3" s="16" t="str">
        <f>IF(COUNTIF(enemy_habitats!$H:$H,A3),"OK","NG")</f>
        <v>OK</v>
      </c>
      <c r="C3" s="7">
        <v>48501</v>
      </c>
      <c r="D3" s="11" t="str">
        <f ca="1">VLOOKUP($C3,OFFSET([2]quests!$A$1,0,0,COUNTA([2]quests!$A:$A),MATCH(D$1,[2]quests!$1:$1,0)-MATCH($C$1,[2]quests!$1:$1,0)+1),MATCH(D$1,[2]quests!$1:$1,0)-MATCH($C$1,[2]quests!$1:$1,0)+1,FALSE)</f>
        <v>ナーガ襲来！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グローバル版降臨1</v>
      </c>
      <c r="F3" s="21">
        <v>1</v>
      </c>
      <c r="G3" s="23" t="str">
        <f t="shared" ref="G3:G5" si="1">C3&amp;"_"&amp;F3</f>
        <v>48501_1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【超絶級】ナーガ襲来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48501_1-3</v>
      </c>
      <c r="B4" s="16" t="str">
        <f>IF(COUNTIF(enemy_habitats!$H:$H,A4),"OK","NG")</f>
        <v>OK</v>
      </c>
      <c r="C4" s="7">
        <v>48501</v>
      </c>
      <c r="D4" s="11" t="str">
        <f ca="1">VLOOKUP($C4,OFFSET([2]quests!$A$1,0,0,COUNTA([2]quests!$A:$A),MATCH(D$1,[2]quests!$1:$1,0)-MATCH($C$1,[2]quests!$1:$1,0)+1),MATCH(D$1,[2]quests!$1:$1,0)-MATCH($C$1,[2]quests!$1:$1,0)+1,FALSE)</f>
        <v>ナーガ襲来！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グローバル版降臨1</v>
      </c>
      <c r="F4" s="21">
        <v>1</v>
      </c>
      <c r="G4" s="23" t="str">
        <f t="shared" si="1"/>
        <v>48501_1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【超絶級】ナーガ襲来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48501_1-4</v>
      </c>
      <c r="B5" s="16" t="str">
        <f>IF(COUNTIF(enemy_habitats!$H:$H,A5),"OK","NG")</f>
        <v>OK</v>
      </c>
      <c r="C5" s="7">
        <v>48501</v>
      </c>
      <c r="D5" s="11" t="str">
        <f ca="1">VLOOKUP($C5,OFFSET([2]quests!$A$1,0,0,COUNTA([2]quests!$A:$A),MATCH(D$1,[2]quests!$1:$1,0)-MATCH($C$1,[2]quests!$1:$1,0)+1),MATCH(D$1,[2]quests!$1:$1,0)-MATCH($C$1,[2]quests!$1:$1,0)+1,FALSE)</f>
        <v>ナーガ襲来！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グローバル版降臨1</v>
      </c>
      <c r="F5" s="21">
        <v>1</v>
      </c>
      <c r="G5" s="23" t="str">
        <f t="shared" si="1"/>
        <v>48501_1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【超絶級】ナーガ襲来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48501_2-1</v>
      </c>
      <c r="B6" s="16" t="str">
        <f>IF(COUNTIF(enemy_habitats!$H:$H,A6),"OK","NG")</f>
        <v>OK</v>
      </c>
      <c r="C6" s="7">
        <v>48501</v>
      </c>
      <c r="D6" s="11" t="str">
        <f ca="1">VLOOKUP($C6,OFFSET([2]quests!$A$1,0,0,COUNTA([2]quests!$A:$A),MATCH(D$1,[2]quests!$1:$1,0)-MATCH($C$1,[2]quests!$1:$1,0)+1),MATCH(D$1,[2]quests!$1:$1,0)-MATCH($C$1,[2]quests!$1:$1,0)+1,FALSE)</f>
        <v>ナーガ襲来！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グローバル版降臨1</v>
      </c>
      <c r="F6" s="21">
        <v>2</v>
      </c>
      <c r="G6" s="23" t="str">
        <f>C6&amp;"_"&amp;F6</f>
        <v>48501_2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【ウィザード級】ナーガ襲来</v>
      </c>
      <c r="I6" s="21">
        <v>1</v>
      </c>
      <c r="J6" s="12">
        <v>45</v>
      </c>
      <c r="K6" s="12">
        <v>45</v>
      </c>
    </row>
    <row r="7" spans="1:11" ht="21" customHeight="1" x14ac:dyDescent="0.15">
      <c r="A7" s="16" t="str">
        <f t="shared" ref="A7:A9" si="2">G7&amp;"-"&amp;I7</f>
        <v>48501_2-2</v>
      </c>
      <c r="B7" s="16" t="str">
        <f>IF(COUNTIF(enemy_habitats!$H:$H,A7),"OK","NG")</f>
        <v>OK</v>
      </c>
      <c r="C7" s="7">
        <v>48501</v>
      </c>
      <c r="D7" s="11" t="str">
        <f ca="1">VLOOKUP($C7,OFFSET([2]quests!$A$1,0,0,COUNTA([2]quests!$A:$A),MATCH(D$1,[2]quests!$1:$1,0)-MATCH($C$1,[2]quests!$1:$1,0)+1),MATCH(D$1,[2]quests!$1:$1,0)-MATCH($C$1,[2]quests!$1:$1,0)+1,FALSE)</f>
        <v>ナーガ襲来！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グローバル版降臨1</v>
      </c>
      <c r="F7" s="21">
        <v>2</v>
      </c>
      <c r="G7" s="23" t="str">
        <f t="shared" ref="G7:G9" si="3">C7&amp;"_"&amp;F7</f>
        <v>48501_2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【ウィザード級】ナーガ襲来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48501_2-3</v>
      </c>
      <c r="B8" s="16" t="str">
        <f>IF(COUNTIF(enemy_habitats!$H:$H,A8),"OK","NG")</f>
        <v>OK</v>
      </c>
      <c r="C8" s="7">
        <v>48501</v>
      </c>
      <c r="D8" s="11" t="str">
        <f ca="1">VLOOKUP($C8,OFFSET([2]quests!$A$1,0,0,COUNTA([2]quests!$A:$A),MATCH(D$1,[2]quests!$1:$1,0)-MATCH($C$1,[2]quests!$1:$1,0)+1),MATCH(D$1,[2]quests!$1:$1,0)-MATCH($C$1,[2]quests!$1:$1,0)+1,FALSE)</f>
        <v>ナーガ襲来！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グローバル版降臨1</v>
      </c>
      <c r="F8" s="21">
        <v>2</v>
      </c>
      <c r="G8" s="23" t="str">
        <f t="shared" si="3"/>
        <v>48501_2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【ウィザード級】ナーガ襲来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48501_2-4</v>
      </c>
      <c r="B9" s="16" t="str">
        <f>IF(COUNTIF(enemy_habitats!$H:$H,A9),"OK","NG")</f>
        <v>OK</v>
      </c>
      <c r="C9" s="7">
        <v>48501</v>
      </c>
      <c r="D9" s="11" t="str">
        <f ca="1">VLOOKUP($C9,OFFSET([2]quests!$A$1,0,0,COUNTA([2]quests!$A:$A),MATCH(D$1,[2]quests!$1:$1,0)-MATCH($C$1,[2]quests!$1:$1,0)+1),MATCH(D$1,[2]quests!$1:$1,0)-MATCH($C$1,[2]quests!$1:$1,0)+1,FALSE)</f>
        <v>ナーガ襲来！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グローバル版降臨1</v>
      </c>
      <c r="F9" s="21">
        <v>2</v>
      </c>
      <c r="G9" s="23" t="str">
        <f t="shared" si="3"/>
        <v>48501_2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【ウィザード級】ナーガ襲来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2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O24" sqref="O2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4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9.66406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254</v>
      </c>
      <c r="U1" s="26" t="s">
        <v>50</v>
      </c>
      <c r="V1" s="101" t="s">
        <v>255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15" si="0">B2&amp;"_"&amp;C2&amp;"-"&amp;G2&amp;"/"&amp;L2&amp;"&lt;lv"&amp;R2&amp;"&gt;s"&amp;AC2</f>
        <v>48501_1-1/9&lt;lv80&gt;s2</v>
      </c>
      <c r="B2" s="22">
        <v>48501</v>
      </c>
      <c r="C2" s="21">
        <v>1</v>
      </c>
      <c r="D2" s="2" t="str">
        <f t="shared" ref="D2:D15" si="1">B2&amp;"_"&amp;C2</f>
        <v>48501_1</v>
      </c>
      <c r="E2" s="4" t="str">
        <f ca="1">VLOOKUP($B2,OFFSET([2]quests!$A$1,0,0,COUNTA([2]quests!$A:$A),MATCH(E$1,[2]quests!$1:$1,0)-MATCH($B$1,[2]quests!$1:$1,0)+1),MATCH(E$1,[2]quests!$1:$1,0)-MATCH($B$1,[2]quests!$1:$1,0)+1,FALSE)</f>
        <v>ナーガ襲来！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【超絶級】ナーガ襲来</v>
      </c>
      <c r="G2" s="21">
        <v>1</v>
      </c>
      <c r="H2" s="15" t="str">
        <f t="shared" ref="H2:H15" si="2">B2&amp;"_"&amp;C2&amp;"-"&amp;G2</f>
        <v>48501_1-1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53</v>
      </c>
      <c r="L2" s="20">
        <v>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ブレット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2.6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42380</v>
      </c>
      <c r="U2" s="25">
        <v>0.6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4378.2</v>
      </c>
      <c r="W2" s="5">
        <v>0</v>
      </c>
      <c r="X2" s="4" t="e">
        <f ca="1">VLOOKUP($Y2,OFFSET(enemy_skill_sets!$B$1,0,0,COUNTA(enemy_skill_sets!$B:$B),MATCH(M$1,enemy_skill_sets!$1:$1,0)-MATCH($Y$1,enemy_skill_sets!$1:$1,0)+2),MATCH(M$1,enemy_skill_sets!$1:$1,0)-MATCH($Y$1,enemy_skill_sets!$1:$1,0)+2,FALSE)</f>
        <v>#N/A</v>
      </c>
      <c r="Y2" s="47">
        <v>0</v>
      </c>
      <c r="Z2" s="6">
        <v>1</v>
      </c>
      <c r="AA2" s="6">
        <v>100</v>
      </c>
      <c r="AB2" s="6">
        <v>0</v>
      </c>
      <c r="AC2" s="104">
        <v>2</v>
      </c>
      <c r="AD2" s="20">
        <v>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ブレット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Drop1W</v>
      </c>
      <c r="AH2" s="7">
        <v>1</v>
      </c>
      <c r="AI2" s="24">
        <f t="shared" ref="AI2:AI15" ca="1" si="3">AF2</f>
        <v>1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48501_1-1/47&lt;lv80&gt;s2</v>
      </c>
      <c r="B3" s="22">
        <v>48501</v>
      </c>
      <c r="C3" s="21">
        <v>1</v>
      </c>
      <c r="D3" s="2" t="str">
        <f t="shared" si="1"/>
        <v>48501_1</v>
      </c>
      <c r="E3" s="4" t="str">
        <f ca="1">VLOOKUP($B3,OFFSET([2]quests!$A$1,0,0,COUNTA([2]quests!$A:$A),MATCH(E$1,[2]quests!$1:$1,0)-MATCH($B$1,[2]quests!$1:$1,0)+1),MATCH(E$1,[2]quests!$1:$1,0)-MATCH($B$1,[2]quests!$1:$1,0)+1,FALSE)</f>
        <v>ナーガ襲来！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【超絶級】ナーガ襲来</v>
      </c>
      <c r="G3" s="21">
        <v>1</v>
      </c>
      <c r="H3" s="15" t="str">
        <f t="shared" si="2"/>
        <v>48501_1-1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53</v>
      </c>
      <c r="L3" s="20">
        <v>47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ヒロ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2.8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44727.199999999997</v>
      </c>
      <c r="U3" s="25">
        <v>0.7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5058.2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クリティカル!</v>
      </c>
      <c r="Y3" s="47">
        <v>48501010</v>
      </c>
      <c r="Z3" s="6">
        <v>1</v>
      </c>
      <c r="AA3" s="6">
        <v>100</v>
      </c>
      <c r="AB3" s="6">
        <v>0</v>
      </c>
      <c r="AC3" s="104">
        <v>2</v>
      </c>
      <c r="AD3" s="20">
        <v>47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ヒロ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ca="1" si="3"/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48501_1-1/74&lt;lv80&gt;s1</v>
      </c>
      <c r="B4" s="22">
        <v>48501</v>
      </c>
      <c r="C4" s="21">
        <v>1</v>
      </c>
      <c r="D4" s="2" t="str">
        <f t="shared" si="1"/>
        <v>48501_1</v>
      </c>
      <c r="E4" s="4" t="str">
        <f ca="1">VLOOKUP($B4,OFFSET([2]quests!$A$1,0,0,COUNTA([2]quests!$A:$A),MATCH(E$1,[2]quests!$1:$1,0)-MATCH($B$1,[2]quests!$1:$1,0)+1),MATCH(E$1,[2]quests!$1:$1,0)-MATCH($B$1,[2]quests!$1:$1,0)+1,FALSE)</f>
        <v>ナーガ襲来！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【超絶級】ナーガ襲来</v>
      </c>
      <c r="G4" s="21">
        <v>1</v>
      </c>
      <c r="H4" s="15" t="str">
        <f t="shared" si="2"/>
        <v>48501_1-1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 t="s">
        <v>53</v>
      </c>
      <c r="L4" s="20">
        <v>74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サンダーバード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1.6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25558.400000000001</v>
      </c>
      <c r="U4" s="25">
        <v>0.4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2890.4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全体攻撃</v>
      </c>
      <c r="Y4" s="47">
        <v>48501011</v>
      </c>
      <c r="Z4" s="6">
        <v>1</v>
      </c>
      <c r="AA4" s="6">
        <v>100</v>
      </c>
      <c r="AB4" s="6">
        <v>0</v>
      </c>
      <c r="AC4" s="104">
        <v>1</v>
      </c>
      <c r="AD4" s="20">
        <v>74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サンダーバード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ca="1" si="3"/>
        <v>2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48501_1-2/129&lt;lv80&gt;s2</v>
      </c>
      <c r="B5" s="22">
        <v>48501</v>
      </c>
      <c r="C5" s="21">
        <v>1</v>
      </c>
      <c r="D5" s="2" t="str">
        <f t="shared" si="1"/>
        <v>48501_1</v>
      </c>
      <c r="E5" s="4" t="str">
        <f ca="1">VLOOKUP($B5,OFFSET([2]quests!$A$1,0,0,COUNTA([2]quests!$A:$A),MATCH(E$1,[2]quests!$1:$1,0)-MATCH($B$1,[2]quests!$1:$1,0)+1),MATCH(E$1,[2]quests!$1:$1,0)-MATCH($B$1,[2]quests!$1:$1,0)+1,FALSE)</f>
        <v>ナーガ襲来！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【超絶級】ナーガ襲来</v>
      </c>
      <c r="G5" s="21">
        <v>2</v>
      </c>
      <c r="H5" s="15" t="str">
        <f t="shared" si="2"/>
        <v>48501_1-2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129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孤高の狼憑き アマラ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0.7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142219</v>
      </c>
      <c r="U5" s="25">
        <v>0.8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6562.4000000000005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2ターン全ユニットにウィルス</v>
      </c>
      <c r="Y5" s="47">
        <v>48501012</v>
      </c>
      <c r="Z5" s="6">
        <v>1</v>
      </c>
      <c r="AA5" s="6">
        <v>100</v>
      </c>
      <c r="AB5" s="6">
        <v>1</v>
      </c>
      <c r="AC5" s="104">
        <v>2</v>
      </c>
      <c r="AD5" s="20">
        <v>129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孤高の狼憑き アマラ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4">
        <f t="shared" ca="1" si="3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48501_1-3/672&lt;lv80&gt;s2</v>
      </c>
      <c r="B6" s="22">
        <v>48501</v>
      </c>
      <c r="C6" s="21">
        <v>1</v>
      </c>
      <c r="D6" s="2" t="str">
        <f t="shared" si="1"/>
        <v>48501_1</v>
      </c>
      <c r="E6" s="4" t="str">
        <f ca="1">VLOOKUP($B6,OFFSET([2]quests!$A$1,0,0,COUNTA([2]quests!$A:$A),MATCH(E$1,[2]quests!$1:$1,0)-MATCH($B$1,[2]quests!$1:$1,0)+1),MATCH(E$1,[2]quests!$1:$1,0)-MATCH($B$1,[2]quests!$1:$1,0)+1,FALSE)</f>
        <v>ナーガ襲来！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【超絶級】ナーガ襲来</v>
      </c>
      <c r="G6" s="21">
        <v>3</v>
      </c>
      <c r="H6" s="15" t="str">
        <f t="shared" si="2"/>
        <v>48501_1-3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672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西遊韋駄天 ハヌマーン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1.5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162103.5</v>
      </c>
      <c r="U6" s="25">
        <v>0.7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8294.2999999999993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赤パネルを吸収して3ターン防御力UP</v>
      </c>
      <c r="Y6" s="47">
        <v>48501014</v>
      </c>
      <c r="Z6" s="6">
        <v>1</v>
      </c>
      <c r="AA6" s="6">
        <v>100</v>
      </c>
      <c r="AB6" s="6">
        <v>1</v>
      </c>
      <c r="AC6" s="104">
        <v>2</v>
      </c>
      <c r="AD6" s="20">
        <v>672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西遊韋駄天 ハヌマーン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3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48501_1-3/33&lt;lv80&gt;s2</v>
      </c>
      <c r="B7" s="22">
        <v>48501</v>
      </c>
      <c r="C7" s="21">
        <v>1</v>
      </c>
      <c r="D7" s="2" t="str">
        <f t="shared" si="1"/>
        <v>48501_1</v>
      </c>
      <c r="E7" s="4" t="str">
        <f ca="1">VLOOKUP($B7,OFFSET([2]quests!$A$1,0,0,COUNTA([2]quests!$A:$A),MATCH(E$1,[2]quests!$1:$1,0)-MATCH($B$1,[2]quests!$1:$1,0)+1),MATCH(E$1,[2]quests!$1:$1,0)-MATCH($B$1,[2]quests!$1:$1,0)+1,FALSE)</f>
        <v>ナーガ襲来！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【超絶級】ナーガ襲来</v>
      </c>
      <c r="G7" s="21">
        <v>3</v>
      </c>
      <c r="H7" s="15" t="str">
        <f t="shared" si="2"/>
        <v>48501_1-3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33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ゴクウ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80</v>
      </c>
      <c r="S7" s="25">
        <v>2.5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40750</v>
      </c>
      <c r="U7" s="25">
        <v>0.6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4378.2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クリティカル!</v>
      </c>
      <c r="Y7" s="47">
        <v>48501015</v>
      </c>
      <c r="Z7" s="6">
        <v>2</v>
      </c>
      <c r="AA7" s="6">
        <v>100</v>
      </c>
      <c r="AB7" s="6">
        <v>0</v>
      </c>
      <c r="AC7" s="104">
        <v>2</v>
      </c>
      <c r="AD7" s="20">
        <v>33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7">
        <v>1</v>
      </c>
      <c r="AI7" s="24">
        <f t="shared" ca="1" si="3"/>
        <v>2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48501_1-4/5003&lt;lv80&gt;s3</v>
      </c>
      <c r="B8" s="22">
        <v>48501</v>
      </c>
      <c r="C8" s="21">
        <v>1</v>
      </c>
      <c r="D8" s="2" t="str">
        <f t="shared" si="1"/>
        <v>48501_1</v>
      </c>
      <c r="E8" s="4" t="str">
        <f ca="1">VLOOKUP($B8,OFFSET([2]quests!$A$1,0,0,COUNTA([2]quests!$A:$A),MATCH(E$1,[2]quests!$1:$1,0)-MATCH($B$1,[2]quests!$1:$1,0)+1),MATCH(E$1,[2]quests!$1:$1,0)-MATCH($B$1,[2]quests!$1:$1,0)+1,FALSE)</f>
        <v>ナーガ襲来！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【超絶級】ナーガ襲来</v>
      </c>
      <c r="G8" s="21">
        <v>4</v>
      </c>
      <c r="H8" s="15" t="str">
        <f t="shared" si="2"/>
        <v>48501_1-4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2</v>
      </c>
      <c r="L8" s="20">
        <v>5003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ナーガ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5">
        <v>2.6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0</v>
      </c>
      <c r="U8" s="25">
        <v>1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0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ランダムでお邪魔パネルに2個変換+_x000D_2ターン全ユニットにウィルス</v>
      </c>
      <c r="Y8" s="47">
        <v>48501016</v>
      </c>
      <c r="Z8" s="6">
        <v>1</v>
      </c>
      <c r="AA8" s="6">
        <v>100</v>
      </c>
      <c r="AB8" s="6">
        <v>1</v>
      </c>
      <c r="AC8" s="104">
        <v>3</v>
      </c>
      <c r="AD8" s="20">
        <v>5003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ナーガ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7">
        <v>1</v>
      </c>
      <c r="AI8" s="24">
        <f t="shared" ca="1" si="3"/>
        <v>5</v>
      </c>
      <c r="AJ8" s="116">
        <v>15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0"/>
        <v>48501_2-1/9&lt;lv99&gt;s2</v>
      </c>
      <c r="B9" s="124">
        <v>48501</v>
      </c>
      <c r="C9" s="21">
        <v>2</v>
      </c>
      <c r="D9" s="2" t="str">
        <f t="shared" si="1"/>
        <v>48501_2</v>
      </c>
      <c r="E9" s="4" t="str">
        <f ca="1">VLOOKUP($B9,OFFSET([2]quests!$A$1,0,0,COUNTA([2]quests!$A:$A),MATCH(E$1,[2]quests!$1:$1,0)-MATCH($B$1,[2]quests!$1:$1,0)+1),MATCH(E$1,[2]quests!$1:$1,0)-MATCH($B$1,[2]quests!$1:$1,0)+1,FALSE)</f>
        <v>ナーガ襲来！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【ウィザード級】ナーガ襲来</v>
      </c>
      <c r="G9" s="21">
        <v>1</v>
      </c>
      <c r="H9" s="15" t="str">
        <f t="shared" si="2"/>
        <v>48501_2-1</v>
      </c>
      <c r="I9" s="4">
        <f ca="1">VLOOKUP($H9,OFFSET(floors!$A$1,0,0,COUNTA(floors!$A:$A),MATCH(I$1,floors!$1:$1,0)-MATCH($H$1,floors!$1:$1,0)+1),MATCH(I$1,floors!$1:$1,0)-MATCH($H$1,floors!$1:$1,0)+1,FALSE)</f>
        <v>45</v>
      </c>
      <c r="J9" s="4">
        <f ca="1">VLOOKUP($H9,OFFSET(floors!$A$1,0,0,COUNTA(floors!$A:$A),MATCH(J$1,floors!$1:$1,0)-MATCH($H$1,floors!$1:$1,0)+1),MATCH(J$1,floors!$1:$1,0)-MATCH($H$1,floors!$1:$1,0)+1,FALSE)</f>
        <v>45</v>
      </c>
      <c r="K9" s="38" t="s">
        <v>53</v>
      </c>
      <c r="L9" s="20">
        <v>9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ブレット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99</v>
      </c>
      <c r="S9" s="25">
        <v>2.5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50250</v>
      </c>
      <c r="U9" s="25">
        <v>0.6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5398.8</v>
      </c>
      <c r="W9" s="5">
        <v>0</v>
      </c>
      <c r="X9" s="4" t="e">
        <f ca="1">VLOOKUP($Y9,OFFSET(enemy_skill_sets!$B$1,0,0,COUNTA(enemy_skill_sets!$B:$B),MATCH(M$1,enemy_skill_sets!$1:$1,0)-MATCH($Y$1,enemy_skill_sets!$1:$1,0)+2),MATCH(M$1,enemy_skill_sets!$1:$1,0)-MATCH($Y$1,enemy_skill_sets!$1:$1,0)+2,FALSE)</f>
        <v>#N/A</v>
      </c>
      <c r="Y9" s="47">
        <v>0</v>
      </c>
      <c r="Z9" s="6">
        <v>1</v>
      </c>
      <c r="AA9" s="6">
        <v>100</v>
      </c>
      <c r="AB9" s="6">
        <v>0</v>
      </c>
      <c r="AC9" s="104">
        <v>2</v>
      </c>
      <c r="AD9" s="20">
        <v>9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ブレット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Drop1W</v>
      </c>
      <c r="AH9" s="7">
        <v>1</v>
      </c>
      <c r="AI9" s="24">
        <f t="shared" ca="1" si="3"/>
        <v>1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48501_2-1/47&lt;lv99&gt;s2</v>
      </c>
      <c r="B10" s="124">
        <v>48501</v>
      </c>
      <c r="C10" s="21">
        <v>2</v>
      </c>
      <c r="D10" s="2" t="str">
        <f t="shared" si="1"/>
        <v>48501_2</v>
      </c>
      <c r="E10" s="4" t="str">
        <f ca="1">VLOOKUP($B10,OFFSET([2]quests!$A$1,0,0,COUNTA([2]quests!$A:$A),MATCH(E$1,[2]quests!$1:$1,0)-MATCH($B$1,[2]quests!$1:$1,0)+1),MATCH(E$1,[2]quests!$1:$1,0)-MATCH($B$1,[2]quests!$1:$1,0)+1,FALSE)</f>
        <v>ナーガ襲来！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【ウィザード級】ナーガ襲来</v>
      </c>
      <c r="G10" s="21">
        <v>1</v>
      </c>
      <c r="H10" s="15" t="str">
        <f t="shared" si="2"/>
        <v>48501_2-1</v>
      </c>
      <c r="I10" s="4">
        <f ca="1">VLOOKUP($H10,OFFSET(floors!$A$1,0,0,COUNTA(floors!$A:$A),MATCH(I$1,floors!$1:$1,0)-MATCH($H$1,floors!$1:$1,0)+1),MATCH(I$1,floors!$1:$1,0)-MATCH($H$1,floors!$1:$1,0)+1,FALSE)</f>
        <v>45</v>
      </c>
      <c r="J10" s="4">
        <f ca="1">VLOOKUP($H10,OFFSET(floors!$A$1,0,0,COUNTA(floors!$A:$A),MATCH(J$1,floors!$1:$1,0)-MATCH($H$1,floors!$1:$1,0)+1),MATCH(J$1,floors!$1:$1,0)-MATCH($H$1,floors!$1:$1,0)+1,FALSE)</f>
        <v>45</v>
      </c>
      <c r="K10" s="38" t="s">
        <v>53</v>
      </c>
      <c r="L10" s="20">
        <v>47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ヒロ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99</v>
      </c>
      <c r="S10" s="25">
        <v>2.5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49245</v>
      </c>
      <c r="U10" s="25">
        <v>0.8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7128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クリティカル!</v>
      </c>
      <c r="Y10" s="47">
        <v>48501001</v>
      </c>
      <c r="Z10" s="6">
        <v>1</v>
      </c>
      <c r="AA10" s="6">
        <v>100</v>
      </c>
      <c r="AB10" s="6">
        <v>0</v>
      </c>
      <c r="AC10" s="104">
        <v>2</v>
      </c>
      <c r="AD10" s="20">
        <v>47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ヒロ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4">
        <f t="shared" ca="1" si="3"/>
        <v>2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0"/>
        <v>48501_2-1/74&lt;lv99&gt;s1</v>
      </c>
      <c r="B11" s="124">
        <v>48501</v>
      </c>
      <c r="C11" s="21">
        <v>2</v>
      </c>
      <c r="D11" s="2" t="str">
        <f t="shared" si="1"/>
        <v>48501_2</v>
      </c>
      <c r="E11" s="4" t="str">
        <f ca="1">VLOOKUP($B11,OFFSET([2]quests!$A$1,0,0,COUNTA([2]quests!$A:$A),MATCH(E$1,[2]quests!$1:$1,0)-MATCH($B$1,[2]quests!$1:$1,0)+1),MATCH(E$1,[2]quests!$1:$1,0)-MATCH($B$1,[2]quests!$1:$1,0)+1,FALSE)</f>
        <v>ナーガ襲来！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【ウィザード級】ナーガ襲来</v>
      </c>
      <c r="G11" s="21">
        <v>1</v>
      </c>
      <c r="H11" s="15" t="str">
        <f t="shared" si="2"/>
        <v>48501_2-1</v>
      </c>
      <c r="I11" s="4">
        <f ca="1">VLOOKUP($H11,OFFSET(floors!$A$1,0,0,COUNTA(floors!$A:$A),MATCH(I$1,floors!$1:$1,0)-MATCH($H$1,floors!$1:$1,0)+1),MATCH(I$1,floors!$1:$1,0)-MATCH($H$1,floors!$1:$1,0)+1,FALSE)</f>
        <v>45</v>
      </c>
      <c r="J11" s="4">
        <f ca="1">VLOOKUP($H11,OFFSET(floors!$A$1,0,0,COUNTA(floors!$A:$A),MATCH(J$1,floors!$1:$1,0)-MATCH($H$1,floors!$1:$1,0)+1),MATCH(J$1,floors!$1:$1,0)-MATCH($H$1,floors!$1:$1,0)+1,FALSE)</f>
        <v>45</v>
      </c>
      <c r="K11" s="38" t="s">
        <v>53</v>
      </c>
      <c r="L11" s="20">
        <v>74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サンダーバード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99</v>
      </c>
      <c r="S11" s="25">
        <v>1.5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29547</v>
      </c>
      <c r="U11" s="25">
        <v>0.4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3564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1" s="47">
        <v>48501002</v>
      </c>
      <c r="Z11" s="6">
        <v>1</v>
      </c>
      <c r="AA11" s="6">
        <v>100</v>
      </c>
      <c r="AB11" s="6">
        <v>0</v>
      </c>
      <c r="AC11" s="104">
        <v>1</v>
      </c>
      <c r="AD11" s="20">
        <v>74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サンダーバード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Drop1S</v>
      </c>
      <c r="AH11" s="7">
        <v>1</v>
      </c>
      <c r="AI11" s="24">
        <f t="shared" ca="1" si="3"/>
        <v>2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0"/>
        <v>48501_2-2/129&lt;lv99&gt;s2</v>
      </c>
      <c r="B12" s="124">
        <v>48501</v>
      </c>
      <c r="C12" s="21">
        <v>2</v>
      </c>
      <c r="D12" s="2" t="str">
        <f t="shared" si="1"/>
        <v>48501_2</v>
      </c>
      <c r="E12" s="4" t="str">
        <f ca="1">VLOOKUP($B12,OFFSET([2]quests!$A$1,0,0,COUNTA([2]quests!$A:$A),MATCH(E$1,[2]quests!$1:$1,0)-MATCH($B$1,[2]quests!$1:$1,0)+1),MATCH(E$1,[2]quests!$1:$1,0)-MATCH($B$1,[2]quests!$1:$1,0)+1,FALSE)</f>
        <v>ナーガ襲来！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【ウィザード級】ナーガ襲来</v>
      </c>
      <c r="G12" s="21">
        <v>2</v>
      </c>
      <c r="H12" s="15" t="str">
        <f t="shared" si="2"/>
        <v>48501_2-2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3</v>
      </c>
      <c r="L12" s="20">
        <v>129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孤高の狼憑き アマラ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99</v>
      </c>
      <c r="S12" s="25">
        <v>0.8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200427.2</v>
      </c>
      <c r="U12" s="25">
        <v>0.8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8092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2ターン全ユニットにウィルス</v>
      </c>
      <c r="Y12" s="47">
        <v>48501003</v>
      </c>
      <c r="Z12" s="6">
        <v>1</v>
      </c>
      <c r="AA12" s="6">
        <v>100</v>
      </c>
      <c r="AB12" s="6">
        <v>1</v>
      </c>
      <c r="AC12" s="104">
        <v>2</v>
      </c>
      <c r="AD12" s="20">
        <v>129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孤高の狼憑き アマラ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2" s="7">
        <v>1</v>
      </c>
      <c r="AI12" s="24">
        <f t="shared" ca="1" si="3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0"/>
        <v>48501_2-3/672&lt;lv99&gt;s2</v>
      </c>
      <c r="B13" s="124">
        <v>48501</v>
      </c>
      <c r="C13" s="21">
        <v>2</v>
      </c>
      <c r="D13" s="2" t="str">
        <f t="shared" si="1"/>
        <v>48501_2</v>
      </c>
      <c r="E13" s="4" t="str">
        <f ca="1">VLOOKUP($B13,OFFSET([2]quests!$A$1,0,0,COUNTA([2]quests!$A:$A),MATCH(E$1,[2]quests!$1:$1,0)-MATCH($B$1,[2]quests!$1:$1,0)+1),MATCH(E$1,[2]quests!$1:$1,0)-MATCH($B$1,[2]quests!$1:$1,0)+1,FALSE)</f>
        <v>ナーガ襲来！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【ウィザード級】ナーガ襲来</v>
      </c>
      <c r="G13" s="21">
        <v>3</v>
      </c>
      <c r="H13" s="15" t="str">
        <f t="shared" si="2"/>
        <v>48501_2-3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672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西遊韋駄天 ハヌマーン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PremiumS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99</v>
      </c>
      <c r="S13" s="25">
        <v>1.9</v>
      </c>
      <c r="T13" s="10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253199.69999999998</v>
      </c>
      <c r="U13" s="25">
        <v>0.7</v>
      </c>
      <c r="V13" s="10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10227.699999999999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赤パネルを吸収して4ターン防御力UP</v>
      </c>
      <c r="Y13" s="47">
        <v>48501005</v>
      </c>
      <c r="Z13" s="6">
        <v>1</v>
      </c>
      <c r="AA13" s="6">
        <v>100</v>
      </c>
      <c r="AB13" s="6">
        <v>1</v>
      </c>
      <c r="AC13" s="104">
        <v>2</v>
      </c>
      <c r="AD13" s="20">
        <v>672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西遊韋駄天 ハヌマーン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3" s="7">
        <v>1</v>
      </c>
      <c r="AI13" s="24">
        <f t="shared" ca="1" si="3"/>
        <v>4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 t="shared" si="0"/>
        <v>48501_2-3/33&lt;lv99&gt;s2</v>
      </c>
      <c r="B14" s="124">
        <v>48501</v>
      </c>
      <c r="C14" s="21">
        <v>2</v>
      </c>
      <c r="D14" s="2" t="str">
        <f t="shared" si="1"/>
        <v>48501_2</v>
      </c>
      <c r="E14" s="4" t="str">
        <f ca="1">VLOOKUP($B14,OFFSET([2]quests!$A$1,0,0,COUNTA([2]quests!$A:$A),MATCH(E$1,[2]quests!$1:$1,0)-MATCH($B$1,[2]quests!$1:$1,0)+1),MATCH(E$1,[2]quests!$1:$1,0)-MATCH($B$1,[2]quests!$1:$1,0)+1,FALSE)</f>
        <v>ナーガ襲来！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【ウィザード級】ナーガ襲来</v>
      </c>
      <c r="G14" s="21">
        <v>3</v>
      </c>
      <c r="H14" s="15" t="str">
        <f t="shared" si="2"/>
        <v>48501_2-3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33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ゴクウ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99</v>
      </c>
      <c r="S14" s="25">
        <v>2.5</v>
      </c>
      <c r="T14" s="10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50250</v>
      </c>
      <c r="U14" s="25">
        <v>0.6</v>
      </c>
      <c r="V14" s="10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5398.8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クリティカル!</v>
      </c>
      <c r="Y14" s="47">
        <v>48501006</v>
      </c>
      <c r="Z14" s="6">
        <v>2</v>
      </c>
      <c r="AA14" s="6">
        <v>100</v>
      </c>
      <c r="AB14" s="6">
        <v>0</v>
      </c>
      <c r="AC14" s="104">
        <v>2</v>
      </c>
      <c r="AD14" s="20">
        <v>33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7">
        <v>1</v>
      </c>
      <c r="AI14" s="24">
        <f t="shared" ca="1" si="3"/>
        <v>2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si="0"/>
        <v>48501_2-4/5003&lt;lv99&gt;s3</v>
      </c>
      <c r="B15" s="124">
        <v>48501</v>
      </c>
      <c r="C15" s="21">
        <v>2</v>
      </c>
      <c r="D15" s="2" t="str">
        <f t="shared" si="1"/>
        <v>48501_2</v>
      </c>
      <c r="E15" s="4" t="str">
        <f ca="1">VLOOKUP($B15,OFFSET([2]quests!$A$1,0,0,COUNTA([2]quests!$A:$A),MATCH(E$1,[2]quests!$1:$1,0)-MATCH($B$1,[2]quests!$1:$1,0)+1),MATCH(E$1,[2]quests!$1:$1,0)-MATCH($B$1,[2]quests!$1:$1,0)+1,FALSE)</f>
        <v>ナーガ襲来！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【ウィザード級】ナーガ襲来</v>
      </c>
      <c r="G15" s="21">
        <v>4</v>
      </c>
      <c r="H15" s="15" t="str">
        <f t="shared" si="2"/>
        <v>48501_2-4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4</v>
      </c>
      <c r="L15" s="20">
        <v>5003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ナーガ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60</v>
      </c>
      <c r="R15" s="5">
        <v>99</v>
      </c>
      <c r="S15" s="25">
        <v>2.6</v>
      </c>
      <c r="T15" s="102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0</v>
      </c>
      <c r="U15" s="25">
        <v>1</v>
      </c>
      <c r="V15" s="102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0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ランダムでお邪魔パネルに5個変換+_x000D_4ターン全ユニットにウィルス</v>
      </c>
      <c r="Y15" s="47">
        <v>48501007</v>
      </c>
      <c r="Z15" s="6">
        <v>1</v>
      </c>
      <c r="AA15" s="6">
        <v>100</v>
      </c>
      <c r="AB15" s="6">
        <v>1</v>
      </c>
      <c r="AC15" s="104">
        <v>3</v>
      </c>
      <c r="AD15" s="20">
        <v>5003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ナーガ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5" s="7">
        <v>1</v>
      </c>
      <c r="AI15" s="24">
        <f t="shared" ca="1" si="3"/>
        <v>5</v>
      </c>
      <c r="AJ15" s="116">
        <v>30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7" spans="25:25" ht="21" customHeight="1" x14ac:dyDescent="0.15">
      <c r="Y17" s="114"/>
    </row>
    <row r="18" spans="25:25" ht="21" customHeight="1" x14ac:dyDescent="0.15">
      <c r="Y18" s="114"/>
    </row>
    <row r="19" spans="25:25" ht="21" customHeight="1" x14ac:dyDescent="0.15">
      <c r="Y19" s="114"/>
    </row>
    <row r="20" spans="25:25" ht="21" customHeight="1" x14ac:dyDescent="0.15">
      <c r="Y20" s="114"/>
    </row>
    <row r="21" spans="25:25" ht="21" customHeight="1" x14ac:dyDescent="0.15">
      <c r="Y21" s="114"/>
    </row>
    <row r="22" spans="25:25" ht="21" customHeight="1" x14ac:dyDescent="0.15">
      <c r="Y22" s="114"/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Y12" sqref="Y1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254</v>
      </c>
      <c r="V1" s="26" t="s">
        <v>50</v>
      </c>
      <c r="W1" s="101" t="s">
        <v>255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48501_1-2/561&lt;lv80&gt;sq1st2</v>
      </c>
      <c r="B2" s="22">
        <v>48501</v>
      </c>
      <c r="C2" s="21">
        <v>1</v>
      </c>
      <c r="D2" s="2" t="str">
        <f>B2&amp;"_"&amp;C2</f>
        <v>48501_1</v>
      </c>
      <c r="E2" s="4" t="str">
        <f ca="1">VLOOKUP($B2,OFFSET([2]quests!$A$1,0,0,COUNTA([2]quests!$A:$A),MATCH(E$1,[2]quests!$1:$1,0)-MATCH($B$1,[2]quests!$1:$1,0)+1),MATCH(E$1,[2]quests!$1:$1,0)-MATCH($B$1,[2]quests!$1:$1,0)+1,FALSE)</f>
        <v>ナーガ襲来！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【超絶級】ナーガ襲来</v>
      </c>
      <c r="G2" s="21">
        <v>2</v>
      </c>
      <c r="H2" s="15" t="str">
        <f>B2&amp;"_"&amp;C2&amp;"-"&amp;G2</f>
        <v>48501_1-2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561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森翠統べる獣姫 アマラ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PremiumW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2.9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249272.4</v>
      </c>
      <c r="V2" s="25">
        <v>0.7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6890.0999999999995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攻撃力UP</v>
      </c>
      <c r="Z2" s="47">
        <v>48501013</v>
      </c>
      <c r="AA2" s="105">
        <v>1</v>
      </c>
    </row>
    <row r="3" spans="1:27" ht="21" customHeight="1" x14ac:dyDescent="0.15">
      <c r="A3" s="16" t="str">
        <f t="shared" ref="A3:A4" si="0">B3&amp;"_"&amp;C3&amp;"-"&amp;G3&amp;"/"&amp;M3&amp;"&lt;lv"&amp;S3&amp;"&gt;sq"&amp;K3&amp;"st"&amp;L3</f>
        <v>48501_1-4/5003&lt;lv80&gt;sq2st2</v>
      </c>
      <c r="B3" s="22">
        <v>48501</v>
      </c>
      <c r="C3" s="21">
        <v>1</v>
      </c>
      <c r="D3" s="2" t="str">
        <f t="shared" ref="D3:D4" si="1">B3&amp;"_"&amp;C3</f>
        <v>48501_1</v>
      </c>
      <c r="E3" s="4" t="str">
        <f ca="1">VLOOKUP($B3,OFFSET([2]quests!$A$1,0,0,COUNTA([2]quests!$A:$A),MATCH(E$1,[2]quests!$1:$1,0)-MATCH($B$1,[2]quests!$1:$1,0)+1),MATCH(E$1,[2]quests!$1:$1,0)-MATCH($B$1,[2]quests!$1:$1,0)+1,FALSE)</f>
        <v>ナーガ襲来！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【超絶級】ナーガ襲来</v>
      </c>
      <c r="G3" s="21">
        <v>4</v>
      </c>
      <c r="H3" s="15" t="str">
        <f t="shared" ref="H3:H4" si="2">B3&amp;"_"&amp;C3&amp;"-"&amp;G3</f>
        <v>48501_1-4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5003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ナーガ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2.6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5">
        <v>1.2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ランダムでお邪魔パネルに3個変換+_x000D_単体攻撃</v>
      </c>
      <c r="Z3" s="47">
        <v>48501017</v>
      </c>
      <c r="AA3" s="105">
        <v>1</v>
      </c>
    </row>
    <row r="4" spans="1:27" ht="21" customHeight="1" x14ac:dyDescent="0.15">
      <c r="A4" s="16" t="str">
        <f t="shared" si="0"/>
        <v>48501_1-4/5004&lt;lv80&gt;sq2st3</v>
      </c>
      <c r="B4" s="22">
        <v>48501</v>
      </c>
      <c r="C4" s="21">
        <v>1</v>
      </c>
      <c r="D4" s="2" t="str">
        <f t="shared" si="1"/>
        <v>48501_1</v>
      </c>
      <c r="E4" s="4" t="str">
        <f ca="1">VLOOKUP($B4,OFFSET([2]quests!$A$1,0,0,COUNTA([2]quests!$A:$A),MATCH(E$1,[2]quests!$1:$1,0)-MATCH($B$1,[2]quests!$1:$1,0)+1),MATCH(E$1,[2]quests!$1:$1,0)-MATCH($B$1,[2]quests!$1:$1,0)+1,FALSE)</f>
        <v>ナーガ襲来！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【超絶級】ナーガ襲来</v>
      </c>
      <c r="G4" s="21">
        <v>4</v>
      </c>
      <c r="H4" s="15" t="str">
        <f t="shared" si="2"/>
        <v>48501_1-4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5004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ナーガ★６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3.8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5">
        <v>1.3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ランダムでお邪魔パネルに3個変換+_x000D_2ターン攻撃頻度UP</v>
      </c>
      <c r="Z4" s="47">
        <v>48501018</v>
      </c>
      <c r="AA4" s="105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48501_2-2/561&lt;lv99&gt;sq3st2</v>
      </c>
      <c r="B5" s="22">
        <v>48501</v>
      </c>
      <c r="C5" s="21">
        <v>2</v>
      </c>
      <c r="D5" s="2" t="str">
        <f>B5&amp;"_"&amp;C5</f>
        <v>48501_2</v>
      </c>
      <c r="E5" s="4" t="str">
        <f ca="1">VLOOKUP($B5,OFFSET([2]quests!$A$1,0,0,COUNTA([2]quests!$A:$A),MATCH(E$1,[2]quests!$1:$1,0)-MATCH($B$1,[2]quests!$1:$1,0)+1),MATCH(E$1,[2]quests!$1:$1,0)-MATCH($B$1,[2]quests!$1:$1,0)+1,FALSE)</f>
        <v>ナーガ襲来！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【ウィザード級】ナーガ襲来</v>
      </c>
      <c r="G5" s="21">
        <v>2</v>
      </c>
      <c r="H5" s="15" t="str">
        <f>B5&amp;"_"&amp;C5&amp;"-"&amp;G5</f>
        <v>48501_2-2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2</v>
      </c>
      <c r="M5" s="20">
        <v>561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森翠統べる獣姫 アマラ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PremiumW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99</v>
      </c>
      <c r="T5" s="25">
        <v>3.5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370982.5</v>
      </c>
      <c r="V5" s="25">
        <v>0.9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10924.2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攻撃力UP</v>
      </c>
      <c r="Z5" s="47">
        <v>48501004</v>
      </c>
      <c r="AA5" s="105">
        <v>1</v>
      </c>
    </row>
    <row r="6" spans="1:27" ht="21" customHeight="1" x14ac:dyDescent="0.15">
      <c r="A6" s="16" t="str">
        <f t="shared" ref="A6:A7" si="3">B6&amp;"_"&amp;C6&amp;"-"&amp;G6&amp;"/"&amp;M6&amp;"&lt;lv"&amp;S6&amp;"&gt;sq"&amp;K6&amp;"st"&amp;L6</f>
        <v>48501_2-4/5003&lt;lv99&gt;sq4st2</v>
      </c>
      <c r="B6" s="22">
        <v>48501</v>
      </c>
      <c r="C6" s="21">
        <v>2</v>
      </c>
      <c r="D6" s="2" t="str">
        <f t="shared" ref="D6:D7" si="4">B6&amp;"_"&amp;C6</f>
        <v>48501_2</v>
      </c>
      <c r="E6" s="4" t="str">
        <f ca="1">VLOOKUP($B6,OFFSET([2]quests!$A$1,0,0,COUNTA([2]quests!$A:$A),MATCH(E$1,[2]quests!$1:$1,0)-MATCH($B$1,[2]quests!$1:$1,0)+1),MATCH(E$1,[2]quests!$1:$1,0)-MATCH($B$1,[2]quests!$1:$1,0)+1,FALSE)</f>
        <v>ナーガ襲来！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【ウィザード級】ナーガ襲来</v>
      </c>
      <c r="G6" s="21">
        <v>4</v>
      </c>
      <c r="H6" s="15" t="str">
        <f t="shared" ref="H6:H7" si="5">B6&amp;"_"&amp;C6&amp;"-"&amp;G6</f>
        <v>48501_2-4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2</v>
      </c>
      <c r="M6" s="20">
        <v>5003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ナーガ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99</v>
      </c>
      <c r="T6" s="25">
        <v>2.6</v>
      </c>
      <c r="U6" s="102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0</v>
      </c>
      <c r="V6" s="25">
        <v>1.2</v>
      </c>
      <c r="W6" s="102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0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ランダムでお邪魔パネルに3個変換+_x000D_単体攻撃</v>
      </c>
      <c r="Z6" s="47">
        <v>48501008</v>
      </c>
      <c r="AA6" s="105">
        <v>1</v>
      </c>
    </row>
    <row r="7" spans="1:27" ht="21" customHeight="1" x14ac:dyDescent="0.15">
      <c r="A7" s="16" t="str">
        <f t="shared" si="3"/>
        <v>48501_2-4/5004&lt;lv99&gt;sq4st3</v>
      </c>
      <c r="B7" s="22">
        <v>48501</v>
      </c>
      <c r="C7" s="21">
        <v>2</v>
      </c>
      <c r="D7" s="2" t="str">
        <f t="shared" si="4"/>
        <v>48501_2</v>
      </c>
      <c r="E7" s="4" t="str">
        <f ca="1">VLOOKUP($B7,OFFSET([2]quests!$A$1,0,0,COUNTA([2]quests!$A:$A),MATCH(E$1,[2]quests!$1:$1,0)-MATCH($B$1,[2]quests!$1:$1,0)+1),MATCH(E$1,[2]quests!$1:$1,0)-MATCH($B$1,[2]quests!$1:$1,0)+1,FALSE)</f>
        <v>ナーガ襲来！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【ウィザード級】ナーガ襲来</v>
      </c>
      <c r="G7" s="21">
        <v>4</v>
      </c>
      <c r="H7" s="15" t="str">
        <f t="shared" si="5"/>
        <v>48501_2-4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4</v>
      </c>
      <c r="L7" s="38">
        <v>3</v>
      </c>
      <c r="M7" s="20">
        <v>5004</v>
      </c>
      <c r="N7" s="17" t="str">
        <f ca="1">VLOOKUP($M7,OFFSET([3]enemies!$A$1,0,0,COUNTA([3]enemies!$A:$A),MATCH(N$1,[3]enemies!$1:$1,0)-MATCH($M$1,[3]enemies!$1:$1,0)+1),MATCH(N$1,[3]enemies!$1:$1,0)-MATCH($M$1,[3]enemies!$1:$1,0)+1,FALSE)</f>
        <v>ナーガ★６</v>
      </c>
      <c r="O7" s="17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animal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99</v>
      </c>
      <c r="T7" s="25">
        <v>3.8</v>
      </c>
      <c r="U7" s="102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0</v>
      </c>
      <c r="V7" s="25">
        <v>1.3</v>
      </c>
      <c r="W7" s="102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0</v>
      </c>
      <c r="X7" s="5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ランダムでお邪魔パネルに5個変換+_x000D_2ターン攻撃頻度UP</v>
      </c>
      <c r="Z7" s="47">
        <v>48501009</v>
      </c>
      <c r="AA7" s="105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97"/>
  <sheetViews>
    <sheetView showGridLines="0" tabSelected="1" zoomScale="120" zoomScaleNormal="120" zoomScalePageLayoutView="120" workbookViewId="0">
      <pane ySplit="1" topLeftCell="A92" activePane="bottomLeft" state="frozenSplit"/>
      <selection pane="bottomLeft" activeCell="D101" sqref="D101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 customWidth="1"/>
    <col min="5" max="5" width="28.33203125" style="49" customWidth="1"/>
    <col min="6" max="6" width="44.1640625" style="49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hidden="1" customWidth="1"/>
    <col min="13" max="18" width="23.6640625" style="49" hidden="1" customWidth="1" outlineLevel="1"/>
    <col min="19" max="19" width="23.6640625" style="49" hidden="1" customWidth="1"/>
    <col min="20" max="24" width="23.6640625" style="49" hidden="1" customWidth="1" outlineLevel="1"/>
    <col min="25" max="25" width="23.6640625" style="49" hidden="1" customWidth="1"/>
    <col min="26" max="26" width="31.5" style="49" customWidth="1"/>
    <col min="27" max="27" width="12.83203125" style="49" customWidth="1"/>
    <col min="28" max="29" width="12.83203125" style="49"/>
    <col min="30" max="30" width="30" style="49" bestFit="1" customWidth="1"/>
    <col min="31" max="16384" width="12.83203125" style="49"/>
  </cols>
  <sheetData>
    <row r="1" spans="1:29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9" ht="21" customHeight="1" x14ac:dyDescent="0.15">
      <c r="A2" s="47">
        <v>48501001</v>
      </c>
      <c r="B2" s="47" t="s">
        <v>470</v>
      </c>
      <c r="C2" s="50">
        <v>1</v>
      </c>
      <c r="D2" s="50" t="s">
        <v>127</v>
      </c>
      <c r="E2" s="51" t="s">
        <v>468</v>
      </c>
      <c r="F2" s="51" t="s">
        <v>546</v>
      </c>
      <c r="G2" s="63" t="str">
        <f>IFERROR(LEFT(B2,FIND("],",B2)),B2)</f>
        <v>[effect:enemy_message, val1:1.2, val2:1.2]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>IFERROR(RIGHT(B2,LEN(B2)-FIND("],",B2)-1),"none")</f>
        <v>[effect:critical, val:1.3, animation:enemy_critical]</v>
      </c>
      <c r="N2" s="48" t="str">
        <f>IFERROR(LEFT(M2,FIND("],",M2)+S12),M2)</f>
        <v>[effect:critical, val:1.3, animation:enemy_critical]</v>
      </c>
      <c r="O2" s="63">
        <f>FIND("effect:",N2)+7</f>
        <v>9</v>
      </c>
      <c r="P2" s="63">
        <f>IFERROR(FIND(",",N2),LEN(N2))</f>
        <v>17</v>
      </c>
      <c r="Q2" s="63" t="e">
        <f>FIND("target:",N2)+7</f>
        <v>#VALUE!</v>
      </c>
      <c r="R2" s="63">
        <f>FIND(",",N2,P2+1)</f>
        <v>26</v>
      </c>
      <c r="S2" s="63" t="str">
        <f>IFERROR(VLOOKUP(MID(N2,Q2,R2-Q2),[5]skilldef!$C:$D,2,FALSE),"-") &amp; " / " &amp; IFERROR(VLOOKUP(MID(N2,O2,P2-O2),[5]skilldef!$A:$B,2,FALSE),"-")</f>
        <v>- / 大攻撃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1"/>
      <c r="AA2" s="52"/>
      <c r="AB2" s="51" t="s">
        <v>357</v>
      </c>
      <c r="AC2" s="51" t="s">
        <v>256</v>
      </c>
    </row>
    <row r="3" spans="1:29" ht="21" customHeight="1" x14ac:dyDescent="0.15">
      <c r="A3" s="47">
        <v>48501002</v>
      </c>
      <c r="B3" s="47" t="s">
        <v>471</v>
      </c>
      <c r="C3" s="50">
        <v>1</v>
      </c>
      <c r="D3" s="50" t="s">
        <v>127</v>
      </c>
      <c r="E3" s="51" t="s">
        <v>379</v>
      </c>
      <c r="F3" s="51" t="s">
        <v>312</v>
      </c>
      <c r="G3" s="63" t="str">
        <f t="shared" ref="G3" si="0">IFERROR(LEFT(B3,FIND("],",B3)),B3)</f>
        <v>[effect:enemy_message, val1:1.2, val2:1.2]</v>
      </c>
      <c r="H3" s="63">
        <f t="shared" ref="H3" si="1">FIND("effect:",G3)+7</f>
        <v>9</v>
      </c>
      <c r="I3" s="63">
        <f t="shared" ref="I3" si="2">IFERROR(FIND(",",G3),LEN(G3))</f>
        <v>22</v>
      </c>
      <c r="J3" s="63" t="e">
        <f t="shared" ref="J3" si="3">FIND("target:",G3)+7</f>
        <v>#VALUE!</v>
      </c>
      <c r="K3" s="63">
        <f t="shared" ref="K3" si="4">FIND(",",G3,I3+1)</f>
        <v>32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ref="M3" si="5">IFERROR(RIGHT(B3,LEN(B3)-FIND("],",B3)-1),"none")</f>
        <v>[effect:spread, val:0.25],[effect:fix_speed, target:myself, turn:1]</v>
      </c>
      <c r="N3" s="48" t="str">
        <f t="shared" ref="N3" si="6">IFERROR(LEFT(M3,FIND("],",M3)+S12),M3)</f>
        <v>[effect:spread, val:0.25],[effect:fix_speed, target:myself, turn:1]</v>
      </c>
      <c r="O3" s="63">
        <f t="shared" ref="O3" si="7">FIND("effect:",N3)+7</f>
        <v>9</v>
      </c>
      <c r="P3" s="63">
        <f t="shared" ref="P3" si="8">IFERROR(FIND(",",N3),LEN(N3))</f>
        <v>15</v>
      </c>
      <c r="Q3" s="63">
        <f t="shared" ref="Q3" si="9">FIND("target:",N3)+7</f>
        <v>53</v>
      </c>
      <c r="R3" s="63">
        <f t="shared" ref="R3" si="10">FIND(",",N3,P3+1)</f>
        <v>26</v>
      </c>
      <c r="S3" s="63" t="str">
        <f>IFERROR(VLOOKUP(MID(N3,Q3,R3-Q3),[5]skilldef!$C:$D,2,FALSE),"-") &amp; " / " &amp; IFERROR(VLOOKUP(MID(N3,O3,P3-O3),[5]skilldef!$A:$B,2,FALSE),"-")</f>
        <v>- / 全体攻撃</v>
      </c>
      <c r="T3" s="48" t="str">
        <f t="shared" ref="T3" si="11">IFERROR(RIGHT(M3,LEN(M3)-FIND("],",M3)-1),"none")</f>
        <v>[effect:fix_speed, target:myself, turn:1]</v>
      </c>
      <c r="U3" s="63">
        <f t="shared" ref="U3" si="12">FIND("effect:",T3)+7</f>
        <v>9</v>
      </c>
      <c r="V3" s="63">
        <f t="shared" ref="V3" si="13">IFERROR(FIND(",",T3),LEN(T3))</f>
        <v>18</v>
      </c>
      <c r="W3" s="63">
        <f t="shared" ref="W3" si="14">FIND("target:",T3)+7</f>
        <v>27</v>
      </c>
      <c r="X3" s="63">
        <f t="shared" ref="X3" si="15">FIND(",",T3,V3+1)</f>
        <v>33</v>
      </c>
      <c r="Y3" s="63" t="str">
        <f>IFERROR(VLOOKUP(MID(T3,W3,X3-W3),[5]skilldef!$C:$D,2,FALSE),"-") &amp; " / " &amp; IFERROR(VLOOKUP(MID(T3,U3,V3-U3),[5]skilldef!$A:$B,2,FALSE),"-")</f>
        <v>自分自身に / 行動値設定</v>
      </c>
      <c r="Z3" s="51"/>
      <c r="AA3" s="52"/>
      <c r="AB3" s="51" t="s">
        <v>358</v>
      </c>
      <c r="AC3" s="51" t="s">
        <v>312</v>
      </c>
    </row>
    <row r="4" spans="1:29" ht="21" customHeight="1" x14ac:dyDescent="0.15">
      <c r="A4" s="47">
        <v>48501003</v>
      </c>
      <c r="B4" s="47" t="s">
        <v>557</v>
      </c>
      <c r="C4" s="50">
        <v>1</v>
      </c>
      <c r="D4" s="50" t="s">
        <v>127</v>
      </c>
      <c r="E4" s="51" t="s">
        <v>380</v>
      </c>
      <c r="F4" s="51" t="s">
        <v>547</v>
      </c>
      <c r="G4" s="63" t="str">
        <f t="shared" ref="G4:G10" si="16">IFERROR(LEFT(B4,FIND("],",B4)),B4)</f>
        <v>[effect:enemy_message, val1:1.2, val2:1.4]</v>
      </c>
      <c r="H4" s="63">
        <f t="shared" ref="H4:H46" si="17">FIND("effect:",G4)+7</f>
        <v>9</v>
      </c>
      <c r="I4" s="63">
        <f t="shared" ref="I4:I10" si="18">IFERROR(FIND(",",G4),LEN(G4))</f>
        <v>22</v>
      </c>
      <c r="J4" s="63" t="e">
        <f t="shared" ref="J4:J10" si="19">FIND("target:",G4)+7</f>
        <v>#VALUE!</v>
      </c>
      <c r="K4" s="63">
        <f t="shared" ref="K4:K10" si="20">FIND(",",G4,I4+1)</f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ref="M4:M10" si="21">IFERROR(RIGHT(B4,LEN(B4)-FIND("],",B4)-1),"none")</f>
        <v>[effect:virus, target:unit_all, turn:2, rate:1, val:0.1, animation:enemy_virus],[effect:fix_speed, target:myself, turn:2]</v>
      </c>
      <c r="N4" s="48" t="str">
        <f t="shared" ref="N4:N8" si="22">IFERROR(LEFT(M4,FIND("],",M4)+S13),M4)</f>
        <v>[effect:virus, target:unit_all, turn:2, rate:1, val:0.1, animation:enemy_virus],[effect:fix_speed, target:myself, turn:2]</v>
      </c>
      <c r="O4" s="63">
        <f t="shared" ref="O4:O46" si="23">FIND("effect:",N4)+7</f>
        <v>9</v>
      </c>
      <c r="P4" s="63">
        <f t="shared" ref="P4:P10" si="24">IFERROR(FIND(",",N4),LEN(N4))</f>
        <v>14</v>
      </c>
      <c r="Q4" s="63">
        <f t="shared" ref="Q4:Q10" si="25">FIND("target:",N4)+7</f>
        <v>23</v>
      </c>
      <c r="R4" s="63">
        <f t="shared" ref="R4:R10" si="26">FIND(",",N4,P4+1)</f>
        <v>31</v>
      </c>
      <c r="S4" s="63" t="str">
        <f>IFERROR(VLOOKUP(MID(N4,Q4,R4-Q4),[5]skilldef!$C:$D,2,FALSE),"-") &amp; " / " &amp; IFERROR(VLOOKUP(MID(N4,O4,P4-O4),[5]skilldef!$A:$B,2,FALSE),"-")</f>
        <v>味方全体に / ウィルス</v>
      </c>
      <c r="T4" s="48" t="str">
        <f t="shared" ref="T4:T10" si="27">IFERROR(RIGHT(M4,LEN(M4)-FIND("],",M4)-1),"none")</f>
        <v>[effect:fix_speed, target:myself, turn:2]</v>
      </c>
      <c r="U4" s="63">
        <f t="shared" ref="U4:U46" si="28">FIND("effect:",T4)+7</f>
        <v>9</v>
      </c>
      <c r="V4" s="63">
        <f t="shared" ref="V4:V10" si="29">IFERROR(FIND(",",T4),LEN(T4))</f>
        <v>18</v>
      </c>
      <c r="W4" s="63">
        <f t="shared" ref="W4:W10" si="30">FIND("target:",T4)+7</f>
        <v>27</v>
      </c>
      <c r="X4" s="63">
        <f t="shared" ref="X4:X10" si="31">FIND(",",T4,V4+1)</f>
        <v>33</v>
      </c>
      <c r="Y4" s="63" t="str">
        <f>IFERROR(VLOOKUP(MID(T4,W4,X4-W4),[5]skilldef!$C:$D,2,FALSE),"-") &amp; " / " &amp; IFERROR(VLOOKUP(MID(T4,U4,V4-U4),[5]skilldef!$A:$B,2,FALSE),"-")</f>
        <v>自分自身に / 行動値設定</v>
      </c>
      <c r="Z4" s="51"/>
      <c r="AA4" s="52"/>
      <c r="AB4" s="51" t="s">
        <v>359</v>
      </c>
      <c r="AC4" s="51" t="s">
        <v>258</v>
      </c>
    </row>
    <row r="5" spans="1:29" ht="21" customHeight="1" x14ac:dyDescent="0.15">
      <c r="A5" s="47">
        <v>48501004</v>
      </c>
      <c r="B5" s="47" t="s">
        <v>558</v>
      </c>
      <c r="C5" s="50">
        <v>1</v>
      </c>
      <c r="D5" s="50" t="s">
        <v>127</v>
      </c>
      <c r="E5" s="51" t="s">
        <v>381</v>
      </c>
      <c r="F5" s="51" t="s">
        <v>548</v>
      </c>
      <c r="G5" s="63" t="str">
        <f t="shared" si="16"/>
        <v>[effect:enemy_message, val1:1.2, val2:2.0]</v>
      </c>
      <c r="H5" s="63">
        <f t="shared" si="17"/>
        <v>9</v>
      </c>
      <c r="I5" s="63">
        <f t="shared" si="18"/>
        <v>22</v>
      </c>
      <c r="J5" s="63" t="e">
        <f t="shared" si="19"/>
        <v>#VALUE!</v>
      </c>
      <c r="K5" s="63">
        <f t="shared" si="20"/>
        <v>32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21"/>
        <v>[effect:degrade_unit, target:unit_all, turn:3, status:heal, val:0.3, calc:mul, animation:degrade_unit_all_heal]</v>
      </c>
      <c r="N5" s="48" t="str">
        <f t="shared" si="22"/>
        <v>[effect:degrade_unit, target:unit_all, turn:3, status:heal, val:0.3, calc:mul, animation:degrade_unit_all_heal]</v>
      </c>
      <c r="O5" s="63">
        <f t="shared" si="23"/>
        <v>9</v>
      </c>
      <c r="P5" s="63">
        <f t="shared" si="24"/>
        <v>21</v>
      </c>
      <c r="Q5" s="63">
        <f t="shared" si="25"/>
        <v>30</v>
      </c>
      <c r="R5" s="63">
        <f t="shared" si="26"/>
        <v>38</v>
      </c>
      <c r="S5" s="63" t="str">
        <f>IFERROR(VLOOKUP(MID(N5,Q5,R5-Q5),[5]skilldef!$C:$D,2,FALSE),"-") &amp; " / " &amp; IFERROR(VLOOKUP(MID(N5,O5,P5-O5),[5]skilldef!$A:$B,2,FALSE),"-")</f>
        <v>味方全体に / ステータスDOWN</v>
      </c>
      <c r="T5" s="48" t="str">
        <f t="shared" si="27"/>
        <v>none</v>
      </c>
      <c r="U5" s="63" t="e">
        <f t="shared" si="28"/>
        <v>#VALUE!</v>
      </c>
      <c r="V5" s="63">
        <f t="shared" si="29"/>
        <v>4</v>
      </c>
      <c r="W5" s="63" t="e">
        <f t="shared" si="30"/>
        <v>#VALUE!</v>
      </c>
      <c r="X5" s="63" t="e">
        <f t="shared" si="31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1"/>
      <c r="AA5" s="52"/>
      <c r="AB5" s="51" t="s">
        <v>360</v>
      </c>
      <c r="AC5" s="51" t="s">
        <v>315</v>
      </c>
    </row>
    <row r="6" spans="1:29" ht="21" customHeight="1" x14ac:dyDescent="0.15">
      <c r="A6" s="47">
        <v>48501005</v>
      </c>
      <c r="B6" s="47" t="s">
        <v>472</v>
      </c>
      <c r="C6" s="50">
        <v>1</v>
      </c>
      <c r="D6" s="50" t="s">
        <v>127</v>
      </c>
      <c r="E6" s="51" t="s">
        <v>382</v>
      </c>
      <c r="F6" s="51" t="s">
        <v>316</v>
      </c>
      <c r="G6" s="63" t="str">
        <f t="shared" si="16"/>
        <v>[effect:enemy_message, val1:1.2, val2:1.2]</v>
      </c>
      <c r="H6" s="63">
        <f t="shared" si="17"/>
        <v>9</v>
      </c>
      <c r="I6" s="63">
        <f t="shared" si="18"/>
        <v>22</v>
      </c>
      <c r="J6" s="63" t="e">
        <f t="shared" si="19"/>
        <v>#VALUE!</v>
      </c>
      <c r="K6" s="63">
        <f t="shared" si="20"/>
        <v>32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si="21"/>
        <v>[effect:enhance_enemy, target:myself, turn:-1, status:attack, val:0.5, calc:mul, animation:enemy_enhance_attack],[effect:fix_speed, target:myself, turn:2]</v>
      </c>
      <c r="N6" s="48" t="str">
        <f t="shared" si="22"/>
        <v>[effect:enhance_enemy, target:myself, turn:-1, status:attack, val:0.5, calc:mul, animation:enemy_enhance_attack],[effect:fix_speed, target:myself, turn:2]</v>
      </c>
      <c r="O6" s="63">
        <f t="shared" si="23"/>
        <v>9</v>
      </c>
      <c r="P6" s="63">
        <f t="shared" si="24"/>
        <v>22</v>
      </c>
      <c r="Q6" s="63">
        <f t="shared" si="25"/>
        <v>31</v>
      </c>
      <c r="R6" s="63">
        <f t="shared" si="26"/>
        <v>37</v>
      </c>
      <c r="S6" s="63" t="str">
        <f>IFERROR(VLOOKUP(MID(N6,Q6,R6-Q6),[5]skilldef!$C:$D,2,FALSE),"-") &amp; " / " &amp; IFERROR(VLOOKUP(MID(N6,O6,P6-O6),[5]skilldef!$A:$B,2,FALSE),"-")</f>
        <v>自分自身に / ステータス強化</v>
      </c>
      <c r="T6" s="48" t="str">
        <f t="shared" si="27"/>
        <v>[effect:fix_speed, target:myself, turn:2]</v>
      </c>
      <c r="U6" s="63">
        <f t="shared" si="28"/>
        <v>9</v>
      </c>
      <c r="V6" s="63">
        <f t="shared" si="29"/>
        <v>18</v>
      </c>
      <c r="W6" s="63">
        <f t="shared" si="30"/>
        <v>27</v>
      </c>
      <c r="X6" s="63">
        <f t="shared" si="31"/>
        <v>33</v>
      </c>
      <c r="Y6" s="63" t="str">
        <f>IFERROR(VLOOKUP(MID(T6,W6,X6-W6),[5]skilldef!$C:$D,2,FALSE),"-") &amp; " / " &amp; IFERROR(VLOOKUP(MID(T6,U6,V6-U6),[5]skilldef!$A:$B,2,FALSE),"-")</f>
        <v>自分自身に / 行動値設定</v>
      </c>
      <c r="Z6" s="51"/>
      <c r="AA6" s="52"/>
      <c r="AB6" s="51" t="s">
        <v>362</v>
      </c>
      <c r="AC6" s="51" t="s">
        <v>316</v>
      </c>
    </row>
    <row r="7" spans="1:29" ht="21" customHeight="1" x14ac:dyDescent="0.15">
      <c r="A7" s="47">
        <v>48501006</v>
      </c>
      <c r="B7" s="47" t="s">
        <v>559</v>
      </c>
      <c r="C7" s="50">
        <v>1</v>
      </c>
      <c r="D7" s="50" t="s">
        <v>127</v>
      </c>
      <c r="E7" s="51" t="s">
        <v>383</v>
      </c>
      <c r="F7" s="51" t="s">
        <v>549</v>
      </c>
      <c r="G7" s="63" t="str">
        <f t="shared" si="16"/>
        <v>[effect:enemy_message, val1:1.2, val2:2.0]</v>
      </c>
      <c r="H7" s="63">
        <f t="shared" si="17"/>
        <v>9</v>
      </c>
      <c r="I7" s="63">
        <f t="shared" si="18"/>
        <v>22</v>
      </c>
      <c r="J7" s="63" t="e">
        <f t="shared" si="19"/>
        <v>#VALUE!</v>
      </c>
      <c r="K7" s="63">
        <f t="shared" si="20"/>
        <v>32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21"/>
        <v>[effect:degrade_unit, target:unit_all, turn:3, status:heal, val:0.5, calc:mul, animation:degrade_unit_all_heal]</v>
      </c>
      <c r="N7" s="48" t="str">
        <f t="shared" si="22"/>
        <v>[effect:degrade_unit, target:unit_all, turn:3, status:heal, val:0.5, calc:mul, animation:degrade_unit_all_heal]</v>
      </c>
      <c r="O7" s="63">
        <f t="shared" si="23"/>
        <v>9</v>
      </c>
      <c r="P7" s="63">
        <f t="shared" si="24"/>
        <v>21</v>
      </c>
      <c r="Q7" s="63">
        <f t="shared" si="25"/>
        <v>30</v>
      </c>
      <c r="R7" s="63">
        <f t="shared" si="26"/>
        <v>38</v>
      </c>
      <c r="S7" s="63" t="str">
        <f>IFERROR(VLOOKUP(MID(N7,Q7,R7-Q7),[5]skilldef!$C:$D,2,FALSE),"-") &amp; " / " &amp; IFERROR(VLOOKUP(MID(N7,O7,P7-O7),[5]skilldef!$A:$B,2,FALSE),"-")</f>
        <v>味方全体に / ステータスDOWN</v>
      </c>
      <c r="T7" s="48" t="str">
        <f t="shared" si="27"/>
        <v>none</v>
      </c>
      <c r="U7" s="63" t="e">
        <f t="shared" si="28"/>
        <v>#VALUE!</v>
      </c>
      <c r="V7" s="63">
        <f t="shared" si="29"/>
        <v>4</v>
      </c>
      <c r="W7" s="63" t="e">
        <f t="shared" si="30"/>
        <v>#VALUE!</v>
      </c>
      <c r="X7" s="63" t="e">
        <f t="shared" si="31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1"/>
      <c r="AA7" s="52"/>
      <c r="AB7" s="51" t="s">
        <v>361</v>
      </c>
      <c r="AC7" s="51" t="s">
        <v>317</v>
      </c>
    </row>
    <row r="8" spans="1:29" ht="21" customHeight="1" x14ac:dyDescent="0.15">
      <c r="A8" s="47">
        <v>48501007</v>
      </c>
      <c r="B8" s="47" t="s">
        <v>560</v>
      </c>
      <c r="C8" s="50">
        <v>1</v>
      </c>
      <c r="D8" s="50" t="s">
        <v>127</v>
      </c>
      <c r="E8" s="51" t="s">
        <v>384</v>
      </c>
      <c r="F8" s="51" t="s">
        <v>550</v>
      </c>
      <c r="G8" s="63" t="str">
        <f t="shared" si="16"/>
        <v>[effect:enemy_message, val1:1.2, val2:1.4]</v>
      </c>
      <c r="H8" s="63">
        <f t="shared" si="17"/>
        <v>9</v>
      </c>
      <c r="I8" s="63">
        <f t="shared" si="18"/>
        <v>22</v>
      </c>
      <c r="J8" s="63" t="e">
        <f t="shared" si="19"/>
        <v>#VALUE!</v>
      </c>
      <c r="K8" s="63">
        <f t="shared" si="20"/>
        <v>32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si="21"/>
        <v>[effect:virus, target:unit_all, turn:2, rate:1, val:0.3, animation:enemy_virus]</v>
      </c>
      <c r="N8" s="48" t="str">
        <f t="shared" si="22"/>
        <v>[effect:virus, target:unit_all, turn:2, rate:1, val:0.3, animation:enemy_virus]</v>
      </c>
      <c r="O8" s="63">
        <f t="shared" si="23"/>
        <v>9</v>
      </c>
      <c r="P8" s="63">
        <f t="shared" si="24"/>
        <v>14</v>
      </c>
      <c r="Q8" s="63">
        <f t="shared" si="25"/>
        <v>23</v>
      </c>
      <c r="R8" s="63">
        <f t="shared" si="26"/>
        <v>31</v>
      </c>
      <c r="S8" s="63" t="str">
        <f>IFERROR(VLOOKUP(MID(N8,Q8,R8-Q8),[5]skilldef!$C:$D,2,FALSE),"-") &amp; " / " &amp; IFERROR(VLOOKUP(MID(N8,O8,P8-O8),[5]skilldef!$A:$B,2,FALSE),"-")</f>
        <v>味方全体に / ウィルス</v>
      </c>
      <c r="T8" s="48" t="str">
        <f t="shared" si="27"/>
        <v>none</v>
      </c>
      <c r="U8" s="63" t="e">
        <f t="shared" si="28"/>
        <v>#VALUE!</v>
      </c>
      <c r="V8" s="63">
        <f t="shared" si="29"/>
        <v>4</v>
      </c>
      <c r="W8" s="63" t="e">
        <f t="shared" si="30"/>
        <v>#VALUE!</v>
      </c>
      <c r="X8" s="63" t="e">
        <f t="shared" si="31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1"/>
      <c r="AA8" s="52"/>
      <c r="AB8" s="51" t="s">
        <v>421</v>
      </c>
      <c r="AC8" s="51" t="s">
        <v>258</v>
      </c>
    </row>
    <row r="9" spans="1:29" ht="112" x14ac:dyDescent="0.15">
      <c r="A9" s="47">
        <v>48501008</v>
      </c>
      <c r="B9" s="106" t="s">
        <v>473</v>
      </c>
      <c r="C9" s="50">
        <v>1</v>
      </c>
      <c r="D9" s="50" t="s">
        <v>127</v>
      </c>
      <c r="E9" s="51" t="s">
        <v>385</v>
      </c>
      <c r="F9" s="51" t="s">
        <v>463</v>
      </c>
      <c r="G9" s="63" t="str">
        <f t="shared" si="16"/>
        <v>[effect:enemy_message, val1:1.2, val2:1.8]</v>
      </c>
      <c r="H9" s="63">
        <f t="shared" si="17"/>
        <v>9</v>
      </c>
      <c r="I9" s="63">
        <f t="shared" si="18"/>
        <v>22</v>
      </c>
      <c r="J9" s="63" t="e">
        <f t="shared" si="19"/>
        <v>#VALUE!</v>
      </c>
      <c r="K9" s="63">
        <f t="shared" si="20"/>
        <v>32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si="21"/>
        <v>[effect:break_enchance_enemy, target:myself, val:100, lowest_val:500, count:-1, status:defense, turn:4, block01:block_red, calc:add, animation:enemy_enhance_defense],[effect:fix_speed, target:myself, turn:2]</v>
      </c>
      <c r="N9" s="48" t="str">
        <f>IFERROR(LEFT(M9,FIND("],",M9)+#REF!),M9)</f>
        <v>[effect:break_enchance_enemy, target:myself, val:100, lowest_val:500, count:-1, status:defense, turn:4, block01:block_red, calc:add, animation:enemy_enhance_defense],[effect:fix_speed, target:myself, turn:2]</v>
      </c>
      <c r="O9" s="63">
        <f t="shared" si="23"/>
        <v>9</v>
      </c>
      <c r="P9" s="63">
        <f t="shared" si="24"/>
        <v>29</v>
      </c>
      <c r="Q9" s="63">
        <f t="shared" si="25"/>
        <v>38</v>
      </c>
      <c r="R9" s="63">
        <f t="shared" si="26"/>
        <v>44</v>
      </c>
      <c r="S9" s="63" t="str">
        <f>IFERROR(VLOOKUP(MID(N9,Q9,R9-Q9),[5]skilldef!$C:$D,2,FALSE),"-") &amp; " / " &amp; IFERROR(VLOOKUP(MID(N9,O9,P9-O9),[5]skilldef!$A:$B,2,FALSE),"-")</f>
        <v>自分自身に / -</v>
      </c>
      <c r="T9" s="48" t="str">
        <f t="shared" si="27"/>
        <v>[effect:fix_speed, target:myself, turn:2]</v>
      </c>
      <c r="U9" s="63">
        <f t="shared" si="28"/>
        <v>9</v>
      </c>
      <c r="V9" s="63">
        <f t="shared" si="29"/>
        <v>18</v>
      </c>
      <c r="W9" s="63">
        <f t="shared" si="30"/>
        <v>27</v>
      </c>
      <c r="X9" s="63">
        <f t="shared" si="31"/>
        <v>33</v>
      </c>
      <c r="Y9" s="63" t="str">
        <f>IFERROR(VLOOKUP(MID(T9,W9,X9-W9),[5]skilldef!$C:$D,2,FALSE),"-") &amp; " / " &amp; IFERROR(VLOOKUP(MID(T9,U9,V9-U9),[5]skilldef!$A:$B,2,FALSE),"-")</f>
        <v>自分自身に / 行動値設定</v>
      </c>
      <c r="Z9" s="51"/>
      <c r="AA9" s="52"/>
      <c r="AB9" s="51" t="s">
        <v>363</v>
      </c>
      <c r="AC9" s="51" t="s">
        <v>314</v>
      </c>
    </row>
    <row r="10" spans="1:29" ht="21" customHeight="1" x14ac:dyDescent="0.15">
      <c r="A10" s="47">
        <v>48501009</v>
      </c>
      <c r="B10" s="47" t="s">
        <v>504</v>
      </c>
      <c r="C10" s="50">
        <v>1</v>
      </c>
      <c r="D10" s="50" t="s">
        <v>127</v>
      </c>
      <c r="E10" s="51" t="s">
        <v>386</v>
      </c>
      <c r="F10" s="51" t="s">
        <v>319</v>
      </c>
      <c r="G10" s="63" t="str">
        <f t="shared" si="16"/>
        <v>[effect:enemy_message, val1:1.2, val2:1.6]</v>
      </c>
      <c r="H10" s="63">
        <f t="shared" si="17"/>
        <v>9</v>
      </c>
      <c r="I10" s="63">
        <f t="shared" si="18"/>
        <v>22</v>
      </c>
      <c r="J10" s="63" t="e">
        <f t="shared" si="19"/>
        <v>#VALUE!</v>
      </c>
      <c r="K10" s="63">
        <f t="shared" si="20"/>
        <v>32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si="21"/>
        <v>[effect:force_change_block, new_block:jammer, target:block_all, ignore01:crash, ignore02:crack_bomb, ignore03:color_break, ignore04:jammer, ignore05:magnet, count:2, val:0, animation:change_block]</v>
      </c>
      <c r="N10" s="48" t="str">
        <f>IFERROR(LEFT(M10,FIND("],",M10)+S21),M10)</f>
        <v>[effect:force_change_block, new_block:jammer, target:block_all, ignore01:crash, ignore02:crack_bomb, ignore03:color_break, ignore04:jammer, ignore05:magnet, count:2, val:0, animation:change_block]</v>
      </c>
      <c r="O10" s="63">
        <f t="shared" si="23"/>
        <v>9</v>
      </c>
      <c r="P10" s="63">
        <f t="shared" si="24"/>
        <v>27</v>
      </c>
      <c r="Q10" s="63">
        <f t="shared" si="25"/>
        <v>54</v>
      </c>
      <c r="R10" s="63">
        <f t="shared" si="26"/>
        <v>45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 t="shared" si="27"/>
        <v>none</v>
      </c>
      <c r="U10" s="63" t="e">
        <f t="shared" si="28"/>
        <v>#VALUE!</v>
      </c>
      <c r="V10" s="63">
        <f t="shared" si="29"/>
        <v>4</v>
      </c>
      <c r="W10" s="63" t="e">
        <f t="shared" si="30"/>
        <v>#VALUE!</v>
      </c>
      <c r="X10" s="63" t="e">
        <f t="shared" si="31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1"/>
      <c r="AA10" s="52"/>
      <c r="AB10" s="51" t="s">
        <v>364</v>
      </c>
      <c r="AC10" s="51" t="s">
        <v>319</v>
      </c>
    </row>
    <row r="11" spans="1:29" ht="21" customHeight="1" x14ac:dyDescent="0.15">
      <c r="A11" s="47">
        <v>48501010</v>
      </c>
      <c r="B11" s="47" t="s">
        <v>505</v>
      </c>
      <c r="C11" s="50">
        <v>1</v>
      </c>
      <c r="D11" s="50" t="s">
        <v>127</v>
      </c>
      <c r="E11" s="51" t="s">
        <v>387</v>
      </c>
      <c r="F11" s="51" t="s">
        <v>320</v>
      </c>
      <c r="G11" s="63" t="str">
        <f t="shared" ref="G11" si="32">IFERROR(LEFT(B11,FIND("],",B11)),B11)</f>
        <v>[effect:enemy_message, val1:1.2, val2:1.6]</v>
      </c>
      <c r="H11" s="63">
        <f t="shared" si="17"/>
        <v>9</v>
      </c>
      <c r="I11" s="63">
        <f t="shared" ref="I11" si="33">IFERROR(FIND(",",G11),LEN(G11))</f>
        <v>22</v>
      </c>
      <c r="J11" s="63" t="e">
        <f t="shared" ref="J11" si="34">FIND("target:",G11)+7</f>
        <v>#VALUE!</v>
      </c>
      <c r="K11" s="63">
        <f t="shared" ref="K11" si="35">FIND(",",G11,I11+1)</f>
        <v>32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ref="M11" si="36">IFERROR(RIGHT(B11,LEN(B11)-FIND("],",B11)-1),"none")</f>
        <v>[effect:force_change_block, new_block:jammer, target:block_all, ignore01:crash, ignore02:crack_bomb, ignore03:color_break, ignore04:jammer, ignore05:magnet, count:3, val:0, animation:change_block]</v>
      </c>
      <c r="N11" s="48" t="str">
        <f>IFERROR(LEFT(M11,FIND("],",M11)+S22),M11)</f>
        <v>[effect:force_change_block, new_block:jammer, target:block_all, ignore01:crash, ignore02:crack_bomb, ignore03:color_break, ignore04:jammer, ignore05:magnet, count:3, val:0, animation:change_block]</v>
      </c>
      <c r="O11" s="63">
        <f t="shared" si="23"/>
        <v>9</v>
      </c>
      <c r="P11" s="63">
        <f t="shared" ref="P11" si="37">IFERROR(FIND(",",N11),LEN(N11))</f>
        <v>27</v>
      </c>
      <c r="Q11" s="63">
        <f t="shared" ref="Q11" si="38">FIND("target:",N11)+7</f>
        <v>54</v>
      </c>
      <c r="R11" s="63">
        <f t="shared" ref="R11" si="39">FIND(",",N11,P11+1)</f>
        <v>45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ref="T11" si="40">IFERROR(RIGHT(M11,LEN(M11)-FIND("],",M11)-1),"none")</f>
        <v>none</v>
      </c>
      <c r="U11" s="63" t="e">
        <f t="shared" si="28"/>
        <v>#VALUE!</v>
      </c>
      <c r="V11" s="63">
        <f t="shared" ref="V11" si="41">IFERROR(FIND(",",T11),LEN(T11))</f>
        <v>4</v>
      </c>
      <c r="W11" s="63" t="e">
        <f t="shared" ref="W11" si="42">FIND("target:",T11)+7</f>
        <v>#VALUE!</v>
      </c>
      <c r="X11" s="63" t="e">
        <f t="shared" ref="X11" si="43">FIND(",",T11,V11+1)</f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1"/>
      <c r="AA11" s="52"/>
      <c r="AB11" s="51" t="s">
        <v>365</v>
      </c>
      <c r="AC11" s="51" t="s">
        <v>320</v>
      </c>
    </row>
    <row r="12" spans="1:29" ht="56" x14ac:dyDescent="0.15">
      <c r="A12" s="47">
        <v>48501011</v>
      </c>
      <c r="B12" s="47" t="s">
        <v>474</v>
      </c>
      <c r="C12" s="50">
        <v>1</v>
      </c>
      <c r="D12" s="50" t="s">
        <v>311</v>
      </c>
      <c r="E12" s="51" t="s">
        <v>388</v>
      </c>
      <c r="F12" s="51" t="s">
        <v>465</v>
      </c>
      <c r="G12" s="63" t="str">
        <f t="shared" ref="G12:G22" si="44">IFERROR(LEFT(B12,FIND("],",B12)),B12)</f>
        <v>[effect:enemy_message, val1:1.2, val2:1.5]</v>
      </c>
      <c r="H12" s="63">
        <f t="shared" si="17"/>
        <v>9</v>
      </c>
      <c r="I12" s="63">
        <f t="shared" ref="I12:I22" si="45">IFERROR(FIND(",",G12),LEN(G12))</f>
        <v>22</v>
      </c>
      <c r="J12" s="63" t="e">
        <f t="shared" ref="J12:J22" si="46">FIND("target:",G12)+7</f>
        <v>#VALUE!</v>
      </c>
      <c r="K12" s="63">
        <f t="shared" ref="K12:K22" si="47">FIND(",",G12,I12+1)</f>
        <v>32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ref="M12:M22" si="48">IFERROR(RIGHT(B12,LEN(B12)-FIND("],",B12)-1),"none")</f>
        <v xml:space="preserve">[effect:break_attack_fix, target:unit_all, val:130, lowest_val:1500, count:-1, color:green, block01:jammer] </v>
      </c>
      <c r="N12" s="48" t="str">
        <f>IFERROR(LEFT(M12,FIND("],",M12)+S22),M12)</f>
        <v xml:space="preserve">[effect:break_attack_fix, target:unit_all, val:130, lowest_val:1500, count:-1, color:green, block01:jammer] </v>
      </c>
      <c r="O12" s="63">
        <f t="shared" si="23"/>
        <v>9</v>
      </c>
      <c r="P12" s="63">
        <f t="shared" ref="P12:P22" si="49">IFERROR(FIND(",",N12),LEN(N12))</f>
        <v>25</v>
      </c>
      <c r="Q12" s="63">
        <f t="shared" ref="Q12:Q22" si="50">FIND("target:",N12)+7</f>
        <v>34</v>
      </c>
      <c r="R12" s="63">
        <f t="shared" ref="R12:R22" si="51">FIND(",",N12,P12+1)</f>
        <v>42</v>
      </c>
      <c r="S12" s="63" t="str">
        <f>IFERROR(VLOOKUP(MID(N12,Q12,R12-Q12),[5]skilldef!$C:$D,2,FALSE),"-") &amp; " / " &amp; IFERROR(VLOOKUP(MID(N12,O12,P12-O12),[5]skilldef!$A:$B,2,FALSE),"-")</f>
        <v>味方全体に / -</v>
      </c>
      <c r="T12" s="48" t="str">
        <f t="shared" ref="T12:T22" si="52">IFERROR(RIGHT(M12,LEN(M12)-FIND("],",M12)-1),"none")</f>
        <v>none</v>
      </c>
      <c r="U12" s="63" t="e">
        <f t="shared" si="28"/>
        <v>#VALUE!</v>
      </c>
      <c r="V12" s="63">
        <f t="shared" ref="V12:V22" si="53">IFERROR(FIND(",",T12),LEN(T12))</f>
        <v>4</v>
      </c>
      <c r="W12" s="63" t="e">
        <f t="shared" ref="W12:W22" si="54">FIND("target:",T12)+7</f>
        <v>#VALUE!</v>
      </c>
      <c r="X12" s="63" t="e">
        <f t="shared" ref="X12:X22" si="55">FIND(",",T12,V12+1)</f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1"/>
      <c r="AA12" s="52"/>
      <c r="AB12" s="51" t="s">
        <v>368</v>
      </c>
      <c r="AC12" s="51" t="s">
        <v>370</v>
      </c>
    </row>
    <row r="13" spans="1:29" ht="21" customHeight="1" x14ac:dyDescent="0.15">
      <c r="A13" s="47">
        <v>48501012</v>
      </c>
      <c r="B13" s="47" t="s">
        <v>506</v>
      </c>
      <c r="C13" s="50">
        <v>1</v>
      </c>
      <c r="D13" s="50" t="s">
        <v>127</v>
      </c>
      <c r="E13" s="51" t="s">
        <v>389</v>
      </c>
      <c r="F13" s="51" t="s">
        <v>320</v>
      </c>
      <c r="G13" s="63" t="str">
        <f t="shared" si="44"/>
        <v>[effect:enemy_message, val1:1.2, val2:1.6]</v>
      </c>
      <c r="H13" s="63">
        <f t="shared" si="17"/>
        <v>9</v>
      </c>
      <c r="I13" s="63">
        <f t="shared" si="45"/>
        <v>22</v>
      </c>
      <c r="J13" s="63" t="e">
        <f t="shared" si="46"/>
        <v>#VALUE!</v>
      </c>
      <c r="K13" s="63">
        <f t="shared" si="47"/>
        <v>32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48"/>
        <v>[effect:force_change_block, new_block:jammer, target:block_all, ignore01:crash, ignore02:crack_bomb, ignore03:color_break, ignore04:jammer, ignore05:magnet, count:3, val:0, animation:change_block]</v>
      </c>
      <c r="N13" s="48" t="str">
        <f>IFERROR(LEFT(M13,FIND("],",M13)+S24),M13)</f>
        <v>[effect:force_change_block, new_block:jammer, target:block_all, ignore01:crash, ignore02:crack_bomb, ignore03:color_break, ignore04:jammer, ignore05:magnet, count:3, val:0, animation:change_block]</v>
      </c>
      <c r="O13" s="63">
        <f t="shared" si="23"/>
        <v>9</v>
      </c>
      <c r="P13" s="63">
        <f t="shared" si="49"/>
        <v>27</v>
      </c>
      <c r="Q13" s="63">
        <f t="shared" si="50"/>
        <v>54</v>
      </c>
      <c r="R13" s="63">
        <f t="shared" si="51"/>
        <v>45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si="52"/>
        <v>none</v>
      </c>
      <c r="U13" s="63" t="e">
        <f t="shared" si="28"/>
        <v>#VALUE!</v>
      </c>
      <c r="V13" s="63">
        <f t="shared" si="53"/>
        <v>4</v>
      </c>
      <c r="W13" s="63" t="e">
        <f t="shared" si="54"/>
        <v>#VALUE!</v>
      </c>
      <c r="X13" s="63" t="e">
        <f t="shared" si="55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1"/>
      <c r="AA13" s="52"/>
      <c r="AB13" s="51" t="s">
        <v>366</v>
      </c>
      <c r="AC13" s="51" t="s">
        <v>320</v>
      </c>
    </row>
    <row r="14" spans="1:29" ht="21" customHeight="1" x14ac:dyDescent="0.15">
      <c r="A14" s="47">
        <v>48501013</v>
      </c>
      <c r="B14" s="47" t="s">
        <v>507</v>
      </c>
      <c r="C14" s="50">
        <v>1</v>
      </c>
      <c r="D14" s="50" t="s">
        <v>127</v>
      </c>
      <c r="E14" s="51" t="s">
        <v>390</v>
      </c>
      <c r="F14" s="51" t="s">
        <v>322</v>
      </c>
      <c r="G14" s="63" t="str">
        <f t="shared" si="44"/>
        <v>[effect:enemy_message, val1:1.2, val2:1.6]</v>
      </c>
      <c r="H14" s="63">
        <f t="shared" si="17"/>
        <v>9</v>
      </c>
      <c r="I14" s="63">
        <f t="shared" si="45"/>
        <v>22</v>
      </c>
      <c r="J14" s="63" t="e">
        <f t="shared" si="46"/>
        <v>#VALUE!</v>
      </c>
      <c r="K14" s="63">
        <f t="shared" si="47"/>
        <v>32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48"/>
        <v>[effect:force_change_block, new_block:jammer, target:block_all, ignore01:crash, ignore02:crack_bomb, ignore03:color_break, ignore04:jammer, ignore05:magnet, count:4, val:0, animation:change_block]</v>
      </c>
      <c r="N14" s="48" t="str">
        <f>IFERROR(LEFT(M14,FIND("],",M14)+S25),M14)</f>
        <v>[effect:force_change_block, new_block:jammer, target:block_all, ignore01:crash, ignore02:crack_bomb, ignore03:color_break, ignore04:jammer, ignore05:magnet, count:4, val:0, animation:change_block]</v>
      </c>
      <c r="O14" s="63">
        <f t="shared" si="23"/>
        <v>9</v>
      </c>
      <c r="P14" s="63">
        <f t="shared" si="49"/>
        <v>27</v>
      </c>
      <c r="Q14" s="63">
        <f t="shared" si="50"/>
        <v>54</v>
      </c>
      <c r="R14" s="63">
        <f t="shared" si="51"/>
        <v>45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si="52"/>
        <v>none</v>
      </c>
      <c r="U14" s="63" t="e">
        <f t="shared" si="28"/>
        <v>#VALUE!</v>
      </c>
      <c r="V14" s="63">
        <f t="shared" si="53"/>
        <v>4</v>
      </c>
      <c r="W14" s="63" t="e">
        <f t="shared" si="54"/>
        <v>#VALUE!</v>
      </c>
      <c r="X14" s="63" t="e">
        <f t="shared" si="55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1"/>
      <c r="AA14" s="52"/>
      <c r="AB14" s="51" t="s">
        <v>367</v>
      </c>
      <c r="AC14" s="51" t="s">
        <v>322</v>
      </c>
    </row>
    <row r="15" spans="1:29" ht="56" x14ac:dyDescent="0.15">
      <c r="A15" s="47">
        <v>48501014</v>
      </c>
      <c r="B15" s="47" t="s">
        <v>475</v>
      </c>
      <c r="C15" s="50">
        <v>1</v>
      </c>
      <c r="D15" s="50" t="s">
        <v>127</v>
      </c>
      <c r="E15" s="51" t="s">
        <v>388</v>
      </c>
      <c r="F15" s="51" t="s">
        <v>465</v>
      </c>
      <c r="G15" s="63" t="str">
        <f t="shared" ref="G15" si="56">IFERROR(LEFT(B15,FIND("],",B15)),B15)</f>
        <v>[effect:enemy_message, val1:1.2, val2:1.5]</v>
      </c>
      <c r="H15" s="63">
        <f t="shared" si="17"/>
        <v>9</v>
      </c>
      <c r="I15" s="63">
        <f t="shared" ref="I15" si="57">IFERROR(FIND(",",G15),LEN(G15))</f>
        <v>22</v>
      </c>
      <c r="J15" s="63" t="e">
        <f t="shared" ref="J15" si="58">FIND("target:",G15)+7</f>
        <v>#VALUE!</v>
      </c>
      <c r="K15" s="63">
        <f t="shared" ref="K15" si="59">FIND(",",G15,I15+1)</f>
        <v>32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ref="M15" si="60">IFERROR(RIGHT(B15,LEN(B15)-FIND("],",B15)-1),"none")</f>
        <v xml:space="preserve">[effect:break_attack_fix, target:unit_all, val:130, lowest_val:1500, count:-1, color:green, block01:jammer] </v>
      </c>
      <c r="N15" s="48" t="str">
        <f>IFERROR(LEFT(M15,FIND("],",M15)+S25),M15)</f>
        <v xml:space="preserve">[effect:break_attack_fix, target:unit_all, val:130, lowest_val:1500, count:-1, color:green, block01:jammer] </v>
      </c>
      <c r="O15" s="63">
        <f t="shared" si="23"/>
        <v>9</v>
      </c>
      <c r="P15" s="63">
        <f t="shared" ref="P15" si="61">IFERROR(FIND(",",N15),LEN(N15))</f>
        <v>25</v>
      </c>
      <c r="Q15" s="63">
        <f t="shared" ref="Q15" si="62">FIND("target:",N15)+7</f>
        <v>34</v>
      </c>
      <c r="R15" s="63">
        <f t="shared" ref="R15" si="63">FIND(",",N15,P15+1)</f>
        <v>42</v>
      </c>
      <c r="S15" s="63" t="str">
        <f>IFERROR(VLOOKUP(MID(N15,Q15,R15-Q15),[5]skilldef!$C:$D,2,FALSE),"-") &amp; " / " &amp; IFERROR(VLOOKUP(MID(N15,O15,P15-O15),[5]skilldef!$A:$B,2,FALSE),"-")</f>
        <v>味方全体に / -</v>
      </c>
      <c r="T15" s="48" t="str">
        <f t="shared" ref="T15" si="64">IFERROR(RIGHT(M15,LEN(M15)-FIND("],",M15)-1),"none")</f>
        <v>none</v>
      </c>
      <c r="U15" s="63" t="e">
        <f t="shared" si="28"/>
        <v>#VALUE!</v>
      </c>
      <c r="V15" s="63">
        <f t="shared" ref="V15" si="65">IFERROR(FIND(",",T15),LEN(T15))</f>
        <v>4</v>
      </c>
      <c r="W15" s="63" t="e">
        <f t="shared" ref="W15" si="66">FIND("target:",T15)+7</f>
        <v>#VALUE!</v>
      </c>
      <c r="X15" s="63" t="e">
        <f t="shared" ref="X15" si="67">FIND(",",T15,V15+1)</f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1"/>
      <c r="AA15" s="52"/>
      <c r="AB15" s="51" t="s">
        <v>369</v>
      </c>
      <c r="AC15" s="51" t="s">
        <v>370</v>
      </c>
    </row>
    <row r="16" spans="1:29" ht="21" customHeight="1" x14ac:dyDescent="0.15">
      <c r="A16" s="47">
        <v>48501015</v>
      </c>
      <c r="B16" s="47" t="s">
        <v>476</v>
      </c>
      <c r="C16" s="50">
        <v>1</v>
      </c>
      <c r="D16" s="50" t="s">
        <v>127</v>
      </c>
      <c r="E16" s="51" t="s">
        <v>391</v>
      </c>
      <c r="F16" s="51" t="s">
        <v>551</v>
      </c>
      <c r="G16" s="63" t="str">
        <f t="shared" si="44"/>
        <v>[effect:enemy_message, val1:1.2, val2:1.2]</v>
      </c>
      <c r="H16" s="63">
        <f t="shared" si="17"/>
        <v>9</v>
      </c>
      <c r="I16" s="63">
        <f t="shared" si="45"/>
        <v>22</v>
      </c>
      <c r="J16" s="63" t="e">
        <f t="shared" si="46"/>
        <v>#VALUE!</v>
      </c>
      <c r="K16" s="63">
        <f t="shared" si="47"/>
        <v>32</v>
      </c>
      <c r="L16" s="63" t="str">
        <f>IFERROR(VLOOKUP(MID(G16,J16,K16-J16),[5]skilldef!$C:$D,2,FALSE),"-") &amp; " / " &amp; IFERROR(VLOOKUP(MID(G16,H16,I16-H16),[5]skilldef!$A:$B,2,FALSE),"-")</f>
        <v>- / -</v>
      </c>
      <c r="M16" s="63" t="str">
        <f t="shared" si="48"/>
        <v>[effect:critical, val:1.3, animation:enemy_critical]</v>
      </c>
      <c r="N16" s="48" t="str">
        <f>IFERROR(LEFT(M16,FIND("],",M16)+S26),M16)</f>
        <v>[effect:critical, val:1.3, animation:enemy_critical]</v>
      </c>
      <c r="O16" s="63">
        <f t="shared" si="23"/>
        <v>9</v>
      </c>
      <c r="P16" s="63">
        <f t="shared" si="49"/>
        <v>17</v>
      </c>
      <c r="Q16" s="63" t="e">
        <f t="shared" si="50"/>
        <v>#VALUE!</v>
      </c>
      <c r="R16" s="63">
        <f t="shared" si="51"/>
        <v>26</v>
      </c>
      <c r="S16" s="63" t="str">
        <f>IFERROR(VLOOKUP(MID(N16,Q16,R16-Q16),[5]skilldef!$C:$D,2,FALSE),"-") &amp; " / " &amp; IFERROR(VLOOKUP(MID(N16,O16,P16-O16),[5]skilldef!$A:$B,2,FALSE),"-")</f>
        <v>- / 大攻撃</v>
      </c>
      <c r="T16" s="48" t="str">
        <f t="shared" si="52"/>
        <v>none</v>
      </c>
      <c r="U16" s="63" t="e">
        <f t="shared" si="28"/>
        <v>#VALUE!</v>
      </c>
      <c r="V16" s="63">
        <f t="shared" si="53"/>
        <v>4</v>
      </c>
      <c r="W16" s="63" t="e">
        <f t="shared" si="54"/>
        <v>#VALUE!</v>
      </c>
      <c r="X16" s="63" t="e">
        <f t="shared" si="55"/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1"/>
      <c r="AA16" s="52"/>
      <c r="AB16" s="51" t="s">
        <v>355</v>
      </c>
      <c r="AC16" s="51" t="s">
        <v>256</v>
      </c>
    </row>
    <row r="17" spans="1:29" ht="21" customHeight="1" x14ac:dyDescent="0.15">
      <c r="A17" s="47">
        <v>48501016</v>
      </c>
      <c r="B17" s="47" t="s">
        <v>477</v>
      </c>
      <c r="C17" s="50">
        <v>1</v>
      </c>
      <c r="D17" s="50" t="s">
        <v>127</v>
      </c>
      <c r="E17" s="51" t="s">
        <v>392</v>
      </c>
      <c r="F17" s="51" t="s">
        <v>464</v>
      </c>
      <c r="G17" s="63" t="str">
        <f t="shared" si="44"/>
        <v>[effect:enemy_message, val1:1.2, val2:1.2]</v>
      </c>
      <c r="H17" s="63">
        <f t="shared" si="17"/>
        <v>9</v>
      </c>
      <c r="I17" s="63">
        <f t="shared" si="45"/>
        <v>22</v>
      </c>
      <c r="J17" s="63" t="e">
        <f t="shared" si="46"/>
        <v>#VALUE!</v>
      </c>
      <c r="K17" s="63">
        <f t="shared" si="47"/>
        <v>32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si="48"/>
        <v>[effect:freq_turn, target:enemy_one, turn:-1, val:1, animation:enemy_freq_turn]</v>
      </c>
      <c r="N17" s="48" t="str">
        <f>IFERROR(LEFT(M17,FIND("],",M17)+S27),M17)</f>
        <v>[effect:freq_turn, target:enemy_one, turn:-1, val:1, animation:enemy_freq_turn]</v>
      </c>
      <c r="O17" s="63">
        <f t="shared" si="23"/>
        <v>9</v>
      </c>
      <c r="P17" s="63">
        <f t="shared" si="49"/>
        <v>18</v>
      </c>
      <c r="Q17" s="63">
        <f t="shared" si="50"/>
        <v>27</v>
      </c>
      <c r="R17" s="63">
        <f t="shared" si="51"/>
        <v>36</v>
      </c>
      <c r="S17" s="63" t="str">
        <f>IFERROR(VLOOKUP(MID(N17,Q17,R17-Q17),[5]skilldef!$C:$D,2,FALSE),"-") &amp; " / " &amp; IFERROR(VLOOKUP(MID(N17,O17,P17-O17),[5]skilldef!$A:$B,2,FALSE),"-")</f>
        <v>敵単体に / 攻撃頻度がUP</v>
      </c>
      <c r="T17" s="48" t="str">
        <f t="shared" si="52"/>
        <v>none</v>
      </c>
      <c r="U17" s="63" t="e">
        <f t="shared" si="28"/>
        <v>#VALUE!</v>
      </c>
      <c r="V17" s="63">
        <f t="shared" si="53"/>
        <v>4</v>
      </c>
      <c r="W17" s="63" t="e">
        <f t="shared" si="54"/>
        <v>#VALUE!</v>
      </c>
      <c r="X17" s="63" t="e">
        <f t="shared" si="55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1"/>
      <c r="AA17" s="52"/>
      <c r="AB17" s="51" t="s">
        <v>356</v>
      </c>
      <c r="AC17" s="51" t="s">
        <v>321</v>
      </c>
    </row>
    <row r="18" spans="1:29" ht="40" customHeight="1" x14ac:dyDescent="0.15">
      <c r="A18" s="47">
        <v>48501017</v>
      </c>
      <c r="B18" s="47" t="s">
        <v>561</v>
      </c>
      <c r="C18" s="50">
        <v>1</v>
      </c>
      <c r="D18" s="50" t="s">
        <v>127</v>
      </c>
      <c r="E18" s="51" t="s">
        <v>419</v>
      </c>
      <c r="F18" s="51" t="s">
        <v>552</v>
      </c>
      <c r="G18" s="63" t="str">
        <f t="shared" ref="G18" si="68">IFERROR(LEFT(B18,FIND("],",B18)),B18)</f>
        <v>[effect:enemy_message, val1:1.5, val2:3.1]</v>
      </c>
      <c r="H18" s="63">
        <f t="shared" ref="H18" si="69">FIND("effect:",G18)+7</f>
        <v>9</v>
      </c>
      <c r="I18" s="63">
        <f t="shared" ref="I18" si="70">IFERROR(FIND(",",G18),LEN(G18))</f>
        <v>22</v>
      </c>
      <c r="J18" s="63" t="e">
        <f t="shared" ref="J18" si="71">FIND("target:",G18)+7</f>
        <v>#VALUE!</v>
      </c>
      <c r="K18" s="63">
        <f t="shared" ref="K18" si="72">FIND(",",G18,I18+1)</f>
        <v>32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ref="M18" si="73">IFERROR(RIGHT(B18,LEN(B18)-FIND("],",B18)-1),"none")</f>
        <v>[effect:force_change_block, new_block:jammer, target:block_all, ignore01:crash, ignore02:crack_bomb, ignore03:color_break, ignore04:jammer, ignore05:magnet, count:5, val:0, animation:change_block],[effect:virus, target:unit_all, turn:4, rate:1, val:0.1, animation:enemy_virus],[effect:fix_speed, target:myself, turn:2]</v>
      </c>
      <c r="N18" s="48" t="str">
        <f>IFERROR(LEFT(M18,FIND("],",M18)+S26),M18)</f>
        <v>[effect:force_change_block, new_block:jammer, target:block_all, ignore01:crash, ignore02:crack_bomb, ignore03:color_break, ignore04:jammer, ignore05:magnet, count:5, val:0, animation:change_block],[effect:virus, target:unit_all, turn:4, rate:1, val:0.1, animation:enemy_virus],[effect:fix_speed, target:myself, turn:2]</v>
      </c>
      <c r="O18" s="63">
        <f t="shared" ref="O18" si="74">FIND("effect:",N18)+7</f>
        <v>9</v>
      </c>
      <c r="P18" s="63">
        <f t="shared" ref="P18" si="75">IFERROR(FIND(",",N18),LEN(N18))</f>
        <v>27</v>
      </c>
      <c r="Q18" s="63">
        <f t="shared" ref="Q18" si="76">FIND("target:",N18)+7</f>
        <v>54</v>
      </c>
      <c r="R18" s="63">
        <f t="shared" ref="R18" si="77">FIND(",",N18,P18+1)</f>
        <v>45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ref="T18" si="78">IFERROR(RIGHT(M18,LEN(M18)-FIND("],",M18)-1),"none")</f>
        <v>[effect:virus, target:unit_all, turn:4, rate:1, val:0.1, animation:enemy_virus],[effect:fix_speed, target:myself, turn:2]</v>
      </c>
      <c r="U18" s="63">
        <f t="shared" ref="U18" si="79">FIND("effect:",T18)+7</f>
        <v>9</v>
      </c>
      <c r="V18" s="63">
        <f t="shared" ref="V18" si="80">IFERROR(FIND(",",T18),LEN(T18))</f>
        <v>14</v>
      </c>
      <c r="W18" s="63">
        <f t="shared" ref="W18" si="81">FIND("target:",T18)+7</f>
        <v>23</v>
      </c>
      <c r="X18" s="63">
        <f t="shared" ref="X18" si="82">FIND(",",T18,V18+1)</f>
        <v>31</v>
      </c>
      <c r="Y18" s="63" t="str">
        <f>IFERROR(VLOOKUP(MID(T18,W18,X18-W18),[5]skilldef!$C:$D,2,FALSE),"-") &amp; " / " &amp; IFERROR(VLOOKUP(MID(T18,U18,V18-U18),[5]skilldef!$A:$B,2,FALSE),"-")</f>
        <v>味方全体に / ウィルス</v>
      </c>
      <c r="Z18" s="51"/>
      <c r="AA18" s="52"/>
      <c r="AB18" s="51" t="s">
        <v>334</v>
      </c>
      <c r="AC18" s="51" t="s">
        <v>371</v>
      </c>
    </row>
    <row r="19" spans="1:29" ht="33" customHeight="1" x14ac:dyDescent="0.15">
      <c r="A19" s="47">
        <v>48501018</v>
      </c>
      <c r="B19" s="47" t="s">
        <v>562</v>
      </c>
      <c r="C19" s="50">
        <v>1</v>
      </c>
      <c r="D19" s="50" t="s">
        <v>127</v>
      </c>
      <c r="E19" s="51" t="s">
        <v>415</v>
      </c>
      <c r="F19" s="51" t="s">
        <v>552</v>
      </c>
      <c r="G19" s="63" t="str">
        <f t="shared" ref="G19" si="83">IFERROR(LEFT(B19,FIND("],",B19)),B19)</f>
        <v>[effect:enemy_message, val1:2.0, val2:3.1]</v>
      </c>
      <c r="H19" s="63">
        <f t="shared" ref="H19" si="84">FIND("effect:",G19)+7</f>
        <v>9</v>
      </c>
      <c r="I19" s="63">
        <f t="shared" ref="I19" si="85">IFERROR(FIND(",",G19),LEN(G19))</f>
        <v>22</v>
      </c>
      <c r="J19" s="63" t="e">
        <f t="shared" ref="J19" si="86">FIND("target:",G19)+7</f>
        <v>#VALUE!</v>
      </c>
      <c r="K19" s="63">
        <f t="shared" ref="K19" si="87">FIND(",",G19,I19+1)</f>
        <v>32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ref="M19" si="88">IFERROR(RIGHT(B19,LEN(B19)-FIND("],",B19)-1),"none")</f>
        <v>[effect:force_change_block, new_block:jammer, target:block_all, ignore01:crash, ignore02:crack_bomb, ignore03:color_break, ignore04:jammer, ignore05:magnet, count:5, val:0, animation:change_block],[effect:virus, target:unit_all, turn:4, rate:1, val:0.1, animation:enemy_virus],[effect:fix_speed, target:myself, turn:2]</v>
      </c>
      <c r="N19" s="48" t="str">
        <f>IFERROR(LEFT(M19,FIND("],",M19)+S27),M19)</f>
        <v>[effect:force_change_block, new_block:jammer, target:block_all, ignore01:crash, ignore02:crack_bomb, ignore03:color_break, ignore04:jammer, ignore05:magnet, count:5, val:0, animation:change_block],[effect:virus, target:unit_all, turn:4, rate:1, val:0.1, animation:enemy_virus],[effect:fix_speed, target:myself, turn:2]</v>
      </c>
      <c r="O19" s="63">
        <f t="shared" ref="O19" si="89">FIND("effect:",N19)+7</f>
        <v>9</v>
      </c>
      <c r="P19" s="63">
        <f t="shared" ref="P19" si="90">IFERROR(FIND(",",N19),LEN(N19))</f>
        <v>27</v>
      </c>
      <c r="Q19" s="63">
        <f t="shared" ref="Q19" si="91">FIND("target:",N19)+7</f>
        <v>54</v>
      </c>
      <c r="R19" s="63">
        <f t="shared" ref="R19" si="92">FIND(",",N19,P19+1)</f>
        <v>45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ref="T19" si="93">IFERROR(RIGHT(M19,LEN(M19)-FIND("],",M19)-1),"none")</f>
        <v>[effect:virus, target:unit_all, turn:4, rate:1, val:0.1, animation:enemy_virus],[effect:fix_speed, target:myself, turn:2]</v>
      </c>
      <c r="U19" s="63">
        <f t="shared" ref="U19" si="94">FIND("effect:",T19)+7</f>
        <v>9</v>
      </c>
      <c r="V19" s="63">
        <f t="shared" ref="V19" si="95">IFERROR(FIND(",",T19),LEN(T19))</f>
        <v>14</v>
      </c>
      <c r="W19" s="63">
        <f t="shared" ref="W19" si="96">FIND("target:",T19)+7</f>
        <v>23</v>
      </c>
      <c r="X19" s="63">
        <f t="shared" ref="X19" si="97">FIND(",",T19,V19+1)</f>
        <v>31</v>
      </c>
      <c r="Y19" s="63" t="str">
        <f>IFERROR(VLOOKUP(MID(T19,W19,X19-W19),[5]skilldef!$C:$D,2,FALSE),"-") &amp; " / " &amp; IFERROR(VLOOKUP(MID(T19,U19,V19-U19),[5]skilldef!$A:$B,2,FALSE),"-")</f>
        <v>味方全体に / ウィルス</v>
      </c>
      <c r="Z19" s="51"/>
      <c r="AA19" s="52"/>
      <c r="AB19" s="51" t="s">
        <v>335</v>
      </c>
      <c r="AC19" s="51" t="s">
        <v>371</v>
      </c>
    </row>
    <row r="20" spans="1:29" ht="60" customHeight="1" x14ac:dyDescent="0.15">
      <c r="A20" s="47">
        <v>48501019</v>
      </c>
      <c r="B20" s="47" t="s">
        <v>563</v>
      </c>
      <c r="C20" s="50">
        <v>1</v>
      </c>
      <c r="D20" s="50" t="s">
        <v>127</v>
      </c>
      <c r="E20" s="51" t="s">
        <v>393</v>
      </c>
      <c r="F20" s="51" t="s">
        <v>552</v>
      </c>
      <c r="G20" s="63" t="str">
        <f t="shared" ref="G20" si="98">IFERROR(LEFT(B20,FIND("],",B20)),B20)</f>
        <v>[effect:enemy_message, val1:2.0, val2:3.1]</v>
      </c>
      <c r="H20" s="63">
        <f t="shared" ref="H20" si="99">FIND("effect:",G20)+7</f>
        <v>9</v>
      </c>
      <c r="I20" s="63">
        <f t="shared" ref="I20" si="100">IFERROR(FIND(",",G20),LEN(G20))</f>
        <v>22</v>
      </c>
      <c r="J20" s="63" t="e">
        <f t="shared" ref="J20" si="101">FIND("target:",G20)+7</f>
        <v>#VALUE!</v>
      </c>
      <c r="K20" s="63">
        <f t="shared" ref="K20" si="102">FIND(",",G20,I20+1)</f>
        <v>32</v>
      </c>
      <c r="L20" s="63" t="str">
        <f>IFERROR(VLOOKUP(MID(G20,J20,K20-J20),[5]skilldef!$C:$D,2,FALSE),"-") &amp; " / " &amp; IFERROR(VLOOKUP(MID(G20,H20,I20-H20),[5]skilldef!$A:$B,2,FALSE),"-")</f>
        <v>- / -</v>
      </c>
      <c r="M20" s="63" t="str">
        <f t="shared" ref="M20" si="103">IFERROR(RIGHT(B20,LEN(B20)-FIND("],",B20)-1),"none")</f>
        <v>[effect:force_change_block, new_block:jammer, target:block_all, ignore01:crash, ignore02:crack_bomb, ignore03:color_break, ignore04:jammer, ignore05:magnet, count:5, val:0, animation:change_block],[effect:virus, target:unit_all, turn:4, rate:1, val:0.1, animation:enemy_virus],[effect:fix_speed, target:myself, turn:2]</v>
      </c>
      <c r="N20" s="48" t="str">
        <f>IFERROR(LEFT(M20,FIND("],",M20)+S28),M20)</f>
        <v>[effect:force_change_block, new_block:jammer, target:block_all, ignore01:crash, ignore02:crack_bomb, ignore03:color_break, ignore04:jammer, ignore05:magnet, count:5, val:0, animation:change_block],[effect:virus, target:unit_all, turn:4, rate:1, val:0.1, animation:enemy_virus],[effect:fix_speed, target:myself, turn:2]</v>
      </c>
      <c r="O20" s="63">
        <f t="shared" ref="O20" si="104">FIND("effect:",N20)+7</f>
        <v>9</v>
      </c>
      <c r="P20" s="63">
        <f t="shared" ref="P20" si="105">IFERROR(FIND(",",N20),LEN(N20))</f>
        <v>27</v>
      </c>
      <c r="Q20" s="63">
        <f t="shared" ref="Q20" si="106">FIND("target:",N20)+7</f>
        <v>54</v>
      </c>
      <c r="R20" s="63">
        <f t="shared" ref="R20" si="107">FIND(",",N20,P20+1)</f>
        <v>45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ref="T20" si="108">IFERROR(RIGHT(M20,LEN(M20)-FIND("],",M20)-1),"none")</f>
        <v>[effect:virus, target:unit_all, turn:4, rate:1, val:0.1, animation:enemy_virus],[effect:fix_speed, target:myself, turn:2]</v>
      </c>
      <c r="U20" s="63">
        <f t="shared" ref="U20" si="109">FIND("effect:",T20)+7</f>
        <v>9</v>
      </c>
      <c r="V20" s="63">
        <f t="shared" ref="V20" si="110">IFERROR(FIND(",",T20),LEN(T20))</f>
        <v>14</v>
      </c>
      <c r="W20" s="63">
        <f t="shared" ref="W20" si="111">FIND("target:",T20)+7</f>
        <v>23</v>
      </c>
      <c r="X20" s="63">
        <f t="shared" ref="X20" si="112">FIND(",",T20,V20+1)</f>
        <v>31</v>
      </c>
      <c r="Y20" s="63" t="str">
        <f>IFERROR(VLOOKUP(MID(T20,W20,X20-W20),[5]skilldef!$C:$D,2,FALSE),"-") &amp; " / " &amp; IFERROR(VLOOKUP(MID(T20,U20,V20-U20),[5]skilldef!$A:$B,2,FALSE),"-")</f>
        <v>味方全体に / ウィルス</v>
      </c>
      <c r="Z20" s="51"/>
      <c r="AA20" s="52"/>
      <c r="AB20" s="51" t="s">
        <v>336</v>
      </c>
      <c r="AC20" s="51" t="s">
        <v>371</v>
      </c>
    </row>
    <row r="21" spans="1:29" ht="126" x14ac:dyDescent="0.15">
      <c r="A21" s="47">
        <v>48501020</v>
      </c>
      <c r="B21" s="47" t="s">
        <v>478</v>
      </c>
      <c r="C21" s="50">
        <v>1</v>
      </c>
      <c r="D21" s="50" t="s">
        <v>127</v>
      </c>
      <c r="E21" s="51" t="s">
        <v>395</v>
      </c>
      <c r="F21" s="51" t="s">
        <v>323</v>
      </c>
      <c r="G21" s="63" t="str">
        <f t="shared" si="44"/>
        <v>[effect:enemy_message, val1:1.2, val2:2.9]</v>
      </c>
      <c r="H21" s="63">
        <f t="shared" si="17"/>
        <v>9</v>
      </c>
      <c r="I21" s="63">
        <f t="shared" si="45"/>
        <v>22</v>
      </c>
      <c r="J21" s="63" t="e">
        <f t="shared" si="46"/>
        <v>#VALUE!</v>
      </c>
      <c r="K21" s="63">
        <f t="shared" si="47"/>
        <v>32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48"/>
        <v>[effect:break_enchance_enemy, target:myself, val:0.2, lowest_val:0.01, count:-1, status:attack, turn:2, block01:jammer, calc:add, animation:enemy_enhance_attack],[effect:freq_turn, target:myself, turn:2, val:1, animation:enemy_freq_turn]</v>
      </c>
      <c r="N21" s="48" t="str">
        <f t="shared" ref="N21:N22" si="113">IFERROR(LEFT(M21,FIND("],",M21)+S29),M21)</f>
        <v>[effect:break_enchance_enemy, target:myself, val:0.2, lowest_val:0.01, count:-1, status:attack, turn:2, block01:jammer, calc:add, animation:enemy_enhance_attack],[effect:freq_turn, target:myself, turn:2, val:1, animation:enemy_freq_turn]</v>
      </c>
      <c r="O21" s="63">
        <f t="shared" si="23"/>
        <v>9</v>
      </c>
      <c r="P21" s="63">
        <f t="shared" si="49"/>
        <v>29</v>
      </c>
      <c r="Q21" s="63">
        <f t="shared" si="50"/>
        <v>38</v>
      </c>
      <c r="R21" s="63">
        <f t="shared" si="51"/>
        <v>44</v>
      </c>
      <c r="S21" s="63" t="str">
        <f>IFERROR(VLOOKUP(MID(N21,Q21,R21-Q21),[5]skilldef!$C:$D,2,FALSE),"-") &amp; " / " &amp; IFERROR(VLOOKUP(MID(N21,O21,P21-O21),[5]skilldef!$A:$B,2,FALSE),"-")</f>
        <v>自分自身に / -</v>
      </c>
      <c r="T21" s="48" t="str">
        <f t="shared" si="52"/>
        <v>[effect:freq_turn, target:myself, turn:2, val:1, animation:enemy_freq_turn]</v>
      </c>
      <c r="U21" s="63">
        <f t="shared" si="28"/>
        <v>9</v>
      </c>
      <c r="V21" s="63">
        <f t="shared" si="53"/>
        <v>18</v>
      </c>
      <c r="W21" s="63">
        <f t="shared" si="54"/>
        <v>27</v>
      </c>
      <c r="X21" s="63">
        <f t="shared" si="55"/>
        <v>33</v>
      </c>
      <c r="Y21" s="63" t="str">
        <f>IFERROR(VLOOKUP(MID(T21,W21,X21-W21),[5]skilldef!$C:$D,2,FALSE),"-") &amp; " / " &amp; IFERROR(VLOOKUP(MID(T21,U21,V21-U21),[5]skilldef!$A:$B,2,FALSE),"-")</f>
        <v>自分自身に / 攻撃頻度がUP</v>
      </c>
      <c r="Z21" s="51"/>
      <c r="AA21" s="52"/>
      <c r="AB21" s="51" t="s">
        <v>281</v>
      </c>
      <c r="AC21" s="51" t="s">
        <v>323</v>
      </c>
    </row>
    <row r="22" spans="1:29" ht="33" customHeight="1" x14ac:dyDescent="0.15">
      <c r="A22" s="47">
        <v>48501021</v>
      </c>
      <c r="B22" s="47" t="s">
        <v>479</v>
      </c>
      <c r="C22" s="50">
        <v>1</v>
      </c>
      <c r="D22" s="50" t="s">
        <v>127</v>
      </c>
      <c r="E22" s="51" t="s">
        <v>394</v>
      </c>
      <c r="F22" s="51" t="s">
        <v>324</v>
      </c>
      <c r="G22" s="63" t="str">
        <f t="shared" si="44"/>
        <v>[effect:enemy_message, val1:2.0, val2:2.3]</v>
      </c>
      <c r="H22" s="63">
        <f t="shared" si="17"/>
        <v>9</v>
      </c>
      <c r="I22" s="63">
        <f t="shared" si="45"/>
        <v>22</v>
      </c>
      <c r="J22" s="63" t="e">
        <f t="shared" si="46"/>
        <v>#VALUE!</v>
      </c>
      <c r="K22" s="63">
        <f t="shared" si="47"/>
        <v>32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48"/>
        <v>[effect:damage_anti_tribe, target:unit_all, tribe:human, val1:1, val2:0.23]</v>
      </c>
      <c r="N22" s="48" t="str">
        <f t="shared" si="113"/>
        <v>[effect:damage_anti_tribe, target:unit_all, tribe:human, val1:1, val2:0.23]</v>
      </c>
      <c r="O22" s="63">
        <f t="shared" si="23"/>
        <v>9</v>
      </c>
      <c r="P22" s="63">
        <f t="shared" si="49"/>
        <v>26</v>
      </c>
      <c r="Q22" s="63">
        <f t="shared" si="50"/>
        <v>35</v>
      </c>
      <c r="R22" s="63">
        <f t="shared" si="51"/>
        <v>43</v>
      </c>
      <c r="S22" s="63" t="str">
        <f>IFERROR(VLOOKUP(MID(N22,Q22,R22-Q22),[5]skilldef!$C:$D,2,FALSE),"-") &amp; " / " &amp; IFERROR(VLOOKUP(MID(N22,O22,P22-O22),[5]skilldef!$A:$B,2,FALSE),"-")</f>
        <v>味方全体に / 種族キラー</v>
      </c>
      <c r="T22" s="48" t="str">
        <f t="shared" si="52"/>
        <v>none</v>
      </c>
      <c r="U22" s="63" t="e">
        <f t="shared" si="28"/>
        <v>#VALUE!</v>
      </c>
      <c r="V22" s="63">
        <f t="shared" si="53"/>
        <v>4</v>
      </c>
      <c r="W22" s="63" t="e">
        <f t="shared" si="54"/>
        <v>#VALUE!</v>
      </c>
      <c r="X22" s="63" t="e">
        <f t="shared" si="55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1"/>
      <c r="AA22" s="52"/>
      <c r="AB22" s="51" t="s">
        <v>372</v>
      </c>
      <c r="AC22" s="51" t="s">
        <v>324</v>
      </c>
    </row>
    <row r="23" spans="1:29" ht="21" customHeight="1" x14ac:dyDescent="0.15">
      <c r="A23" s="47">
        <v>48501022</v>
      </c>
      <c r="B23" s="47" t="s">
        <v>564</v>
      </c>
      <c r="C23" s="50">
        <v>1</v>
      </c>
      <c r="D23" s="50" t="s">
        <v>127</v>
      </c>
      <c r="E23" s="51" t="s">
        <v>396</v>
      </c>
      <c r="F23" s="51" t="s">
        <v>553</v>
      </c>
      <c r="G23" s="63" t="str">
        <f t="shared" ref="G23:G28" si="114">IFERROR(LEFT(B23,FIND("],",B23)),B23)</f>
        <v>[effect:enemy_message, val1:1.5, val2:2.0]</v>
      </c>
      <c r="H23" s="63">
        <f t="shared" si="17"/>
        <v>9</v>
      </c>
      <c r="I23" s="63">
        <f t="shared" ref="I23:I28" si="115">IFERROR(FIND(",",G23),LEN(G23))</f>
        <v>22</v>
      </c>
      <c r="J23" s="63" t="e">
        <f t="shared" ref="J23:J28" si="116">FIND("target:",G23)+7</f>
        <v>#VALUE!</v>
      </c>
      <c r="K23" s="63">
        <f t="shared" ref="K23:K28" si="117">FIND(",",G23,I23+1)</f>
        <v>32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ref="M23:M28" si="118">IFERROR(RIGHT(B23,LEN(B23)-FIND("],",B23)-1),"none")</f>
        <v>[effect:degrade_unit, target:unit_all, turn:4, status:heal, val:0.5, calc:mul, animation:degrade_unit_all_heal]</v>
      </c>
      <c r="N23" s="48" t="str">
        <f t="shared" ref="N23:N25" si="119">IFERROR(LEFT(M23,FIND("],",M23)+S31),M23)</f>
        <v>[effect:degrade_unit, target:unit_all, turn:4, status:heal, val:0.5, calc:mul, animation:degrade_unit_all_heal]</v>
      </c>
      <c r="O23" s="63">
        <f t="shared" si="23"/>
        <v>9</v>
      </c>
      <c r="P23" s="63">
        <f t="shared" ref="P23:P28" si="120">IFERROR(FIND(",",N23),LEN(N23))</f>
        <v>21</v>
      </c>
      <c r="Q23" s="63">
        <f t="shared" ref="Q23:Q28" si="121">FIND("target:",N23)+7</f>
        <v>30</v>
      </c>
      <c r="R23" s="63">
        <f t="shared" ref="R23:R28" si="122">FIND(",",N23,P23+1)</f>
        <v>38</v>
      </c>
      <c r="S23" s="63" t="str">
        <f>IFERROR(VLOOKUP(MID(N23,Q23,R23-Q23),[5]skilldef!$C:$D,2,FALSE),"-") &amp; " / " &amp; IFERROR(VLOOKUP(MID(N23,O23,P23-O23),[5]skilldef!$A:$B,2,FALSE),"-")</f>
        <v>味方全体に / ステータスDOWN</v>
      </c>
      <c r="T23" s="48" t="str">
        <f t="shared" ref="T23:T28" si="123">IFERROR(RIGHT(M23,LEN(M23)-FIND("],",M23)-1),"none")</f>
        <v>none</v>
      </c>
      <c r="U23" s="63" t="e">
        <f t="shared" si="28"/>
        <v>#VALUE!</v>
      </c>
      <c r="V23" s="63">
        <f t="shared" ref="V23:V28" si="124">IFERROR(FIND(",",T23),LEN(T23))</f>
        <v>4</v>
      </c>
      <c r="W23" s="63" t="e">
        <f t="shared" ref="W23:W28" si="125">FIND("target:",T23)+7</f>
        <v>#VALUE!</v>
      </c>
      <c r="X23" s="63" t="e">
        <f t="shared" ref="X23:X28" si="126">FIND(",",T23,V23+1)</f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1"/>
      <c r="AA23" s="52"/>
      <c r="AB23" s="51" t="s">
        <v>374</v>
      </c>
      <c r="AC23" s="51" t="s">
        <v>325</v>
      </c>
    </row>
    <row r="24" spans="1:29" ht="35" customHeight="1" x14ac:dyDescent="0.15">
      <c r="A24" s="47">
        <v>48501023</v>
      </c>
      <c r="B24" s="47" t="s">
        <v>480</v>
      </c>
      <c r="C24" s="50">
        <v>1</v>
      </c>
      <c r="D24" s="50" t="s">
        <v>127</v>
      </c>
      <c r="E24" s="51" t="s">
        <v>394</v>
      </c>
      <c r="F24" s="51" t="s">
        <v>324</v>
      </c>
      <c r="G24" s="63" t="str">
        <f t="shared" si="114"/>
        <v>[effect:enemy_message, val1:2.0, val2:2.3]</v>
      </c>
      <c r="H24" s="63">
        <f t="shared" si="17"/>
        <v>9</v>
      </c>
      <c r="I24" s="63">
        <f t="shared" si="115"/>
        <v>22</v>
      </c>
      <c r="J24" s="63" t="e">
        <f t="shared" si="116"/>
        <v>#VALUE!</v>
      </c>
      <c r="K24" s="63">
        <f t="shared" si="117"/>
        <v>32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118"/>
        <v>[effect:damage_anti_tribe, target:unit_all, tribe:human, val1:1, val2:0.23]</v>
      </c>
      <c r="N24" s="48" t="str">
        <f t="shared" si="119"/>
        <v>[effect:damage_anti_tribe, target:unit_all, tribe:human, val1:1, val2:0.23]</v>
      </c>
      <c r="O24" s="63">
        <f t="shared" si="23"/>
        <v>9</v>
      </c>
      <c r="P24" s="63">
        <f t="shared" si="120"/>
        <v>26</v>
      </c>
      <c r="Q24" s="63">
        <f t="shared" si="121"/>
        <v>35</v>
      </c>
      <c r="R24" s="63">
        <f t="shared" si="122"/>
        <v>43</v>
      </c>
      <c r="S24" s="63" t="str">
        <f>IFERROR(VLOOKUP(MID(N24,Q24,R24-Q24),[5]skilldef!$C:$D,2,FALSE),"-") &amp; " / " &amp; IFERROR(VLOOKUP(MID(N24,O24,P24-O24),[5]skilldef!$A:$B,2,FALSE),"-")</f>
        <v>味方全体に / 種族キラー</v>
      </c>
      <c r="T24" s="48" t="str">
        <f t="shared" si="123"/>
        <v>none</v>
      </c>
      <c r="U24" s="63" t="e">
        <f t="shared" si="28"/>
        <v>#VALUE!</v>
      </c>
      <c r="V24" s="63">
        <f t="shared" si="124"/>
        <v>4</v>
      </c>
      <c r="W24" s="63" t="e">
        <f t="shared" si="125"/>
        <v>#VALUE!</v>
      </c>
      <c r="X24" s="63" t="e">
        <f t="shared" si="126"/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1"/>
      <c r="AA24" s="52"/>
      <c r="AB24" s="51" t="s">
        <v>373</v>
      </c>
      <c r="AC24" s="51" t="s">
        <v>324</v>
      </c>
    </row>
    <row r="25" spans="1:29" ht="140" x14ac:dyDescent="0.15">
      <c r="A25" s="47">
        <v>48501024</v>
      </c>
      <c r="B25" s="47" t="s">
        <v>508</v>
      </c>
      <c r="C25" s="50">
        <v>1</v>
      </c>
      <c r="D25" s="50" t="s">
        <v>127</v>
      </c>
      <c r="E25" s="51" t="s">
        <v>397</v>
      </c>
      <c r="F25" s="51" t="s">
        <v>348</v>
      </c>
      <c r="G25" s="63" t="str">
        <f t="shared" si="114"/>
        <v>[effect:enemy_message, val1:2.2, val2:2.1]</v>
      </c>
      <c r="H25" s="63">
        <f t="shared" si="17"/>
        <v>9</v>
      </c>
      <c r="I25" s="63">
        <f t="shared" si="115"/>
        <v>22</v>
      </c>
      <c r="J25" s="63" t="e">
        <f t="shared" si="116"/>
        <v>#VALUE!</v>
      </c>
      <c r="K25" s="63">
        <f t="shared" si="117"/>
        <v>32</v>
      </c>
      <c r="L25" s="63" t="str">
        <f>IFERROR(VLOOKUP(MID(G25,J25,K25-J25),[5]skilldef!$C:$D,2,FALSE),"-") &amp; " / " &amp; IFERROR(VLOOKUP(MID(G25,H25,I25-H25),[5]skilldef!$A:$B,2,FALSE),"-")</f>
        <v>- / -</v>
      </c>
      <c r="M25" s="63" t="str">
        <f t="shared" si="118"/>
        <v xml:space="preserve">[effect:force_change_block, new_block:jammer, target:block_all, ignore01:crash, ignore02:crack_bomb, ignore03:color_break, ignore04:jammer, ignore05:magnet, count:3, val:0, animation:change_block],[effect:fix_speed, target:myself, turn:1],[effect:critical, val:1] </v>
      </c>
      <c r="N25" s="48" t="str">
        <f t="shared" si="119"/>
        <v xml:space="preserve">[effect:force_change_block, new_block:jammer, target:block_all, ignore01:crash, ignore02:crack_bomb, ignore03:color_break, ignore04:jammer, ignore05:magnet, count:3, val:0, animation:change_block],[effect:fix_speed, target:myself, turn:1],[effect:critical, val:1] </v>
      </c>
      <c r="O25" s="63">
        <f t="shared" si="23"/>
        <v>9</v>
      </c>
      <c r="P25" s="63">
        <f t="shared" si="120"/>
        <v>27</v>
      </c>
      <c r="Q25" s="63">
        <f t="shared" si="121"/>
        <v>54</v>
      </c>
      <c r="R25" s="63">
        <f t="shared" si="122"/>
        <v>45</v>
      </c>
      <c r="S25" s="63" t="str">
        <f>IFERROR(VLOOKUP(MID(N25,Q25,R25-Q25),[5]skilldef!$C:$D,2,FALSE),"-") &amp; " / " &amp; IFERROR(VLOOKUP(MID(N25,O25,P25-O25),[5]skilldef!$A:$B,2,FALSE),"-")</f>
        <v>- / -</v>
      </c>
      <c r="T25" s="48" t="str">
        <f t="shared" si="123"/>
        <v xml:space="preserve">[effect:fix_speed, target:myself, turn:1],[effect:critical, val:1] </v>
      </c>
      <c r="U25" s="63">
        <f t="shared" si="28"/>
        <v>9</v>
      </c>
      <c r="V25" s="63">
        <f t="shared" si="124"/>
        <v>18</v>
      </c>
      <c r="W25" s="63">
        <f t="shared" si="125"/>
        <v>27</v>
      </c>
      <c r="X25" s="63">
        <f t="shared" si="126"/>
        <v>33</v>
      </c>
      <c r="Y25" s="63" t="str">
        <f>IFERROR(VLOOKUP(MID(T25,W25,X25-W25),[5]skilldef!$C:$D,2,FALSE),"-") &amp; " / " &amp; IFERROR(VLOOKUP(MID(T25,U25,V25-U25),[5]skilldef!$A:$B,2,FALSE),"-")</f>
        <v>自分自身に / 行動値設定</v>
      </c>
      <c r="Z25" s="51"/>
      <c r="AA25" s="52"/>
      <c r="AB25" s="51" t="s">
        <v>288</v>
      </c>
      <c r="AC25" s="51" t="s">
        <v>348</v>
      </c>
    </row>
    <row r="26" spans="1:29" ht="39" customHeight="1" x14ac:dyDescent="0.15">
      <c r="A26" s="47">
        <v>48501025</v>
      </c>
      <c r="B26" s="47" t="s">
        <v>509</v>
      </c>
      <c r="C26" s="50">
        <v>1</v>
      </c>
      <c r="D26" s="50" t="s">
        <v>127</v>
      </c>
      <c r="E26" s="51" t="s">
        <v>398</v>
      </c>
      <c r="F26" s="51" t="s">
        <v>331</v>
      </c>
      <c r="G26" s="63" t="str">
        <f t="shared" si="114"/>
        <v>[effect:enemy_message, val1:1.2, val2:2.1]</v>
      </c>
      <c r="H26" s="63">
        <f t="shared" si="17"/>
        <v>9</v>
      </c>
      <c r="I26" s="63">
        <f t="shared" si="115"/>
        <v>22</v>
      </c>
      <c r="J26" s="63" t="e">
        <f t="shared" si="116"/>
        <v>#VALUE!</v>
      </c>
      <c r="K26" s="63">
        <f t="shared" si="117"/>
        <v>32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118"/>
        <v xml:space="preserve">[effect:force_change_block, new_block:jammer, target:block_all, ignore01:crash, ignore02:crack_bomb, ignore03:color_break, ignore04:jammer, ignore05:magnet, count:2, val:0, animation:change_block],[effect:critical, val:1] </v>
      </c>
      <c r="N26" s="48" t="str">
        <f>IFERROR(LEFT(M26,FIND("],",M26)+S37),M26)</f>
        <v xml:space="preserve">[effect:force_change_block, new_block:jammer, target:block_all, ignore01:crash, ignore02:crack_bomb, ignore03:color_break, ignore04:jammer, ignore05:magnet, count:2, val:0, animation:change_block],[effect:critical, val:1] </v>
      </c>
      <c r="O26" s="63">
        <f t="shared" si="23"/>
        <v>9</v>
      </c>
      <c r="P26" s="63">
        <f t="shared" si="120"/>
        <v>27</v>
      </c>
      <c r="Q26" s="63">
        <f t="shared" si="121"/>
        <v>54</v>
      </c>
      <c r="R26" s="63">
        <f t="shared" si="122"/>
        <v>45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si="123"/>
        <v xml:space="preserve">[effect:critical, val:1] </v>
      </c>
      <c r="U26" s="63">
        <f t="shared" si="28"/>
        <v>9</v>
      </c>
      <c r="V26" s="63">
        <f t="shared" si="124"/>
        <v>17</v>
      </c>
      <c r="W26" s="63" t="e">
        <f t="shared" si="125"/>
        <v>#VALUE!</v>
      </c>
      <c r="X26" s="63" t="e">
        <f t="shared" si="126"/>
        <v>#VALUE!</v>
      </c>
      <c r="Y26" s="63" t="str">
        <f>IFERROR(VLOOKUP(MID(T26,W26,X26-W26),[5]skilldef!$C:$D,2,FALSE),"-") &amp; " / " &amp; IFERROR(VLOOKUP(MID(T26,U26,V26-U26),[5]skilldef!$A:$B,2,FALSE),"-")</f>
        <v>- / 大攻撃</v>
      </c>
      <c r="Z26" s="51"/>
      <c r="AA26" s="52"/>
      <c r="AB26" s="51" t="s">
        <v>289</v>
      </c>
      <c r="AC26" s="51" t="s">
        <v>331</v>
      </c>
    </row>
    <row r="27" spans="1:29" ht="37" customHeight="1" x14ac:dyDescent="0.15">
      <c r="A27" s="47">
        <v>48501026</v>
      </c>
      <c r="B27" s="47" t="s">
        <v>510</v>
      </c>
      <c r="C27" s="50">
        <v>1</v>
      </c>
      <c r="D27" s="50" t="s">
        <v>127</v>
      </c>
      <c r="E27" s="51" t="s">
        <v>400</v>
      </c>
      <c r="F27" s="51" t="s">
        <v>349</v>
      </c>
      <c r="G27" s="63" t="str">
        <f t="shared" si="114"/>
        <v>[effect:enemy_message, val1:1.3, val2:2.3]</v>
      </c>
      <c r="H27" s="63">
        <f t="shared" si="17"/>
        <v>9</v>
      </c>
      <c r="I27" s="63">
        <f t="shared" si="115"/>
        <v>22</v>
      </c>
      <c r="J27" s="63" t="e">
        <f t="shared" si="116"/>
        <v>#VALUE!</v>
      </c>
      <c r="K27" s="63">
        <f t="shared" si="117"/>
        <v>32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118"/>
        <v>[effect:force_change_block, new_block:jammer, target:block_all, ignore01:crash, ignore02:crack_bomb, ignore03:color_break, ignore04:jammer, ignore05:magnet, count:3, val:0, animation:change_block],[effect:rush, count:2, val:0.6]</v>
      </c>
      <c r="N27" s="48" t="str">
        <f>IFERROR(LEFT(M27,FIND("],",M27)+S38),M27)</f>
        <v>[effect:force_change_block, new_block:jammer, target:block_all, ignore01:crash, ignore02:crack_bomb, ignore03:color_break, ignore04:jammer, ignore05:magnet, count:3, val:0, animation:change_block],[effect:rush, count:2, val:0.6]</v>
      </c>
      <c r="O27" s="63">
        <f t="shared" si="23"/>
        <v>9</v>
      </c>
      <c r="P27" s="63">
        <f t="shared" si="120"/>
        <v>27</v>
      </c>
      <c r="Q27" s="63">
        <f t="shared" si="121"/>
        <v>54</v>
      </c>
      <c r="R27" s="63">
        <f t="shared" si="122"/>
        <v>45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123"/>
        <v>[effect:rush, count:2, val:0.6]</v>
      </c>
      <c r="U27" s="63">
        <f t="shared" si="28"/>
        <v>9</v>
      </c>
      <c r="V27" s="63">
        <f t="shared" si="124"/>
        <v>13</v>
      </c>
      <c r="W27" s="63" t="e">
        <f t="shared" si="125"/>
        <v>#VALUE!</v>
      </c>
      <c r="X27" s="63">
        <f t="shared" si="126"/>
        <v>22</v>
      </c>
      <c r="Y27" s="63" t="str">
        <f>IFERROR(VLOOKUP(MID(T27,W27,X27-W27),[5]skilldef!$C:$D,2,FALSE),"-") &amp; " / " &amp; IFERROR(VLOOKUP(MID(T27,U27,V27-U27),[5]skilldef!$A:$B,2,FALSE),"-")</f>
        <v>- / 連続攻撃</v>
      </c>
      <c r="Z27" s="51"/>
      <c r="AA27" s="52"/>
      <c r="AB27" s="51" t="s">
        <v>289</v>
      </c>
      <c r="AC27" s="51" t="s">
        <v>349</v>
      </c>
    </row>
    <row r="28" spans="1:29" ht="21" customHeight="1" x14ac:dyDescent="0.15">
      <c r="A28" s="47">
        <v>48501027</v>
      </c>
      <c r="B28" s="47" t="s">
        <v>481</v>
      </c>
      <c r="C28" s="50">
        <v>1</v>
      </c>
      <c r="D28" s="50" t="s">
        <v>127</v>
      </c>
      <c r="E28" s="51" t="s">
        <v>399</v>
      </c>
      <c r="F28" s="51" t="s">
        <v>326</v>
      </c>
      <c r="G28" s="63" t="str">
        <f t="shared" si="114"/>
        <v>[effect:enemy_message, val1:1.2, val2:1.2]</v>
      </c>
      <c r="H28" s="63">
        <f t="shared" si="17"/>
        <v>9</v>
      </c>
      <c r="I28" s="63">
        <f t="shared" si="115"/>
        <v>22</v>
      </c>
      <c r="J28" s="63" t="e">
        <f t="shared" si="116"/>
        <v>#VALUE!</v>
      </c>
      <c r="K28" s="63">
        <f t="shared" si="117"/>
        <v>32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118"/>
        <v>[effect:rush, count:4, val:0.35]</v>
      </c>
      <c r="N28" s="48" t="str">
        <f>IFERROR(LEFT(M28,FIND("],",M28)+S38),M28)</f>
        <v>[effect:rush, count:4, val:0.35]</v>
      </c>
      <c r="O28" s="63">
        <f t="shared" si="23"/>
        <v>9</v>
      </c>
      <c r="P28" s="63">
        <f t="shared" si="120"/>
        <v>13</v>
      </c>
      <c r="Q28" s="63" t="e">
        <f t="shared" si="121"/>
        <v>#VALUE!</v>
      </c>
      <c r="R28" s="63">
        <f t="shared" si="122"/>
        <v>22</v>
      </c>
      <c r="S28" s="63" t="str">
        <f>IFERROR(VLOOKUP(MID(N28,Q28,R28-Q28),[5]skilldef!$C:$D,2,FALSE),"-") &amp; " / " &amp; IFERROR(VLOOKUP(MID(N28,O28,P28-O28),[5]skilldef!$A:$B,2,FALSE),"-")</f>
        <v>- / 連続攻撃</v>
      </c>
      <c r="T28" s="48" t="str">
        <f t="shared" si="123"/>
        <v>none</v>
      </c>
      <c r="U28" s="63" t="e">
        <f t="shared" si="28"/>
        <v>#VALUE!</v>
      </c>
      <c r="V28" s="63">
        <f t="shared" si="124"/>
        <v>4</v>
      </c>
      <c r="W28" s="63" t="e">
        <f t="shared" si="125"/>
        <v>#VALUE!</v>
      </c>
      <c r="X28" s="63" t="e">
        <f t="shared" si="126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1"/>
      <c r="AA28" s="52"/>
      <c r="AB28" s="51" t="s">
        <v>376</v>
      </c>
      <c r="AC28" s="51" t="s">
        <v>326</v>
      </c>
    </row>
    <row r="29" spans="1:29" ht="21" customHeight="1" x14ac:dyDescent="0.15">
      <c r="A29" s="47">
        <v>48501028</v>
      </c>
      <c r="B29" s="47" t="s">
        <v>511</v>
      </c>
      <c r="C29" s="50">
        <v>1</v>
      </c>
      <c r="D29" s="50" t="s">
        <v>127</v>
      </c>
      <c r="E29" s="51" t="s">
        <v>401</v>
      </c>
      <c r="F29" s="51" t="s">
        <v>350</v>
      </c>
      <c r="G29" s="63" t="str">
        <f t="shared" ref="G29:G32" si="127">IFERROR(LEFT(B29,FIND("],",B29)),B29)</f>
        <v>[effect:enemy_message, val1:1.7, val2:1.6]</v>
      </c>
      <c r="H29" s="63">
        <f t="shared" si="17"/>
        <v>9</v>
      </c>
      <c r="I29" s="63">
        <f t="shared" ref="I29:I32" si="128">IFERROR(FIND(",",G29),LEN(G29))</f>
        <v>22</v>
      </c>
      <c r="J29" s="63" t="e">
        <f t="shared" ref="J29:J32" si="129">FIND("target:",G29)+7</f>
        <v>#VALUE!</v>
      </c>
      <c r="K29" s="63">
        <f t="shared" ref="K29:K32" si="130">FIND(",",G29,I29+1)</f>
        <v>32</v>
      </c>
      <c r="L29" s="63" t="str">
        <f>IFERROR(VLOOKUP(MID(G29,J29,K29-J29),[5]skilldef!$C:$D,2,FALSE),"-") &amp; " / " &amp; IFERROR(VLOOKUP(MID(G29,H29,I29-H29),[5]skilldef!$A:$B,2,FALSE),"-")</f>
        <v>- / -</v>
      </c>
      <c r="M29" s="63" t="str">
        <f t="shared" ref="M29:M32" si="131">IFERROR(RIGHT(B29,LEN(B29)-FIND("],",B29)-1),"none")</f>
        <v>[effect:force_change_block, new_block:jammer, target:block_all, ignore01:crash, ignore02:crack_bomb, ignore03:color_break, ignore04:jammer, ignore05:magnet, count:5, val:0, animation:change_block],[effect:critical, val:1]</v>
      </c>
      <c r="N29" s="48" t="str">
        <f t="shared" ref="N29" si="132">IFERROR(LEFT(M29,FIND("],",M29)+S39),M29)</f>
        <v>[effect:force_change_block, new_block:jammer, target:block_all, ignore01:crash, ignore02:crack_bomb, ignore03:color_break, ignore04:jammer, ignore05:magnet, count:5, val:0, animation:change_block],[effect:critical, val:1]</v>
      </c>
      <c r="O29" s="63">
        <f t="shared" si="23"/>
        <v>9</v>
      </c>
      <c r="P29" s="63">
        <f t="shared" ref="P29:P32" si="133">IFERROR(FIND(",",N29),LEN(N29))</f>
        <v>27</v>
      </c>
      <c r="Q29" s="63">
        <f t="shared" ref="Q29:Q32" si="134">FIND("target:",N29)+7</f>
        <v>54</v>
      </c>
      <c r="R29" s="63">
        <f t="shared" ref="R29:R32" si="135">FIND(",",N29,P29+1)</f>
        <v>45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ref="T29:T32" si="136">IFERROR(RIGHT(M29,LEN(M29)-FIND("],",M29)-1),"none")</f>
        <v>[effect:critical, val:1]</v>
      </c>
      <c r="U29" s="63">
        <f t="shared" si="28"/>
        <v>9</v>
      </c>
      <c r="V29" s="63">
        <f t="shared" ref="V29:V32" si="137">IFERROR(FIND(",",T29),LEN(T29))</f>
        <v>17</v>
      </c>
      <c r="W29" s="63" t="e">
        <f t="shared" ref="W29:W32" si="138">FIND("target:",T29)+7</f>
        <v>#VALUE!</v>
      </c>
      <c r="X29" s="63" t="e">
        <f t="shared" ref="X29:X32" si="139">FIND(",",T29,V29+1)</f>
        <v>#VALUE!</v>
      </c>
      <c r="Y29" s="63" t="str">
        <f>IFERROR(VLOOKUP(MID(T29,W29,X29-W29),[5]skilldef!$C:$D,2,FALSE),"-") &amp; " / " &amp; IFERROR(VLOOKUP(MID(T29,U29,V29-U29),[5]skilldef!$A:$B,2,FALSE),"-")</f>
        <v>- / 大攻撃</v>
      </c>
      <c r="Z29" s="51"/>
      <c r="AA29" s="52"/>
      <c r="AB29" s="51" t="s">
        <v>291</v>
      </c>
      <c r="AC29" s="51" t="s">
        <v>350</v>
      </c>
    </row>
    <row r="30" spans="1:29" ht="33" customHeight="1" x14ac:dyDescent="0.15">
      <c r="A30" s="47">
        <v>48501029</v>
      </c>
      <c r="B30" s="47" t="s">
        <v>512</v>
      </c>
      <c r="C30" s="50">
        <v>1</v>
      </c>
      <c r="D30" s="50" t="s">
        <v>127</v>
      </c>
      <c r="E30" s="51" t="s">
        <v>398</v>
      </c>
      <c r="F30" s="51" t="s">
        <v>331</v>
      </c>
      <c r="G30" s="63" t="str">
        <f t="shared" si="127"/>
        <v>[effect:enemy_message, val1:1.2, val2:2.1]</v>
      </c>
      <c r="H30" s="63">
        <f t="shared" si="17"/>
        <v>9</v>
      </c>
      <c r="I30" s="63">
        <f t="shared" si="128"/>
        <v>22</v>
      </c>
      <c r="J30" s="63" t="e">
        <f t="shared" si="129"/>
        <v>#VALUE!</v>
      </c>
      <c r="K30" s="63">
        <f t="shared" si="130"/>
        <v>32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si="131"/>
        <v xml:space="preserve">[effect:force_change_block, new_block:jammer, target:block_all, ignore01:crash, ignore02:crack_bomb, ignore03:color_break, ignore04:jammer, ignore05:magnet, count:2, val:0, animation:change_block],[effect:critical, val:1] </v>
      </c>
      <c r="N30" s="48" t="str">
        <f>IFERROR(LEFT(M30,FIND("],",M30)+S41),M30)</f>
        <v xml:space="preserve">[effect:force_change_block, new_block:jammer, target:block_all, ignore01:crash, ignore02:crack_bomb, ignore03:color_break, ignore04:jammer, ignore05:magnet, count:2, val:0, animation:change_block],[effect:critical, val:1] </v>
      </c>
      <c r="O30" s="63">
        <f t="shared" si="23"/>
        <v>9</v>
      </c>
      <c r="P30" s="63">
        <f t="shared" si="133"/>
        <v>27</v>
      </c>
      <c r="Q30" s="63">
        <f t="shared" si="134"/>
        <v>54</v>
      </c>
      <c r="R30" s="63">
        <f t="shared" si="135"/>
        <v>45</v>
      </c>
      <c r="S30" s="63" t="str">
        <f>IFERROR(VLOOKUP(MID(N30,Q30,R30-Q30),[5]skilldef!$C:$D,2,FALSE),"-") &amp; " / " &amp; IFERROR(VLOOKUP(MID(N30,O30,P30-O30),[5]skilldef!$A:$B,2,FALSE),"-")</f>
        <v>- / -</v>
      </c>
      <c r="T30" s="48" t="str">
        <f t="shared" si="136"/>
        <v xml:space="preserve">[effect:critical, val:1] </v>
      </c>
      <c r="U30" s="63">
        <f t="shared" si="28"/>
        <v>9</v>
      </c>
      <c r="V30" s="63">
        <f t="shared" si="137"/>
        <v>17</v>
      </c>
      <c r="W30" s="63" t="e">
        <f t="shared" si="138"/>
        <v>#VALUE!</v>
      </c>
      <c r="X30" s="63" t="e">
        <f t="shared" si="139"/>
        <v>#VALUE!</v>
      </c>
      <c r="Y30" s="63" t="str">
        <f>IFERROR(VLOOKUP(MID(T30,W30,X30-W30),[5]skilldef!$C:$D,2,FALSE),"-") &amp; " / " &amp; IFERROR(VLOOKUP(MID(T30,U30,V30-U30),[5]skilldef!$A:$B,2,FALSE),"-")</f>
        <v>- / 大攻撃</v>
      </c>
      <c r="Z30" s="51"/>
      <c r="AA30" s="52"/>
      <c r="AB30" s="51" t="s">
        <v>292</v>
      </c>
      <c r="AC30" s="51" t="s">
        <v>331</v>
      </c>
    </row>
    <row r="31" spans="1:29" ht="31" customHeight="1" x14ac:dyDescent="0.15">
      <c r="A31" s="47">
        <v>48501030</v>
      </c>
      <c r="B31" s="47" t="s">
        <v>510</v>
      </c>
      <c r="C31" s="50">
        <v>1</v>
      </c>
      <c r="D31" s="50" t="s">
        <v>127</v>
      </c>
      <c r="E31" s="51" t="s">
        <v>400</v>
      </c>
      <c r="F31" s="51" t="s">
        <v>349</v>
      </c>
      <c r="G31" s="63" t="str">
        <f t="shared" si="127"/>
        <v>[effect:enemy_message, val1:1.3, val2:2.3]</v>
      </c>
      <c r="H31" s="63">
        <f t="shared" si="17"/>
        <v>9</v>
      </c>
      <c r="I31" s="63">
        <f t="shared" si="128"/>
        <v>22</v>
      </c>
      <c r="J31" s="63" t="e">
        <f t="shared" si="129"/>
        <v>#VALUE!</v>
      </c>
      <c r="K31" s="63">
        <f t="shared" si="130"/>
        <v>32</v>
      </c>
      <c r="L31" s="63" t="str">
        <f>IFERROR(VLOOKUP(MID(G31,J31,K31-J31),[5]skilldef!$C:$D,2,FALSE),"-") &amp; " / " &amp; IFERROR(VLOOKUP(MID(G31,H31,I31-H31),[5]skilldef!$A:$B,2,FALSE),"-")</f>
        <v>- / -</v>
      </c>
      <c r="M31" s="63" t="str">
        <f t="shared" si="131"/>
        <v>[effect:force_change_block, new_block:jammer, target:block_all, ignore01:crash, ignore02:crack_bomb, ignore03:color_break, ignore04:jammer, ignore05:magnet, count:3, val:0, animation:change_block],[effect:rush, count:2, val:0.6]</v>
      </c>
      <c r="N31" s="48" t="str">
        <f>IFERROR(LEFT(M31,FIND("],",M31)+#REF!),M31)</f>
        <v>[effect:force_change_block, new_block:jammer, target:block_all, ignore01:crash, ignore02:crack_bomb, ignore03:color_break, ignore04:jammer, ignore05:magnet, count:3, val:0, animation:change_block],[effect:rush, count:2, val:0.6]</v>
      </c>
      <c r="O31" s="63">
        <f t="shared" si="23"/>
        <v>9</v>
      </c>
      <c r="P31" s="63">
        <f t="shared" si="133"/>
        <v>27</v>
      </c>
      <c r="Q31" s="63">
        <f t="shared" si="134"/>
        <v>54</v>
      </c>
      <c r="R31" s="63">
        <f t="shared" si="135"/>
        <v>45</v>
      </c>
      <c r="S31" s="63" t="str">
        <f>IFERROR(VLOOKUP(MID(N31,Q31,R31-Q31),[5]skilldef!$C:$D,2,FALSE),"-") &amp; " / " &amp; IFERROR(VLOOKUP(MID(N31,O31,P31-O31),[5]skilldef!$A:$B,2,FALSE),"-")</f>
        <v>- / -</v>
      </c>
      <c r="T31" s="48" t="str">
        <f t="shared" si="136"/>
        <v>[effect:rush, count:2, val:0.6]</v>
      </c>
      <c r="U31" s="63">
        <f t="shared" si="28"/>
        <v>9</v>
      </c>
      <c r="V31" s="63">
        <f t="shared" si="137"/>
        <v>13</v>
      </c>
      <c r="W31" s="63" t="e">
        <f t="shared" si="138"/>
        <v>#VALUE!</v>
      </c>
      <c r="X31" s="63">
        <f t="shared" si="139"/>
        <v>22</v>
      </c>
      <c r="Y31" s="63" t="str">
        <f>IFERROR(VLOOKUP(MID(T31,W31,X31-W31),[5]skilldef!$C:$D,2,FALSE),"-") &amp; " / " &amp; IFERROR(VLOOKUP(MID(T31,U31,V31-U31),[5]skilldef!$A:$B,2,FALSE),"-")</f>
        <v>- / 連続攻撃</v>
      </c>
      <c r="Z31" s="51"/>
      <c r="AA31" s="52"/>
      <c r="AB31" s="51" t="s">
        <v>292</v>
      </c>
      <c r="AC31" s="51" t="s">
        <v>349</v>
      </c>
    </row>
    <row r="32" spans="1:29" ht="21" customHeight="1" x14ac:dyDescent="0.15">
      <c r="A32" s="47">
        <v>48501031</v>
      </c>
      <c r="B32" s="47" t="s">
        <v>482</v>
      </c>
      <c r="C32" s="50">
        <v>1</v>
      </c>
      <c r="D32" s="50" t="s">
        <v>127</v>
      </c>
      <c r="E32" s="51" t="s">
        <v>399</v>
      </c>
      <c r="F32" s="51" t="s">
        <v>326</v>
      </c>
      <c r="G32" s="63" t="str">
        <f t="shared" si="127"/>
        <v>[effect:enemy_message, val1:1.2, val2:1.2]</v>
      </c>
      <c r="H32" s="63">
        <f t="shared" si="17"/>
        <v>9</v>
      </c>
      <c r="I32" s="63">
        <f t="shared" si="128"/>
        <v>22</v>
      </c>
      <c r="J32" s="63" t="e">
        <f t="shared" si="129"/>
        <v>#VALUE!</v>
      </c>
      <c r="K32" s="63">
        <f t="shared" si="130"/>
        <v>32</v>
      </c>
      <c r="L32" s="63" t="str">
        <f>IFERROR(VLOOKUP(MID(G32,J32,K32-J32),[5]skilldef!$C:$D,2,FALSE),"-") &amp; " / " &amp; IFERROR(VLOOKUP(MID(G32,H32,I32-H32),[5]skilldef!$A:$B,2,FALSE),"-")</f>
        <v>- / -</v>
      </c>
      <c r="M32" s="63" t="str">
        <f t="shared" si="131"/>
        <v>[effect:rush, count:4, val:0.35]</v>
      </c>
      <c r="N32" s="48" t="str">
        <f>IFERROR(LEFT(M32,FIND("],",M32)+#REF!),M32)</f>
        <v>[effect:rush, count:4, val:0.35]</v>
      </c>
      <c r="O32" s="63">
        <f t="shared" si="23"/>
        <v>9</v>
      </c>
      <c r="P32" s="63">
        <f t="shared" si="133"/>
        <v>13</v>
      </c>
      <c r="Q32" s="63" t="e">
        <f t="shared" si="134"/>
        <v>#VALUE!</v>
      </c>
      <c r="R32" s="63">
        <f t="shared" si="135"/>
        <v>22</v>
      </c>
      <c r="S32" s="63" t="str">
        <f>IFERROR(VLOOKUP(MID(N32,Q32,R32-Q32),[5]skilldef!$C:$D,2,FALSE),"-") &amp; " / " &amp; IFERROR(VLOOKUP(MID(N32,O32,P32-O32),[5]skilldef!$A:$B,2,FALSE),"-")</f>
        <v>- / 連続攻撃</v>
      </c>
      <c r="T32" s="48" t="str">
        <f t="shared" si="136"/>
        <v>none</v>
      </c>
      <c r="U32" s="63" t="e">
        <f t="shared" si="28"/>
        <v>#VALUE!</v>
      </c>
      <c r="V32" s="63">
        <f t="shared" si="137"/>
        <v>4</v>
      </c>
      <c r="W32" s="63" t="e">
        <f t="shared" si="138"/>
        <v>#VALUE!</v>
      </c>
      <c r="X32" s="63" t="e">
        <f t="shared" si="139"/>
        <v>#VALUE!</v>
      </c>
      <c r="Y32" s="63" t="str">
        <f>IFERROR(VLOOKUP(MID(T32,W32,X32-W32),[5]skilldef!$C:$D,2,FALSE),"-") &amp; " / " &amp; IFERROR(VLOOKUP(MID(T32,U32,V32-U32),[5]skilldef!$A:$B,2,FALSE),"-")</f>
        <v>- / -</v>
      </c>
      <c r="Z32" s="51"/>
      <c r="AA32" s="52"/>
      <c r="AB32" s="51" t="s">
        <v>378</v>
      </c>
      <c r="AC32" s="51" t="s">
        <v>326</v>
      </c>
    </row>
    <row r="33" spans="1:29" ht="70" x14ac:dyDescent="0.15">
      <c r="A33" s="47">
        <v>48501032</v>
      </c>
      <c r="B33" s="47" t="s">
        <v>483</v>
      </c>
      <c r="C33" s="50">
        <v>1</v>
      </c>
      <c r="D33" s="50" t="s">
        <v>127</v>
      </c>
      <c r="E33" s="51" t="s">
        <v>402</v>
      </c>
      <c r="F33" s="51" t="s">
        <v>293</v>
      </c>
      <c r="G33" s="63" t="str">
        <f t="shared" ref="G33" si="140">IFERROR(LEFT(B33,FIND("],",B33)),B33)</f>
        <v>[effect:enemy_message, val1:1.2, val2:1.3]</v>
      </c>
      <c r="H33" s="63">
        <f t="shared" si="17"/>
        <v>9</v>
      </c>
      <c r="I33" s="63">
        <f t="shared" ref="I33" si="141">IFERROR(FIND(",",G33),LEN(G33))</f>
        <v>22</v>
      </c>
      <c r="J33" s="63" t="e">
        <f t="shared" ref="J33" si="142">FIND("target:",G33)+7</f>
        <v>#VALUE!</v>
      </c>
      <c r="K33" s="63">
        <f t="shared" ref="K33" si="143">FIND(",",G33,I33+1)</f>
        <v>32</v>
      </c>
      <c r="L33" s="63" t="str">
        <f>IFERROR(VLOOKUP(MID(G33,J33,K33-J33),[5]skilldef!$C:$D,2,FALSE),"-") &amp; " / " &amp; IFERROR(VLOOKUP(MID(G33,H33,I33-H33),[5]skilldef!$A:$B,2,FALSE),"-")</f>
        <v>- / -</v>
      </c>
      <c r="M33" s="63" t="str">
        <f t="shared" ref="M33" si="144">IFERROR(RIGHT(B33,LEN(B33)-FIND("],",B33)-1),"none")</f>
        <v>[effect:break_heal_ratio, target:myself, val:0.05, lowest_val:0.1, count:-1, block01:jammer, animation:enemy_heal]</v>
      </c>
      <c r="N33" s="48" t="str">
        <f>IFERROR(LEFT(M33,FIND("],",M33)+S42),M33)</f>
        <v>[effect:break_heal_ratio, target:myself, val:0.05, lowest_val:0.1, count:-1, block01:jammer, animation:enemy_heal]</v>
      </c>
      <c r="O33" s="63">
        <f t="shared" si="23"/>
        <v>9</v>
      </c>
      <c r="P33" s="63">
        <f t="shared" ref="P33" si="145">IFERROR(FIND(",",N33),LEN(N33))</f>
        <v>25</v>
      </c>
      <c r="Q33" s="63">
        <f t="shared" ref="Q33" si="146">FIND("target:",N33)+7</f>
        <v>34</v>
      </c>
      <c r="R33" s="63">
        <f t="shared" ref="R33" si="147">FIND(",",N33,P33+1)</f>
        <v>40</v>
      </c>
      <c r="S33" s="63" t="str">
        <f>IFERROR(VLOOKUP(MID(N33,Q33,R33-Q33),[5]skilldef!$C:$D,2,FALSE),"-") &amp; " / " &amp; IFERROR(VLOOKUP(MID(N33,O33,P33-O33),[5]skilldef!$A:$B,2,FALSE),"-")</f>
        <v>自分自身に / -</v>
      </c>
      <c r="T33" s="48" t="str">
        <f t="shared" ref="T33" si="148">IFERROR(RIGHT(M33,LEN(M33)-FIND("],",M33)-1),"none")</f>
        <v>none</v>
      </c>
      <c r="U33" s="63" t="e">
        <f t="shared" si="28"/>
        <v>#VALUE!</v>
      </c>
      <c r="V33" s="63">
        <f t="shared" ref="V33" si="149">IFERROR(FIND(",",T33),LEN(T33))</f>
        <v>4</v>
      </c>
      <c r="W33" s="63" t="e">
        <f t="shared" ref="W33" si="150">FIND("target:",T33)+7</f>
        <v>#VALUE!</v>
      </c>
      <c r="X33" s="63" t="e">
        <f t="shared" ref="X33" si="151">FIND(",",T33,V33+1)</f>
        <v>#VALUE!</v>
      </c>
      <c r="Y33" s="63" t="str">
        <f>IFERROR(VLOOKUP(MID(T33,W33,X33-W33),[5]skilldef!$C:$D,2,FALSE),"-") &amp; " / " &amp; IFERROR(VLOOKUP(MID(T33,U33,V33-U33),[5]skilldef!$A:$B,2,FALSE),"-")</f>
        <v>- / -</v>
      </c>
      <c r="Z33" s="51"/>
      <c r="AA33" s="52"/>
      <c r="AB33" s="51" t="s">
        <v>292</v>
      </c>
      <c r="AC33" s="51" t="s">
        <v>293</v>
      </c>
    </row>
    <row r="34" spans="1:29" ht="168" x14ac:dyDescent="0.15">
      <c r="A34" s="47">
        <v>48501033</v>
      </c>
      <c r="B34" s="47" t="s">
        <v>513</v>
      </c>
      <c r="C34" s="50">
        <v>1</v>
      </c>
      <c r="D34" s="50" t="s">
        <v>127</v>
      </c>
      <c r="E34" s="51" t="s">
        <v>403</v>
      </c>
      <c r="F34" s="51" t="s">
        <v>429</v>
      </c>
      <c r="G34" s="63" t="str">
        <f t="shared" ref="G34:G39" si="152">IFERROR(LEFT(B34,FIND("],",B34)),B34)</f>
        <v>[effect:enemy_message, val1:2.0, val2:2.7]</v>
      </c>
      <c r="H34" s="63">
        <f t="shared" si="17"/>
        <v>9</v>
      </c>
      <c r="I34" s="63">
        <f t="shared" ref="I34:I39" si="153">IFERROR(FIND(",",G34),LEN(G34))</f>
        <v>22</v>
      </c>
      <c r="J34" s="63" t="e">
        <f t="shared" ref="J34:J39" si="154">FIND("target:",G34)+7</f>
        <v>#VALUE!</v>
      </c>
      <c r="K34" s="63">
        <f t="shared" ref="K34:K39" si="155">FIND(",",G34,I34+1)</f>
        <v>32</v>
      </c>
      <c r="L34" s="63" t="str">
        <f>IFERROR(VLOOKUP(MID(G34,J34,K34-J34),[5]skilldef!$C:$D,2,FALSE),"-") &amp; " / " &amp; IFERROR(VLOOKUP(MID(G34,H34,I34-H34),[5]skilldef!$A:$B,2,FALSE),"-")</f>
        <v>- / -</v>
      </c>
      <c r="M34" s="63" t="str">
        <f t="shared" ref="M34:M39" si="156">IFERROR(RIGHT(B34,LEN(B34)-FIND("],",B34)-1),"none")</f>
        <v>[effect:force_change_block, new_block:jammer, target:block_all, ignore01:crash, ignore02:crack_bomb, ignore03:color_break, ignore04:jammer, ignore05:magnet, count:5, val:0, animation:change_block],[effect:fix_speed, target:myself, turn:2],[effect:freq_turn, target:myself, turn:2, val:1, animation:enemy_freq_turn]</v>
      </c>
      <c r="N34" s="48" t="str">
        <f>IFERROR(LEFT(M34,FIND("],",M34)+S43),M34)</f>
        <v>[effect:force_change_block, new_block:jammer, target:block_all, ignore01:crash, ignore02:crack_bomb, ignore03:color_break, ignore04:jammer, ignore05:magnet, count:5, val:0, animation:change_block],[effect:fix_speed, target:myself, turn:2],[effect:freq_turn, target:myself, turn:2, val:1, animation:enemy_freq_turn]</v>
      </c>
      <c r="O34" s="63">
        <f t="shared" si="23"/>
        <v>9</v>
      </c>
      <c r="P34" s="63">
        <f t="shared" ref="P34:P39" si="157">IFERROR(FIND(",",N34),LEN(N34))</f>
        <v>27</v>
      </c>
      <c r="Q34" s="63">
        <f t="shared" ref="Q34:Q39" si="158">FIND("target:",N34)+7</f>
        <v>54</v>
      </c>
      <c r="R34" s="63">
        <f t="shared" ref="R34:R39" si="159">FIND(",",N34,P34+1)</f>
        <v>45</v>
      </c>
      <c r="S34" s="63" t="str">
        <f>IFERROR(VLOOKUP(MID(N34,Q34,R34-Q34),[5]skilldef!$C:$D,2,FALSE),"-") &amp; " / " &amp; IFERROR(VLOOKUP(MID(N34,O34,P34-O34),[5]skilldef!$A:$B,2,FALSE),"-")</f>
        <v>- / -</v>
      </c>
      <c r="T34" s="48" t="str">
        <f t="shared" ref="T34:T39" si="160">IFERROR(RIGHT(M34,LEN(M34)-FIND("],",M34)-1),"none")</f>
        <v>[effect:fix_speed, target:myself, turn:2],[effect:freq_turn, target:myself, turn:2, val:1, animation:enemy_freq_turn]</v>
      </c>
      <c r="U34" s="63">
        <f t="shared" si="28"/>
        <v>9</v>
      </c>
      <c r="V34" s="63">
        <f t="shared" ref="V34:V39" si="161">IFERROR(FIND(",",T34),LEN(T34))</f>
        <v>18</v>
      </c>
      <c r="W34" s="63">
        <f t="shared" ref="W34:W39" si="162">FIND("target:",T34)+7</f>
        <v>27</v>
      </c>
      <c r="X34" s="63">
        <f t="shared" ref="X34:X39" si="163">FIND(",",T34,V34+1)</f>
        <v>33</v>
      </c>
      <c r="Y34" s="63" t="str">
        <f>IFERROR(VLOOKUP(MID(T34,W34,X34-W34),[5]skilldef!$C:$D,2,FALSE),"-") &amp; " / " &amp; IFERROR(VLOOKUP(MID(T34,U34,V34-U34),[5]skilldef!$A:$B,2,FALSE),"-")</f>
        <v>自分自身に / 行動値設定</v>
      </c>
      <c r="Z34" s="51"/>
      <c r="AA34" s="52"/>
      <c r="AB34" s="51" t="s">
        <v>337</v>
      </c>
      <c r="AC34" s="51" t="s">
        <v>351</v>
      </c>
    </row>
    <row r="35" spans="1:29" ht="168" x14ac:dyDescent="0.15">
      <c r="A35" s="47">
        <v>48501034</v>
      </c>
      <c r="B35" s="47" t="s">
        <v>514</v>
      </c>
      <c r="C35" s="50">
        <v>1</v>
      </c>
      <c r="D35" s="50" t="s">
        <v>127</v>
      </c>
      <c r="E35" s="51" t="s">
        <v>416</v>
      </c>
      <c r="F35" s="51" t="s">
        <v>429</v>
      </c>
      <c r="G35" s="63" t="str">
        <f t="shared" ref="G35" si="164">IFERROR(LEFT(B35,FIND("],",B35)),B35)</f>
        <v>[effect:enemy_message, val1:1.9, val2:2.7]</v>
      </c>
      <c r="H35" s="63">
        <f t="shared" ref="H35" si="165">FIND("effect:",G35)+7</f>
        <v>9</v>
      </c>
      <c r="I35" s="63">
        <f t="shared" ref="I35" si="166">IFERROR(FIND(",",G35),LEN(G35))</f>
        <v>22</v>
      </c>
      <c r="J35" s="63" t="e">
        <f t="shared" ref="J35" si="167">FIND("target:",G35)+7</f>
        <v>#VALUE!</v>
      </c>
      <c r="K35" s="63">
        <f t="shared" ref="K35" si="168">FIND(",",G35,I35+1)</f>
        <v>32</v>
      </c>
      <c r="L35" s="63" t="str">
        <f>IFERROR(VLOOKUP(MID(G35,J35,K35-J35),[5]skilldef!$C:$D,2,FALSE),"-") &amp; " / " &amp; IFERROR(VLOOKUP(MID(G35,H35,I35-H35),[5]skilldef!$A:$B,2,FALSE),"-")</f>
        <v>- / -</v>
      </c>
      <c r="M35" s="63" t="str">
        <f t="shared" ref="M35" si="169">IFERROR(RIGHT(B35,LEN(B35)-FIND("],",B35)-1),"none")</f>
        <v>[effect:force_change_block, new_block:jammer, target:block_all, ignore01:crash, ignore02:crack_bomb, ignore03:color_break, ignore04:jammer, ignore05:magnet, count:5, val:0, animation:change_block],[effect:fix_speed, target:myself, turn:2],[effect:freq_turn, target:myself, turn:2, val:1, animation:enemy_freq_turn]</v>
      </c>
      <c r="N35" s="48" t="str">
        <f>IFERROR(LEFT(M35,FIND("],",M35)+S44),M35)</f>
        <v>[effect:force_change_block, new_block:jammer, target:block_all, ignore01:crash, ignore02:crack_bomb, ignore03:color_break, ignore04:jammer, ignore05:magnet, count:5, val:0, animation:change_block],[effect:fix_speed, target:myself, turn:2],[effect:freq_turn, target:myself, turn:2, val:1, animation:enemy_freq_turn]</v>
      </c>
      <c r="O35" s="63">
        <f t="shared" ref="O35" si="170">FIND("effect:",N35)+7</f>
        <v>9</v>
      </c>
      <c r="P35" s="63">
        <f t="shared" ref="P35" si="171">IFERROR(FIND(",",N35),LEN(N35))</f>
        <v>27</v>
      </c>
      <c r="Q35" s="63">
        <f t="shared" ref="Q35" si="172">FIND("target:",N35)+7</f>
        <v>54</v>
      </c>
      <c r="R35" s="63">
        <f t="shared" ref="R35" si="173">FIND(",",N35,P35+1)</f>
        <v>45</v>
      </c>
      <c r="S35" s="63" t="str">
        <f>IFERROR(VLOOKUP(MID(N35,Q35,R35-Q35),[5]skilldef!$C:$D,2,FALSE),"-") &amp; " / " &amp; IFERROR(VLOOKUP(MID(N35,O35,P35-O35),[5]skilldef!$A:$B,2,FALSE),"-")</f>
        <v>- / -</v>
      </c>
      <c r="T35" s="48" t="str">
        <f t="shared" ref="T35" si="174">IFERROR(RIGHT(M35,LEN(M35)-FIND("],",M35)-1),"none")</f>
        <v>[effect:fix_speed, target:myself, turn:2],[effect:freq_turn, target:myself, turn:2, val:1, animation:enemy_freq_turn]</v>
      </c>
      <c r="U35" s="63">
        <f t="shared" ref="U35" si="175">FIND("effect:",T35)+7</f>
        <v>9</v>
      </c>
      <c r="V35" s="63">
        <f t="shared" ref="V35" si="176">IFERROR(FIND(",",T35),LEN(T35))</f>
        <v>18</v>
      </c>
      <c r="W35" s="63">
        <f t="shared" ref="W35" si="177">FIND("target:",T35)+7</f>
        <v>27</v>
      </c>
      <c r="X35" s="63">
        <f t="shared" ref="X35" si="178">FIND(",",T35,V35+1)</f>
        <v>33</v>
      </c>
      <c r="Y35" s="63" t="str">
        <f>IFERROR(VLOOKUP(MID(T35,W35,X35-W35),[5]skilldef!$C:$D,2,FALSE),"-") &amp; " / " &amp; IFERROR(VLOOKUP(MID(T35,U35,V35-U35),[5]skilldef!$A:$B,2,FALSE),"-")</f>
        <v>自分自身に / 行動値設定</v>
      </c>
      <c r="Z35" s="51"/>
      <c r="AA35" s="52"/>
      <c r="AB35" s="51" t="s">
        <v>338</v>
      </c>
      <c r="AC35" s="51" t="s">
        <v>351</v>
      </c>
    </row>
    <row r="36" spans="1:29" ht="168" x14ac:dyDescent="0.15">
      <c r="A36" s="47">
        <v>48501035</v>
      </c>
      <c r="B36" s="47" t="s">
        <v>515</v>
      </c>
      <c r="C36" s="50">
        <v>1</v>
      </c>
      <c r="D36" s="50" t="s">
        <v>127</v>
      </c>
      <c r="E36" s="51" t="s">
        <v>417</v>
      </c>
      <c r="F36" s="51" t="s">
        <v>429</v>
      </c>
      <c r="G36" s="63" t="str">
        <f t="shared" ref="G36" si="179">IFERROR(LEFT(B36,FIND("],",B36)),B36)</f>
        <v>[effect:enemy_message, val1:1.9, val2:2.7]</v>
      </c>
      <c r="H36" s="63">
        <f t="shared" ref="H36" si="180">FIND("effect:",G36)+7</f>
        <v>9</v>
      </c>
      <c r="I36" s="63">
        <f t="shared" ref="I36" si="181">IFERROR(FIND(",",G36),LEN(G36))</f>
        <v>22</v>
      </c>
      <c r="J36" s="63" t="e">
        <f t="shared" ref="J36" si="182">FIND("target:",G36)+7</f>
        <v>#VALUE!</v>
      </c>
      <c r="K36" s="63">
        <f t="shared" ref="K36" si="183">FIND(",",G36,I36+1)</f>
        <v>32</v>
      </c>
      <c r="L36" s="63" t="str">
        <f>IFERROR(VLOOKUP(MID(G36,J36,K36-J36),[5]skilldef!$C:$D,2,FALSE),"-") &amp; " / " &amp; IFERROR(VLOOKUP(MID(G36,H36,I36-H36),[5]skilldef!$A:$B,2,FALSE),"-")</f>
        <v>- / -</v>
      </c>
      <c r="M36" s="63" t="str">
        <f t="shared" ref="M36" si="184">IFERROR(RIGHT(B36,LEN(B36)-FIND("],",B36)-1),"none")</f>
        <v>[effect:force_change_block, new_block:jammer, target:block_all, ignore01:crash, ignore02:crack_bomb, ignore03:color_break, ignore04:jammer, ignore05:magnet, count:5, val:0, animation:change_block],[effect:fix_speed, target:myself, turn:2],[effect:freq_turn, target:myself, turn:2, val:1, animation:enemy_freq_turn]</v>
      </c>
      <c r="N36" s="48" t="str">
        <f>IFERROR(LEFT(M36,FIND("],",M36)+S45),M36)</f>
        <v>[effect:force_change_block, new_block:jammer, target:block_all, ignore01:crash, ignore02:crack_bomb, ignore03:color_break, ignore04:jammer, ignore05:magnet, count:5, val:0, animation:change_block],[effect:fix_speed, target:myself, turn:2],[effect:freq_turn, target:myself, turn:2, val:1, animation:enemy_freq_turn]</v>
      </c>
      <c r="O36" s="63">
        <f t="shared" ref="O36" si="185">FIND("effect:",N36)+7</f>
        <v>9</v>
      </c>
      <c r="P36" s="63">
        <f t="shared" ref="P36" si="186">IFERROR(FIND(",",N36),LEN(N36))</f>
        <v>27</v>
      </c>
      <c r="Q36" s="63">
        <f t="shared" ref="Q36" si="187">FIND("target:",N36)+7</f>
        <v>54</v>
      </c>
      <c r="R36" s="63">
        <f t="shared" ref="R36" si="188">FIND(",",N36,P36+1)</f>
        <v>45</v>
      </c>
      <c r="S36" s="63" t="str">
        <f>IFERROR(VLOOKUP(MID(N36,Q36,R36-Q36),[5]skilldef!$C:$D,2,FALSE),"-") &amp; " / " &amp; IFERROR(VLOOKUP(MID(N36,O36,P36-O36),[5]skilldef!$A:$B,2,FALSE),"-")</f>
        <v>- / -</v>
      </c>
      <c r="T36" s="48" t="str">
        <f t="shared" ref="T36" si="189">IFERROR(RIGHT(M36,LEN(M36)-FIND("],",M36)-1),"none")</f>
        <v>[effect:fix_speed, target:myself, turn:2],[effect:freq_turn, target:myself, turn:2, val:1, animation:enemy_freq_turn]</v>
      </c>
      <c r="U36" s="63">
        <f t="shared" ref="U36" si="190">FIND("effect:",T36)+7</f>
        <v>9</v>
      </c>
      <c r="V36" s="63">
        <f t="shared" ref="V36" si="191">IFERROR(FIND(",",T36),LEN(T36))</f>
        <v>18</v>
      </c>
      <c r="W36" s="63">
        <f t="shared" ref="W36" si="192">FIND("target:",T36)+7</f>
        <v>27</v>
      </c>
      <c r="X36" s="63">
        <f t="shared" ref="X36" si="193">FIND(",",T36,V36+1)</f>
        <v>33</v>
      </c>
      <c r="Y36" s="63" t="str">
        <f>IFERROR(VLOOKUP(MID(T36,W36,X36-W36),[5]skilldef!$C:$D,2,FALSE),"-") &amp; " / " &amp; IFERROR(VLOOKUP(MID(T36,U36,V36-U36),[5]skilldef!$A:$B,2,FALSE),"-")</f>
        <v>自分自身に / 行動値設定</v>
      </c>
      <c r="Z36" s="51"/>
      <c r="AA36" s="52"/>
      <c r="AB36" s="51" t="s">
        <v>339</v>
      </c>
      <c r="AC36" s="51" t="s">
        <v>351</v>
      </c>
    </row>
    <row r="37" spans="1:29" ht="126" x14ac:dyDescent="0.15">
      <c r="A37" s="47">
        <v>48501036</v>
      </c>
      <c r="B37" s="47" t="s">
        <v>516</v>
      </c>
      <c r="C37" s="50">
        <v>1</v>
      </c>
      <c r="D37" s="50" t="s">
        <v>127</v>
      </c>
      <c r="E37" s="51" t="s">
        <v>405</v>
      </c>
      <c r="F37" s="51" t="s">
        <v>352</v>
      </c>
      <c r="G37" s="63" t="str">
        <f t="shared" si="152"/>
        <v>[effect:enemy_message, val1:1.2, val2:2.1]</v>
      </c>
      <c r="H37" s="63">
        <f t="shared" si="17"/>
        <v>9</v>
      </c>
      <c r="I37" s="63">
        <f t="shared" si="153"/>
        <v>22</v>
      </c>
      <c r="J37" s="63" t="e">
        <f t="shared" si="154"/>
        <v>#VALUE!</v>
      </c>
      <c r="K37" s="63">
        <f t="shared" si="155"/>
        <v>32</v>
      </c>
      <c r="L37" s="63" t="str">
        <f>IFERROR(VLOOKUP(MID(G37,J37,K37-J37),[5]skilldef!$C:$D,2,FALSE),"-") &amp; " / " &amp; IFERROR(VLOOKUP(MID(G37,H37,I37-H37),[5]skilldef!$A:$B,2,FALSE),"-")</f>
        <v>- / -</v>
      </c>
      <c r="M37" s="63" t="str">
        <f t="shared" si="156"/>
        <v>[effect:force_change_block, new_block:jammer, target:block_all, ignore01:crash, ignore02:crack_bomb, ignore03:color_break, ignore04:jammer, ignore05:magnet, count:3, val:0, animation:change_block],[effect:spread, val:0.25]</v>
      </c>
      <c r="N37" s="48" t="str">
        <f>IFERROR(LEFT(M37,FIND("],",M37)+S45),M37)</f>
        <v>[effect:force_change_block, new_block:jammer, target:block_all, ignore01:crash, ignore02:crack_bomb, ignore03:color_break, ignore04:jammer, ignore05:magnet, count:3, val:0, animation:change_block],[effect:spread, val:0.25]</v>
      </c>
      <c r="O37" s="63">
        <f t="shared" si="23"/>
        <v>9</v>
      </c>
      <c r="P37" s="63">
        <f t="shared" si="157"/>
        <v>27</v>
      </c>
      <c r="Q37" s="63">
        <f t="shared" si="158"/>
        <v>54</v>
      </c>
      <c r="R37" s="63">
        <f t="shared" si="159"/>
        <v>45</v>
      </c>
      <c r="S37" s="63" t="str">
        <f>IFERROR(VLOOKUP(MID(N37,Q37,R37-Q37),[5]skilldef!$C:$D,2,FALSE),"-") &amp; " / " &amp; IFERROR(VLOOKUP(MID(N37,O37,P37-O37),[5]skilldef!$A:$B,2,FALSE),"-")</f>
        <v>- / -</v>
      </c>
      <c r="T37" s="48" t="str">
        <f t="shared" si="160"/>
        <v>[effect:spread, val:0.25]</v>
      </c>
      <c r="U37" s="63">
        <f t="shared" si="28"/>
        <v>9</v>
      </c>
      <c r="V37" s="63">
        <f t="shared" si="161"/>
        <v>15</v>
      </c>
      <c r="W37" s="63" t="e">
        <f t="shared" si="162"/>
        <v>#VALUE!</v>
      </c>
      <c r="X37" s="63" t="e">
        <f t="shared" si="163"/>
        <v>#VALUE!</v>
      </c>
      <c r="Y37" s="63" t="str">
        <f>IFERROR(VLOOKUP(MID(T37,W37,X37-W37),[5]skilldef!$C:$D,2,FALSE),"-") &amp; " / " &amp; IFERROR(VLOOKUP(MID(T37,U37,V37-U37),[5]skilldef!$A:$B,2,FALSE),"-")</f>
        <v>- / 全体攻撃</v>
      </c>
      <c r="Z37" s="51"/>
      <c r="AA37" s="52"/>
      <c r="AB37" s="51" t="s">
        <v>296</v>
      </c>
      <c r="AC37" s="51" t="s">
        <v>352</v>
      </c>
    </row>
    <row r="38" spans="1:29" ht="42" x14ac:dyDescent="0.15">
      <c r="A38" s="47">
        <v>48501037</v>
      </c>
      <c r="B38" s="47" t="s">
        <v>565</v>
      </c>
      <c r="C38" s="50">
        <v>1</v>
      </c>
      <c r="D38" s="50" t="s">
        <v>127</v>
      </c>
      <c r="E38" s="51" t="s">
        <v>414</v>
      </c>
      <c r="F38" s="51" t="s">
        <v>537</v>
      </c>
      <c r="G38" s="63" t="str">
        <f t="shared" si="152"/>
        <v>[effect:enemy_message, val1:1.2, val2:1.4]</v>
      </c>
      <c r="H38" s="63">
        <f t="shared" si="17"/>
        <v>9</v>
      </c>
      <c r="I38" s="63">
        <f t="shared" si="153"/>
        <v>22</v>
      </c>
      <c r="J38" s="63" t="e">
        <f t="shared" si="154"/>
        <v>#VALUE!</v>
      </c>
      <c r="K38" s="63">
        <f t="shared" si="155"/>
        <v>32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si="156"/>
        <v>[effect:virus, target:unit_all, turn:2, rate:1, val:0.1, animation:enemy_virus]</v>
      </c>
      <c r="N38" s="48" t="str">
        <f>IFERROR(LEFT(M38,FIND("],",M38)+S45),M38)</f>
        <v>[effect:virus, target:unit_all, turn:2, rate:1, val:0.1, animation:enemy_virus]</v>
      </c>
      <c r="O38" s="63">
        <f t="shared" si="23"/>
        <v>9</v>
      </c>
      <c r="P38" s="63">
        <f t="shared" si="157"/>
        <v>14</v>
      </c>
      <c r="Q38" s="63">
        <f t="shared" si="158"/>
        <v>23</v>
      </c>
      <c r="R38" s="63">
        <f t="shared" si="159"/>
        <v>31</v>
      </c>
      <c r="S38" s="63" t="str">
        <f>IFERROR(VLOOKUP(MID(N38,Q38,R38-Q38),[5]skilldef!$C:$D,2,FALSE),"-") &amp; " / " &amp; IFERROR(VLOOKUP(MID(N38,O38,P38-O38),[5]skilldef!$A:$B,2,FALSE),"-")</f>
        <v>味方全体に / ウィルス</v>
      </c>
      <c r="T38" s="48" t="str">
        <f t="shared" si="160"/>
        <v>none</v>
      </c>
      <c r="U38" s="63" t="e">
        <f t="shared" si="28"/>
        <v>#VALUE!</v>
      </c>
      <c r="V38" s="63">
        <f t="shared" si="161"/>
        <v>4</v>
      </c>
      <c r="W38" s="63" t="e">
        <f t="shared" si="162"/>
        <v>#VALUE!</v>
      </c>
      <c r="X38" s="63" t="e">
        <f t="shared" si="163"/>
        <v>#VALUE!</v>
      </c>
      <c r="Y38" s="63" t="str">
        <f>IFERROR(VLOOKUP(MID(T38,W38,X38-W38),[5]skilldef!$C:$D,2,FALSE),"-") &amp; " / " &amp; IFERROR(VLOOKUP(MID(T38,U38,V38-U38),[5]skilldef!$A:$B,2,FALSE),"-")</f>
        <v>- / -</v>
      </c>
      <c r="Z38" s="51"/>
      <c r="AA38" s="52"/>
      <c r="AB38" s="51" t="s">
        <v>296</v>
      </c>
      <c r="AC38" s="51" t="s">
        <v>298</v>
      </c>
    </row>
    <row r="39" spans="1:29" ht="21" customHeight="1" x14ac:dyDescent="0.15">
      <c r="A39" s="47">
        <v>48501038</v>
      </c>
      <c r="B39" s="47" t="s">
        <v>484</v>
      </c>
      <c r="C39" s="50">
        <v>1</v>
      </c>
      <c r="D39" s="50" t="s">
        <v>127</v>
      </c>
      <c r="E39" s="51" t="s">
        <v>404</v>
      </c>
      <c r="F39" s="51" t="s">
        <v>326</v>
      </c>
      <c r="G39" s="63" t="str">
        <f t="shared" si="152"/>
        <v>[effect:enemy_message, val1:1.7, val2:1.2]</v>
      </c>
      <c r="H39" s="63">
        <f t="shared" si="17"/>
        <v>9</v>
      </c>
      <c r="I39" s="63">
        <f t="shared" si="153"/>
        <v>22</v>
      </c>
      <c r="J39" s="63" t="e">
        <f t="shared" si="154"/>
        <v>#VALUE!</v>
      </c>
      <c r="K39" s="63">
        <f t="shared" si="155"/>
        <v>32</v>
      </c>
      <c r="L39" s="63" t="str">
        <f>IFERROR(VLOOKUP(MID(G39,J39,K39-J39),[5]skilldef!$C:$D,2,FALSE),"-") &amp; " / " &amp; IFERROR(VLOOKUP(MID(G39,H39,I39-H39),[5]skilldef!$A:$B,2,FALSE),"-")</f>
        <v>- / -</v>
      </c>
      <c r="M39" s="63" t="str">
        <f t="shared" si="156"/>
        <v>[effect:rush, count:4, val:0.4]</v>
      </c>
      <c r="N39" s="48" t="str">
        <f>IFERROR(LEFT(M39,FIND("],",M39)+S46),M39)</f>
        <v>[effect:rush, count:4, val:0.4]</v>
      </c>
      <c r="O39" s="63">
        <f t="shared" si="23"/>
        <v>9</v>
      </c>
      <c r="P39" s="63">
        <f t="shared" si="157"/>
        <v>13</v>
      </c>
      <c r="Q39" s="63" t="e">
        <f t="shared" si="158"/>
        <v>#VALUE!</v>
      </c>
      <c r="R39" s="63">
        <f t="shared" si="159"/>
        <v>22</v>
      </c>
      <c r="S39" s="63" t="str">
        <f>IFERROR(VLOOKUP(MID(N39,Q39,R39-Q39),[5]skilldef!$C:$D,2,FALSE),"-") &amp; " / " &amp; IFERROR(VLOOKUP(MID(N39,O39,P39-O39),[5]skilldef!$A:$B,2,FALSE),"-")</f>
        <v>- / 連続攻撃</v>
      </c>
      <c r="T39" s="48" t="str">
        <f t="shared" si="160"/>
        <v>none</v>
      </c>
      <c r="U39" s="63" t="e">
        <f t="shared" si="28"/>
        <v>#VALUE!</v>
      </c>
      <c r="V39" s="63">
        <f t="shared" si="161"/>
        <v>4</v>
      </c>
      <c r="W39" s="63" t="e">
        <f t="shared" si="162"/>
        <v>#VALUE!</v>
      </c>
      <c r="X39" s="63" t="e">
        <f t="shared" si="163"/>
        <v>#VALUE!</v>
      </c>
      <c r="Y39" s="63" t="str">
        <f>IFERROR(VLOOKUP(MID(T39,W39,X39-W39),[5]skilldef!$C:$D,2,FALSE),"-") &amp; " / " &amp; IFERROR(VLOOKUP(MID(T39,U39,V39-U39),[5]skilldef!$A:$B,2,FALSE),"-")</f>
        <v>- / -</v>
      </c>
      <c r="Z39" s="51"/>
      <c r="AA39" s="52"/>
      <c r="AB39" s="51" t="s">
        <v>296</v>
      </c>
      <c r="AC39" s="51" t="s">
        <v>326</v>
      </c>
    </row>
    <row r="40" spans="1:29" ht="21" customHeight="1" x14ac:dyDescent="0.15">
      <c r="A40" s="47">
        <v>48501039</v>
      </c>
      <c r="B40" s="47" t="s">
        <v>566</v>
      </c>
      <c r="C40" s="50">
        <v>1</v>
      </c>
      <c r="D40" s="50" t="s">
        <v>127</v>
      </c>
      <c r="E40" s="51" t="s">
        <v>406</v>
      </c>
      <c r="F40" s="51" t="s">
        <v>554</v>
      </c>
      <c r="G40" s="63" t="str">
        <f t="shared" ref="G40:G45" si="194">IFERROR(LEFT(B40,FIND("],",B40)),B40)</f>
        <v>[effect:enemy_message, val1:1.2, val2:2.2]</v>
      </c>
      <c r="H40" s="63">
        <f t="shared" si="17"/>
        <v>9</v>
      </c>
      <c r="I40" s="63">
        <f t="shared" ref="I40:I45" si="195">IFERROR(FIND(",",G40),LEN(G40))</f>
        <v>22</v>
      </c>
      <c r="J40" s="63" t="e">
        <f t="shared" ref="J40:J45" si="196">FIND("target:",G40)+7</f>
        <v>#VALUE!</v>
      </c>
      <c r="K40" s="63">
        <f t="shared" ref="K40:K45" si="197">FIND(",",G40,I40+1)</f>
        <v>32</v>
      </c>
      <c r="L40" s="63" t="str">
        <f>IFERROR(VLOOKUP(MID(G40,J40,K40-J40),[5]skilldef!$C:$D,2,FALSE),"-") &amp; " / " &amp; IFERROR(VLOOKUP(MID(G40,H40,I40-H40),[5]skilldef!$A:$B,2,FALSE),"-")</f>
        <v>- / -</v>
      </c>
      <c r="M40" s="63" t="str">
        <f t="shared" ref="M40:M45" si="198">IFERROR(RIGHT(B40,LEN(B40)-FIND("],",B40)-1),"none")</f>
        <v>[effect:degrade_unit, target:unit_all, turn:-1, status:heal, val:0.9, calc:mul, animation:degrade_unit_all_heal]</v>
      </c>
      <c r="N40" s="48" t="str">
        <f>IFERROR(LEFT(M40,FIND("],",M40)+S47),M40)</f>
        <v>[effect:degrade_unit, target:unit_all, turn:-1, status:heal, val:0.9, calc:mul, animation:degrade_unit_all_heal]</v>
      </c>
      <c r="O40" s="63">
        <f t="shared" si="23"/>
        <v>9</v>
      </c>
      <c r="P40" s="63">
        <f t="shared" ref="P40:P45" si="199">IFERROR(FIND(",",N40),LEN(N40))</f>
        <v>21</v>
      </c>
      <c r="Q40" s="63">
        <f t="shared" ref="Q40:Q45" si="200">FIND("target:",N40)+7</f>
        <v>30</v>
      </c>
      <c r="R40" s="63">
        <f t="shared" ref="R40:R45" si="201">FIND(",",N40,P40+1)</f>
        <v>38</v>
      </c>
      <c r="S40" s="63" t="str">
        <f>IFERROR(VLOOKUP(MID(N40,Q40,R40-Q40),[5]skilldef!$C:$D,2,FALSE),"-") &amp; " / " &amp; IFERROR(VLOOKUP(MID(N40,O40,P40-O40),[5]skilldef!$A:$B,2,FALSE),"-")</f>
        <v>味方全体に / ステータスDOWN</v>
      </c>
      <c r="T40" s="48" t="str">
        <f t="shared" ref="T40:T45" si="202">IFERROR(RIGHT(M40,LEN(M40)-FIND("],",M40)-1),"none")</f>
        <v>none</v>
      </c>
      <c r="U40" s="63" t="e">
        <f t="shared" si="28"/>
        <v>#VALUE!</v>
      </c>
      <c r="V40" s="63">
        <f t="shared" ref="V40:V45" si="203">IFERROR(FIND(",",T40),LEN(T40))</f>
        <v>4</v>
      </c>
      <c r="W40" s="63" t="e">
        <f t="shared" ref="W40:W45" si="204">FIND("target:",T40)+7</f>
        <v>#VALUE!</v>
      </c>
      <c r="X40" s="63" t="e">
        <f t="shared" ref="X40:X45" si="205">FIND(",",T40,V40+1)</f>
        <v>#VALUE!</v>
      </c>
      <c r="Y40" s="63" t="str">
        <f>IFERROR(VLOOKUP(MID(T40,W40,X40-W40),[5]skilldef!$C:$D,2,FALSE),"-") &amp; " / " &amp; IFERROR(VLOOKUP(MID(T40,U40,V40-U40),[5]skilldef!$A:$B,2,FALSE),"-")</f>
        <v>- / -</v>
      </c>
      <c r="Z40" s="51"/>
      <c r="AA40" s="52"/>
      <c r="AB40" s="51" t="s">
        <v>375</v>
      </c>
      <c r="AC40" s="51" t="s">
        <v>327</v>
      </c>
    </row>
    <row r="41" spans="1:29" ht="126" x14ac:dyDescent="0.15">
      <c r="A41" s="47">
        <v>48501040</v>
      </c>
      <c r="B41" s="47" t="s">
        <v>517</v>
      </c>
      <c r="C41" s="50">
        <v>1</v>
      </c>
      <c r="D41" s="50" t="s">
        <v>127</v>
      </c>
      <c r="E41" s="51" t="s">
        <v>405</v>
      </c>
      <c r="F41" s="51" t="s">
        <v>353</v>
      </c>
      <c r="G41" s="63" t="str">
        <f t="shared" si="194"/>
        <v>[effect:enemy_message, val1:1.2, val2:2.3]</v>
      </c>
      <c r="H41" s="63">
        <f t="shared" si="17"/>
        <v>9</v>
      </c>
      <c r="I41" s="63">
        <f t="shared" si="195"/>
        <v>22</v>
      </c>
      <c r="J41" s="63" t="e">
        <f t="shared" si="196"/>
        <v>#VALUE!</v>
      </c>
      <c r="K41" s="63">
        <f t="shared" si="197"/>
        <v>32</v>
      </c>
      <c r="L41" s="63" t="str">
        <f>IFERROR(VLOOKUP(MID(G41,J41,K41-J41),[5]skilldef!$C:$D,2,FALSE),"-") &amp; " / " &amp; IFERROR(VLOOKUP(MID(G41,H41,I41-H41),[5]skilldef!$A:$B,2,FALSE),"-")</f>
        <v>- / -</v>
      </c>
      <c r="M41" s="63" t="str">
        <f t="shared" si="198"/>
        <v>[effect:force_change_block, new_block:jammer, target:block_all, ignore01:crash, ignore02:crack_bomb, ignore03:color_break, ignore04:jammer, ignore05:magnet, count:4, val:0, animation:change_block],[effect:rush, count:4, val:0.4]</v>
      </c>
      <c r="N41" s="48" t="str">
        <f>IFERROR(LEFT(M41,FIND("],",M41)+S48),M41)</f>
        <v>[effect:force_change_block, new_block:jammer, target:block_all, ignore01:crash, ignore02:crack_bomb, ignore03:color_break, ignore04:jammer, ignore05:magnet, count:4, val:0, animation:change_block],[effect:rush, count:4, val:0.4]</v>
      </c>
      <c r="O41" s="63">
        <f t="shared" si="23"/>
        <v>9</v>
      </c>
      <c r="P41" s="63">
        <f t="shared" si="199"/>
        <v>27</v>
      </c>
      <c r="Q41" s="63">
        <f t="shared" si="200"/>
        <v>54</v>
      </c>
      <c r="R41" s="63">
        <f t="shared" si="201"/>
        <v>45</v>
      </c>
      <c r="S41" s="63" t="str">
        <f>IFERROR(VLOOKUP(MID(N41,Q41,R41-Q41),[5]skilldef!$C:$D,2,FALSE),"-") &amp; " / " &amp; IFERROR(VLOOKUP(MID(N41,O41,P41-O41),[5]skilldef!$A:$B,2,FALSE),"-")</f>
        <v>- / -</v>
      </c>
      <c r="T41" s="48" t="str">
        <f t="shared" si="202"/>
        <v>[effect:rush, count:4, val:0.4]</v>
      </c>
      <c r="U41" s="63">
        <f t="shared" si="28"/>
        <v>9</v>
      </c>
      <c r="V41" s="63">
        <f t="shared" si="203"/>
        <v>13</v>
      </c>
      <c r="W41" s="63" t="e">
        <f t="shared" si="204"/>
        <v>#VALUE!</v>
      </c>
      <c r="X41" s="63">
        <f t="shared" si="205"/>
        <v>22</v>
      </c>
      <c r="Y41" s="63" t="str">
        <f>IFERROR(VLOOKUP(MID(T41,W41,X41-W41),[5]skilldef!$C:$D,2,FALSE),"-") &amp; " / " &amp; IFERROR(VLOOKUP(MID(T41,U41,V41-U41),[5]skilldef!$A:$B,2,FALSE),"-")</f>
        <v>- / 連続攻撃</v>
      </c>
      <c r="Z41" s="51"/>
      <c r="AA41" s="52"/>
      <c r="AB41" s="51" t="s">
        <v>299</v>
      </c>
      <c r="AC41" s="51" t="s">
        <v>353</v>
      </c>
    </row>
    <row r="42" spans="1:29" ht="56" x14ac:dyDescent="0.15">
      <c r="A42" s="47">
        <v>48501041</v>
      </c>
      <c r="B42" s="47" t="s">
        <v>485</v>
      </c>
      <c r="C42" s="50">
        <v>1</v>
      </c>
      <c r="D42" s="50" t="s">
        <v>127</v>
      </c>
      <c r="E42" s="51" t="s">
        <v>413</v>
      </c>
      <c r="F42" s="51" t="s">
        <v>328</v>
      </c>
      <c r="G42" s="63" t="str">
        <f t="shared" si="194"/>
        <v>[effect:enemy_message, val1:1.2, val2:1.5]</v>
      </c>
      <c r="H42" s="63">
        <f t="shared" si="17"/>
        <v>9</v>
      </c>
      <c r="I42" s="63">
        <f t="shared" si="195"/>
        <v>22</v>
      </c>
      <c r="J42" s="63" t="e">
        <f t="shared" si="196"/>
        <v>#VALUE!</v>
      </c>
      <c r="K42" s="63">
        <f t="shared" si="197"/>
        <v>32</v>
      </c>
      <c r="L42" s="63" t="str">
        <f>IFERROR(VLOOKUP(MID(G42,J42,K42-J42),[5]skilldef!$C:$D,2,FALSE),"-") &amp; " / " &amp; IFERROR(VLOOKUP(MID(G42,H42,I42-H42),[5]skilldef!$A:$B,2,FALSE),"-")</f>
        <v>- / -</v>
      </c>
      <c r="M42" s="63" t="str">
        <f t="shared" si="198"/>
        <v>[effect:break_attack_fix, target:unit_all, val:1000, lowest_val:7000, count:-1, color:green, block01:jammer]</v>
      </c>
      <c r="N42" s="48" t="str">
        <f>IFERROR(LEFT(M42,FIND("],",M42)+#REF!),M42)</f>
        <v>[effect:break_attack_fix, target:unit_all, val:1000, lowest_val:7000, count:-1, color:green, block01:jammer]</v>
      </c>
      <c r="O42" s="63">
        <f t="shared" si="23"/>
        <v>9</v>
      </c>
      <c r="P42" s="63">
        <f t="shared" si="199"/>
        <v>25</v>
      </c>
      <c r="Q42" s="63">
        <f t="shared" si="200"/>
        <v>34</v>
      </c>
      <c r="R42" s="63">
        <f t="shared" si="201"/>
        <v>42</v>
      </c>
      <c r="S42" s="63" t="str">
        <f>IFERROR(VLOOKUP(MID(N42,Q42,R42-Q42),[5]skilldef!$C:$D,2,FALSE),"-") &amp; " / " &amp; IFERROR(VLOOKUP(MID(N42,O42,P42-O42),[5]skilldef!$A:$B,2,FALSE),"-")</f>
        <v>味方全体に / -</v>
      </c>
      <c r="T42" s="48" t="str">
        <f t="shared" si="202"/>
        <v>none</v>
      </c>
      <c r="U42" s="63" t="e">
        <f t="shared" si="28"/>
        <v>#VALUE!</v>
      </c>
      <c r="V42" s="63">
        <f t="shared" si="203"/>
        <v>4</v>
      </c>
      <c r="W42" s="63" t="e">
        <f t="shared" si="204"/>
        <v>#VALUE!</v>
      </c>
      <c r="X42" s="63" t="e">
        <f t="shared" si="205"/>
        <v>#VALUE!</v>
      </c>
      <c r="Y42" s="63" t="str">
        <f>IFERROR(VLOOKUP(MID(T42,W42,X42-W42),[5]skilldef!$C:$D,2,FALSE),"-") &amp; " / " &amp; IFERROR(VLOOKUP(MID(T42,U42,V42-U42),[5]skilldef!$A:$B,2,FALSE),"-")</f>
        <v>- / -</v>
      </c>
      <c r="Z42" s="51"/>
      <c r="AA42" s="52"/>
      <c r="AB42" s="51" t="s">
        <v>299</v>
      </c>
      <c r="AC42" s="51" t="s">
        <v>328</v>
      </c>
    </row>
    <row r="43" spans="1:29" ht="70" x14ac:dyDescent="0.15">
      <c r="A43" s="47">
        <v>48501042</v>
      </c>
      <c r="B43" s="47" t="s">
        <v>486</v>
      </c>
      <c r="C43" s="50">
        <v>1</v>
      </c>
      <c r="D43" s="50" t="s">
        <v>127</v>
      </c>
      <c r="E43" s="51" t="s">
        <v>412</v>
      </c>
      <c r="F43" s="51" t="s">
        <v>293</v>
      </c>
      <c r="G43" s="63" t="str">
        <f t="shared" ref="G43" si="206">IFERROR(LEFT(B43,FIND("],",B43)),B43)</f>
        <v>[effect:enemy_message, val1:1.5, val2:1.3]</v>
      </c>
      <c r="H43" s="63">
        <f t="shared" si="17"/>
        <v>9</v>
      </c>
      <c r="I43" s="63">
        <f t="shared" ref="I43" si="207">IFERROR(FIND(",",G43),LEN(G43))</f>
        <v>22</v>
      </c>
      <c r="J43" s="63" t="e">
        <f t="shared" ref="J43" si="208">FIND("target:",G43)+7</f>
        <v>#VALUE!</v>
      </c>
      <c r="K43" s="63">
        <f t="shared" ref="K43" si="209">FIND(",",G43,I43+1)</f>
        <v>32</v>
      </c>
      <c r="L43" s="63" t="str">
        <f>IFERROR(VLOOKUP(MID(G43,J43,K43-J43),[5]skilldef!$C:$D,2,FALSE),"-") &amp; " / " &amp; IFERROR(VLOOKUP(MID(G43,H43,I43-H43),[5]skilldef!$A:$B,2,FALSE),"-")</f>
        <v>- / -</v>
      </c>
      <c r="M43" s="63" t="str">
        <f t="shared" ref="M43" si="210">IFERROR(RIGHT(B43,LEN(B43)-FIND("],",B43)-1),"none")</f>
        <v>[effect:break_heal_ratio, target:myself, val:0.05, lowest_val:0.1, count:-1, block01:jammer, animation:enemy_heal]</v>
      </c>
      <c r="N43" s="48" t="str">
        <f t="shared" ref="N43:N49" si="211">IFERROR(LEFT(M43,FIND("],",M43)+S50),M43)</f>
        <v>[effect:break_heal_ratio, target:myself, val:0.05, lowest_val:0.1, count:-1, block01:jammer, animation:enemy_heal]</v>
      </c>
      <c r="O43" s="63">
        <f t="shared" si="23"/>
        <v>9</v>
      </c>
      <c r="P43" s="63">
        <f t="shared" ref="P43" si="212">IFERROR(FIND(",",N43),LEN(N43))</f>
        <v>25</v>
      </c>
      <c r="Q43" s="63">
        <f t="shared" ref="Q43" si="213">FIND("target:",N43)+7</f>
        <v>34</v>
      </c>
      <c r="R43" s="63">
        <f t="shared" ref="R43" si="214">FIND(",",N43,P43+1)</f>
        <v>40</v>
      </c>
      <c r="S43" s="63" t="str">
        <f>IFERROR(VLOOKUP(MID(N43,Q43,R43-Q43),[5]skilldef!$C:$D,2,FALSE),"-") &amp; " / " &amp; IFERROR(VLOOKUP(MID(N43,O43,P43-O43),[5]skilldef!$A:$B,2,FALSE),"-")</f>
        <v>自分自身に / -</v>
      </c>
      <c r="T43" s="48" t="str">
        <f t="shared" ref="T43" si="215">IFERROR(RIGHT(M43,LEN(M43)-FIND("],",M43)-1),"none")</f>
        <v>none</v>
      </c>
      <c r="U43" s="63" t="e">
        <f t="shared" si="28"/>
        <v>#VALUE!</v>
      </c>
      <c r="V43" s="63">
        <f t="shared" ref="V43" si="216">IFERROR(FIND(",",T43),LEN(T43))</f>
        <v>4</v>
      </c>
      <c r="W43" s="63" t="e">
        <f t="shared" ref="W43" si="217">FIND("target:",T43)+7</f>
        <v>#VALUE!</v>
      </c>
      <c r="X43" s="63" t="e">
        <f t="shared" ref="X43" si="218">FIND(",",T43,V43+1)</f>
        <v>#VALUE!</v>
      </c>
      <c r="Y43" s="63" t="str">
        <f>IFERROR(VLOOKUP(MID(T43,W43,X43-W43),[5]skilldef!$C:$D,2,FALSE),"-") &amp; " / " &amp; IFERROR(VLOOKUP(MID(T43,U43,V43-U43),[5]skilldef!$A:$B,2,FALSE),"-")</f>
        <v>- / -</v>
      </c>
      <c r="Z43" s="51"/>
      <c r="AA43" s="52"/>
      <c r="AB43" s="51" t="s">
        <v>299</v>
      </c>
      <c r="AC43" s="51" t="s">
        <v>293</v>
      </c>
    </row>
    <row r="44" spans="1:29" ht="154" x14ac:dyDescent="0.15">
      <c r="A44" s="47">
        <v>48501043</v>
      </c>
      <c r="B44" s="47" t="s">
        <v>567</v>
      </c>
      <c r="C44" s="50">
        <v>1</v>
      </c>
      <c r="D44" s="50" t="s">
        <v>127</v>
      </c>
      <c r="E44" s="51" t="s">
        <v>467</v>
      </c>
      <c r="F44" s="51" t="s">
        <v>555</v>
      </c>
      <c r="G44" s="63" t="str">
        <f t="shared" si="194"/>
        <v>[effect:enemy_message, val1:1.2, val2:3.1]</v>
      </c>
      <c r="H44" s="63">
        <f t="shared" si="17"/>
        <v>9</v>
      </c>
      <c r="I44" s="63">
        <f t="shared" si="195"/>
        <v>22</v>
      </c>
      <c r="J44" s="63" t="e">
        <f t="shared" si="196"/>
        <v>#VALUE!</v>
      </c>
      <c r="K44" s="63">
        <f t="shared" si="197"/>
        <v>32</v>
      </c>
      <c r="L44" s="63" t="str">
        <f>IFERROR(VLOOKUP(MID(G44,J44,K44-J44),[5]skilldef!$C:$D,2,FALSE),"-") &amp; " / " &amp; IFERROR(VLOOKUP(MID(G44,H44,I44-H44),[5]skilldef!$A:$B,2,FALSE),"-")</f>
        <v>- / -</v>
      </c>
      <c r="M44" s="63" t="str">
        <f t="shared" si="198"/>
        <v>[effect:virus, target:unit_all, turn:4, rate:1, val:0.3, animation:enemy_virus],[effect:force_change_block, new_block:jammer, target:block_all, ignore01:crash, ignore02:crack_bomb, ignore03:color_break, ignore04:jammer, ignore05:magnet, count:5, val:0, animation:change_block]</v>
      </c>
      <c r="N44" s="48" t="str">
        <f t="shared" si="211"/>
        <v>[effect:virus, target:unit_all, turn:4, rate:1, val:0.3, animation:enemy_virus],[effect:force_change_block, new_block:jammer, target:block_all, ignore01:crash, ignore02:crack_bomb, ignore03:color_break, ignore04:jammer, ignore05:magnet, count:5, val:0, animation:change_block]</v>
      </c>
      <c r="O44" s="63">
        <f t="shared" si="23"/>
        <v>9</v>
      </c>
      <c r="P44" s="63">
        <f t="shared" si="199"/>
        <v>14</v>
      </c>
      <c r="Q44" s="63">
        <f t="shared" si="200"/>
        <v>23</v>
      </c>
      <c r="R44" s="63">
        <f t="shared" si="201"/>
        <v>31</v>
      </c>
      <c r="S44" s="63" t="str">
        <f>IFERROR(VLOOKUP(MID(N44,Q44,R44-Q44),[5]skilldef!$C:$D,2,FALSE),"-") &amp; " / " &amp; IFERROR(VLOOKUP(MID(N44,O44,P44-O44),[5]skilldef!$A:$B,2,FALSE),"-")</f>
        <v>味方全体に / ウィルス</v>
      </c>
      <c r="T44" s="48" t="str">
        <f t="shared" si="202"/>
        <v>[effect:force_change_block, new_block:jammer, target:block_all, ignore01:crash, ignore02:crack_bomb, ignore03:color_break, ignore04:jammer, ignore05:magnet, count:5, val:0, animation:change_block]</v>
      </c>
      <c r="U44" s="63">
        <f t="shared" si="28"/>
        <v>9</v>
      </c>
      <c r="V44" s="63">
        <f t="shared" si="203"/>
        <v>27</v>
      </c>
      <c r="W44" s="63">
        <f t="shared" si="204"/>
        <v>54</v>
      </c>
      <c r="X44" s="63">
        <f t="shared" si="205"/>
        <v>45</v>
      </c>
      <c r="Y44" s="63" t="str">
        <f>IFERROR(VLOOKUP(MID(T44,W44,X44-W44),[5]skilldef!$C:$D,2,FALSE),"-") &amp; " / " &amp; IFERROR(VLOOKUP(MID(T44,U44,V44-U44),[5]skilldef!$A:$B,2,FALSE),"-")</f>
        <v>- / -</v>
      </c>
      <c r="Z44" s="51"/>
      <c r="AA44" s="52"/>
      <c r="AB44" s="51" t="s">
        <v>304</v>
      </c>
      <c r="AC44" s="51" t="s">
        <v>354</v>
      </c>
    </row>
    <row r="45" spans="1:29" ht="42" x14ac:dyDescent="0.15">
      <c r="A45" s="47">
        <v>48501044</v>
      </c>
      <c r="B45" s="47" t="s">
        <v>568</v>
      </c>
      <c r="C45" s="50">
        <v>1</v>
      </c>
      <c r="D45" s="50" t="s">
        <v>127</v>
      </c>
      <c r="E45" s="51" t="s">
        <v>407</v>
      </c>
      <c r="F45" s="51" t="s">
        <v>534</v>
      </c>
      <c r="G45" s="63" t="str">
        <f t="shared" si="194"/>
        <v>[effect:enemy_message, val1:1.4, val2:2.4]</v>
      </c>
      <c r="H45" s="63">
        <f t="shared" si="17"/>
        <v>9</v>
      </c>
      <c r="I45" s="63">
        <f t="shared" si="195"/>
        <v>22</v>
      </c>
      <c r="J45" s="63" t="e">
        <f t="shared" si="196"/>
        <v>#VALUE!</v>
      </c>
      <c r="K45" s="63">
        <f t="shared" si="197"/>
        <v>32</v>
      </c>
      <c r="L45" s="63" t="str">
        <f>IFERROR(VLOOKUP(MID(G45,J45,K45-J45),[5]skilldef!$C:$D,2,FALSE),"-") &amp; " / " &amp; IFERROR(VLOOKUP(MID(G45,H45,I45-H45),[5]skilldef!$A:$B,2,FALSE),"-")</f>
        <v>- / -</v>
      </c>
      <c r="M45" s="63" t="str">
        <f t="shared" si="198"/>
        <v>none</v>
      </c>
      <c r="N45" s="48" t="str">
        <f t="shared" si="211"/>
        <v>none</v>
      </c>
      <c r="O45" s="63" t="e">
        <f t="shared" si="23"/>
        <v>#VALUE!</v>
      </c>
      <c r="P45" s="63">
        <f t="shared" si="199"/>
        <v>4</v>
      </c>
      <c r="Q45" s="63" t="e">
        <f t="shared" si="200"/>
        <v>#VALUE!</v>
      </c>
      <c r="R45" s="63" t="e">
        <f t="shared" si="201"/>
        <v>#VALUE!</v>
      </c>
      <c r="S45" s="63" t="str">
        <f>IFERROR(VLOOKUP(MID(N45,Q45,R45-Q45),[5]skilldef!$C:$D,2,FALSE),"-") &amp; " / " &amp; IFERROR(VLOOKUP(MID(N45,O45,P45-O45),[5]skilldef!$A:$B,2,FALSE),"-")</f>
        <v>- / -</v>
      </c>
      <c r="T45" s="48" t="str">
        <f t="shared" si="202"/>
        <v>none</v>
      </c>
      <c r="U45" s="63" t="e">
        <f t="shared" si="28"/>
        <v>#VALUE!</v>
      </c>
      <c r="V45" s="63">
        <f t="shared" si="203"/>
        <v>4</v>
      </c>
      <c r="W45" s="63" t="e">
        <f t="shared" si="204"/>
        <v>#VALUE!</v>
      </c>
      <c r="X45" s="63" t="e">
        <f t="shared" si="205"/>
        <v>#VALUE!</v>
      </c>
      <c r="Y45" s="63" t="str">
        <f>IFERROR(VLOOKUP(MID(T45,W45,X45-W45),[5]skilldef!$C:$D,2,FALSE),"-") &amp; " / " &amp; IFERROR(VLOOKUP(MID(T45,U45,V45-U45),[5]skilldef!$A:$B,2,FALSE),"-")</f>
        <v>- / -</v>
      </c>
      <c r="Z45" s="51"/>
      <c r="AA45" s="52"/>
      <c r="AB45" s="51" t="s">
        <v>306</v>
      </c>
      <c r="AC45" s="51" t="s">
        <v>329</v>
      </c>
    </row>
    <row r="46" spans="1:29" ht="112" x14ac:dyDescent="0.15">
      <c r="A46" s="47">
        <v>48501045</v>
      </c>
      <c r="B46" s="47" t="s">
        <v>569</v>
      </c>
      <c r="C46" s="50">
        <v>1</v>
      </c>
      <c r="D46" s="50" t="s">
        <v>127</v>
      </c>
      <c r="E46" s="51" t="s">
        <v>433</v>
      </c>
      <c r="F46" s="51" t="s">
        <v>533</v>
      </c>
      <c r="G46" s="63" t="str">
        <f t="shared" ref="G46:G47" si="219">IFERROR(LEFT(B46,FIND("],",B46)),B46)</f>
        <v>[effect:enemy_message, val1:1.5, val2:3.3]</v>
      </c>
      <c r="H46" s="63">
        <f t="shared" si="17"/>
        <v>9</v>
      </c>
      <c r="I46" s="63">
        <f t="shared" ref="I46:I47" si="220">IFERROR(FIND(",",G46),LEN(G46))</f>
        <v>22</v>
      </c>
      <c r="J46" s="63" t="e">
        <f t="shared" ref="J46:J47" si="221">FIND("target:",G46)+7</f>
        <v>#VALUE!</v>
      </c>
      <c r="K46" s="63">
        <f t="shared" ref="K46:K47" si="222">FIND(",",G46,I46+1)</f>
        <v>32</v>
      </c>
      <c r="L46" s="63" t="str">
        <f>IFERROR(VLOOKUP(MID(G46,J46,K46-J46),[5]skilldef!$C:$D,2,FALSE),"-") &amp; " / " &amp; IFERROR(VLOOKUP(MID(G46,H46,I46-H46),[5]skilldef!$A:$B,2,FALSE),"-")</f>
        <v>- / -</v>
      </c>
      <c r="M46" s="63" t="str">
        <f t="shared" ref="M46:M47" si="223">IFERROR(RIGHT(B46,LEN(B46)-FIND("],",B46)-1),"none")</f>
        <v>[effect:break_attack, target:unit_all, val:10, lowest_val:7500, count:-1, color:green, block01:block_blue],[effect:change_panel_ratio, turn:-1, block_type:blue, val:0, animation:block_incidence04]</v>
      </c>
      <c r="N46" s="48" t="str">
        <f t="shared" si="211"/>
        <v>[effect:break_attack, target:unit_all, val:10, lowest_val:7500, count:-1, color:green, block01:block_blue],[effect:change_panel_ratio, turn:-1, block_type:blue, val:0, animation:block_incidence04]</v>
      </c>
      <c r="O46" s="63">
        <f t="shared" si="23"/>
        <v>9</v>
      </c>
      <c r="P46" s="63">
        <f t="shared" ref="P46:P47" si="224">IFERROR(FIND(",",N46),LEN(N46))</f>
        <v>21</v>
      </c>
      <c r="Q46" s="63">
        <f t="shared" ref="Q46:Q47" si="225">FIND("target:",N46)+7</f>
        <v>30</v>
      </c>
      <c r="R46" s="63">
        <f t="shared" ref="R46:R47" si="226">FIND(",",N46,P46+1)</f>
        <v>38</v>
      </c>
      <c r="S46" s="63" t="str">
        <f>IFERROR(VLOOKUP(MID(N46,Q46,R46-Q46),[5]skilldef!$C:$D,2,FALSE),"-") &amp; " / " &amp; IFERROR(VLOOKUP(MID(N46,O46,P46-O46),[5]skilldef!$A:$B,2,FALSE),"-")</f>
        <v>味方全体に / -</v>
      </c>
      <c r="T46" s="48" t="str">
        <f t="shared" ref="T46:T47" si="227">IFERROR(RIGHT(M46,LEN(M46)-FIND("],",M46)-1),"none")</f>
        <v>[effect:change_panel_ratio, turn:-1, block_type:blue, val:0, animation:block_incidence04]</v>
      </c>
      <c r="U46" s="63">
        <f t="shared" si="28"/>
        <v>9</v>
      </c>
      <c r="V46" s="63">
        <f t="shared" ref="V46:V47" si="228">IFERROR(FIND(",",T46),LEN(T46))</f>
        <v>27</v>
      </c>
      <c r="W46" s="63" t="e">
        <f t="shared" ref="W46:W47" si="229">FIND("target:",T46)+7</f>
        <v>#VALUE!</v>
      </c>
      <c r="X46" s="63">
        <f t="shared" ref="X46:X47" si="230">FIND(",",T46,V46+1)</f>
        <v>36</v>
      </c>
      <c r="Y46" s="63" t="str">
        <f>IFERROR(VLOOKUP(MID(T46,W46,X46-W46),[5]skilldef!$C:$D,2,FALSE),"-") &amp; " / " &amp; IFERROR(VLOOKUP(MID(T46,U46,V46-U46),[5]skilldef!$A:$B,2,FALSE),"-")</f>
        <v>- / -</v>
      </c>
      <c r="Z46" s="51"/>
      <c r="AA46" s="52"/>
      <c r="AB46" s="51" t="s">
        <v>377</v>
      </c>
      <c r="AC46" s="51" t="s">
        <v>330</v>
      </c>
    </row>
    <row r="47" spans="1:29" ht="28" x14ac:dyDescent="0.15">
      <c r="A47" s="47">
        <v>48501046</v>
      </c>
      <c r="B47" s="47" t="s">
        <v>583</v>
      </c>
      <c r="C47" s="50">
        <v>1</v>
      </c>
      <c r="D47" s="50" t="s">
        <v>127</v>
      </c>
      <c r="E47" s="51" t="s">
        <v>408</v>
      </c>
      <c r="F47" s="51" t="s">
        <v>409</v>
      </c>
      <c r="G47" s="63" t="str">
        <f t="shared" si="219"/>
        <v>[effect:enemy_message, val1:1.7, val2:1.7, dead_type:suicide]</v>
      </c>
      <c r="H47" s="63">
        <f t="shared" ref="H47" si="231">FIND("effect:",G47)+7</f>
        <v>9</v>
      </c>
      <c r="I47" s="63">
        <f t="shared" si="220"/>
        <v>22</v>
      </c>
      <c r="J47" s="63" t="e">
        <f t="shared" si="221"/>
        <v>#VALUE!</v>
      </c>
      <c r="K47" s="63">
        <f t="shared" si="222"/>
        <v>32</v>
      </c>
      <c r="L47" s="63" t="str">
        <f>IFERROR(VLOOKUP(MID(G47,J47,K47-J47),[5]skilldef!$C:$D,2,FALSE),"-") &amp; " / " &amp; IFERROR(VLOOKUP(MID(G47,H47,I47-H47),[5]skilldef!$A:$B,2,FALSE),"-")</f>
        <v>- / -</v>
      </c>
      <c r="M47" s="63" t="str">
        <f t="shared" si="223"/>
        <v>none</v>
      </c>
      <c r="N47" s="48" t="str">
        <f t="shared" si="211"/>
        <v>none</v>
      </c>
      <c r="O47" s="63" t="e">
        <f t="shared" ref="O47" si="232">FIND("effect:",N47)+7</f>
        <v>#VALUE!</v>
      </c>
      <c r="P47" s="63">
        <f t="shared" si="224"/>
        <v>4</v>
      </c>
      <c r="Q47" s="63" t="e">
        <f t="shared" si="225"/>
        <v>#VALUE!</v>
      </c>
      <c r="R47" s="63" t="e">
        <f t="shared" si="226"/>
        <v>#VALUE!</v>
      </c>
      <c r="S47" s="63" t="str">
        <f>IFERROR(VLOOKUP(MID(N47,Q47,R47-Q47),[5]skilldef!$C:$D,2,FALSE),"-") &amp; " / " &amp; IFERROR(VLOOKUP(MID(N47,O47,P47-O47),[5]skilldef!$A:$B,2,FALSE),"-")</f>
        <v>- / -</v>
      </c>
      <c r="T47" s="48" t="str">
        <f t="shared" si="227"/>
        <v>none</v>
      </c>
      <c r="U47" s="63" t="e">
        <f t="shared" ref="U47" si="233">FIND("effect:",T47)+7</f>
        <v>#VALUE!</v>
      </c>
      <c r="V47" s="63">
        <f t="shared" si="228"/>
        <v>4</v>
      </c>
      <c r="W47" s="63" t="e">
        <f t="shared" si="229"/>
        <v>#VALUE!</v>
      </c>
      <c r="X47" s="63" t="e">
        <f t="shared" si="230"/>
        <v>#VALUE!</v>
      </c>
      <c r="Y47" s="63" t="str">
        <f>IFERROR(VLOOKUP(MID(T47,W47,X47-W47),[5]skilldef!$C:$D,2,FALSE),"-") &amp; " / " &amp; IFERROR(VLOOKUP(MID(T47,U47,V47-U47),[5]skilldef!$A:$B,2,FALSE),"-")</f>
        <v>- / -</v>
      </c>
      <c r="Z47" s="51"/>
      <c r="AA47" s="52"/>
      <c r="AB47" s="51" t="s">
        <v>342</v>
      </c>
      <c r="AC47" s="51" t="s">
        <v>343</v>
      </c>
    </row>
    <row r="48" spans="1:29" ht="28" x14ac:dyDescent="0.15">
      <c r="A48" s="47">
        <v>48501047</v>
      </c>
      <c r="B48" s="47" t="s">
        <v>584</v>
      </c>
      <c r="C48" s="50">
        <v>1</v>
      </c>
      <c r="D48" s="50" t="s">
        <v>127</v>
      </c>
      <c r="E48" s="51" t="s">
        <v>418</v>
      </c>
      <c r="F48" s="51" t="s">
        <v>420</v>
      </c>
      <c r="G48" s="63" t="str">
        <f t="shared" ref="G48:G49" si="234">IFERROR(LEFT(B48,FIND("],",B48)),B48)</f>
        <v>[effect:enemy_message, val1:2.2, val2:2.0, dead_type:suicide]</v>
      </c>
      <c r="H48" s="63">
        <f t="shared" ref="H48:H49" si="235">FIND("effect:",G48)+7</f>
        <v>9</v>
      </c>
      <c r="I48" s="63">
        <f t="shared" ref="I48:I49" si="236">IFERROR(FIND(",",G48),LEN(G48))</f>
        <v>22</v>
      </c>
      <c r="J48" s="63" t="e">
        <f t="shared" ref="J48:J49" si="237">FIND("target:",G48)+7</f>
        <v>#VALUE!</v>
      </c>
      <c r="K48" s="63">
        <f t="shared" ref="K48:K49" si="238">FIND(",",G48,I48+1)</f>
        <v>32</v>
      </c>
      <c r="L48" s="63" t="str">
        <f>IFERROR(VLOOKUP(MID(G48,J48,K48-J48),[5]skilldef!$C:$D,2,FALSE),"-") &amp; " / " &amp; IFERROR(VLOOKUP(MID(G48,H48,I48-H48),[5]skilldef!$A:$B,2,FALSE),"-")</f>
        <v>- / -</v>
      </c>
      <c r="M48" s="63" t="str">
        <f t="shared" ref="M48:M49" si="239">IFERROR(RIGHT(B48,LEN(B48)-FIND("],",B48)-1),"none")</f>
        <v>none</v>
      </c>
      <c r="N48" s="48" t="str">
        <f t="shared" si="211"/>
        <v>none</v>
      </c>
      <c r="O48" s="63" t="e">
        <f t="shared" ref="O48:O49" si="240">FIND("effect:",N48)+7</f>
        <v>#VALUE!</v>
      </c>
      <c r="P48" s="63">
        <f t="shared" ref="P48:P49" si="241">IFERROR(FIND(",",N48),LEN(N48))</f>
        <v>4</v>
      </c>
      <c r="Q48" s="63" t="e">
        <f t="shared" ref="Q48:Q49" si="242">FIND("target:",N48)+7</f>
        <v>#VALUE!</v>
      </c>
      <c r="R48" s="63" t="e">
        <f t="shared" ref="R48:R49" si="243">FIND(",",N48,P48+1)</f>
        <v>#VALUE!</v>
      </c>
      <c r="S48" s="63" t="str">
        <f>IFERROR(VLOOKUP(MID(N48,Q48,R48-Q48),[5]skilldef!$C:$D,2,FALSE),"-") &amp; " / " &amp; IFERROR(VLOOKUP(MID(N48,O48,P48-O48),[5]skilldef!$A:$B,2,FALSE),"-")</f>
        <v>- / -</v>
      </c>
      <c r="T48" s="48" t="str">
        <f t="shared" ref="T48:T49" si="244">IFERROR(RIGHT(M48,LEN(M48)-FIND("],",M48)-1),"none")</f>
        <v>none</v>
      </c>
      <c r="U48" s="63" t="e">
        <f t="shared" ref="U48:U49" si="245">FIND("effect:",T48)+7</f>
        <v>#VALUE!</v>
      </c>
      <c r="V48" s="63">
        <f t="shared" ref="V48:V49" si="246">IFERROR(FIND(",",T48),LEN(T48))</f>
        <v>4</v>
      </c>
      <c r="W48" s="63" t="e">
        <f t="shared" ref="W48:W49" si="247">FIND("target:",T48)+7</f>
        <v>#VALUE!</v>
      </c>
      <c r="X48" s="63" t="e">
        <f t="shared" ref="X48:X49" si="248">FIND(",",T48,V48+1)</f>
        <v>#VALUE!</v>
      </c>
      <c r="Y48" s="63" t="str">
        <f>IFERROR(VLOOKUP(MID(T48,W48,X48-W48),[5]skilldef!$C:$D,2,FALSE),"-") &amp; " / " &amp; IFERROR(VLOOKUP(MID(T48,U48,V48-U48),[5]skilldef!$A:$B,2,FALSE),"-")</f>
        <v>- / -</v>
      </c>
      <c r="Z48" s="51"/>
      <c r="AA48" s="52"/>
      <c r="AB48" s="51" t="s">
        <v>340</v>
      </c>
      <c r="AC48" s="51" t="s">
        <v>344</v>
      </c>
    </row>
    <row r="49" spans="1:29" ht="28" x14ac:dyDescent="0.15">
      <c r="A49" s="47">
        <v>48501048</v>
      </c>
      <c r="B49" s="47" t="s">
        <v>585</v>
      </c>
      <c r="C49" s="50">
        <v>1</v>
      </c>
      <c r="D49" s="50" t="s">
        <v>127</v>
      </c>
      <c r="E49" s="51" t="s">
        <v>410</v>
      </c>
      <c r="F49" s="51" t="s">
        <v>411</v>
      </c>
      <c r="G49" s="63" t="str">
        <f t="shared" si="234"/>
        <v>[effect:enemy_message, val1:2.2, val2:2.0, dead_type:suicide]</v>
      </c>
      <c r="H49" s="63">
        <f t="shared" si="235"/>
        <v>9</v>
      </c>
      <c r="I49" s="63">
        <f t="shared" si="236"/>
        <v>22</v>
      </c>
      <c r="J49" s="63" t="e">
        <f t="shared" si="237"/>
        <v>#VALUE!</v>
      </c>
      <c r="K49" s="63">
        <f t="shared" si="238"/>
        <v>32</v>
      </c>
      <c r="L49" s="63" t="str">
        <f>IFERROR(VLOOKUP(MID(G49,J49,K49-J49),[5]skilldef!$C:$D,2,FALSE),"-") &amp; " / " &amp; IFERROR(VLOOKUP(MID(G49,H49,I49-H49),[5]skilldef!$A:$B,2,FALSE),"-")</f>
        <v>- / -</v>
      </c>
      <c r="M49" s="63" t="str">
        <f t="shared" si="239"/>
        <v>none</v>
      </c>
      <c r="N49" s="48" t="str">
        <f t="shared" si="211"/>
        <v>none</v>
      </c>
      <c r="O49" s="63" t="e">
        <f t="shared" si="240"/>
        <v>#VALUE!</v>
      </c>
      <c r="P49" s="63">
        <f t="shared" si="241"/>
        <v>4</v>
      </c>
      <c r="Q49" s="63" t="e">
        <f t="shared" si="242"/>
        <v>#VALUE!</v>
      </c>
      <c r="R49" s="63" t="e">
        <f t="shared" si="243"/>
        <v>#VALUE!</v>
      </c>
      <c r="S49" s="63" t="str">
        <f>IFERROR(VLOOKUP(MID(N49,Q49,R49-Q49),[5]skilldef!$C:$D,2,FALSE),"-") &amp; " / " &amp; IFERROR(VLOOKUP(MID(N49,O49,P49-O49),[5]skilldef!$A:$B,2,FALSE),"-")</f>
        <v>- / -</v>
      </c>
      <c r="T49" s="48" t="str">
        <f t="shared" si="244"/>
        <v>none</v>
      </c>
      <c r="U49" s="63" t="e">
        <f t="shared" si="245"/>
        <v>#VALUE!</v>
      </c>
      <c r="V49" s="63">
        <f t="shared" si="246"/>
        <v>4</v>
      </c>
      <c r="W49" s="63" t="e">
        <f t="shared" si="247"/>
        <v>#VALUE!</v>
      </c>
      <c r="X49" s="63" t="e">
        <f t="shared" si="248"/>
        <v>#VALUE!</v>
      </c>
      <c r="Y49" s="63" t="str">
        <f>IFERROR(VLOOKUP(MID(T49,W49,X49-W49),[5]skilldef!$C:$D,2,FALSE),"-") &amp; " / " &amp; IFERROR(VLOOKUP(MID(T49,U49,V49-U49),[5]skilldef!$A:$B,2,FALSE),"-")</f>
        <v>- / -</v>
      </c>
      <c r="Z49" s="51"/>
      <c r="AA49" s="52"/>
      <c r="AB49" s="51" t="s">
        <v>341</v>
      </c>
      <c r="AC49" s="51" t="s">
        <v>345</v>
      </c>
    </row>
    <row r="50" spans="1:29" ht="21" customHeight="1" x14ac:dyDescent="0.15">
      <c r="A50" s="109">
        <v>48501049</v>
      </c>
      <c r="B50" s="109" t="s">
        <v>487</v>
      </c>
      <c r="C50" s="110">
        <v>1</v>
      </c>
      <c r="D50" s="110" t="s">
        <v>127</v>
      </c>
      <c r="E50" s="111" t="s">
        <v>468</v>
      </c>
      <c r="F50" s="111" t="s">
        <v>545</v>
      </c>
      <c r="G50" s="111" t="str">
        <f>IFERROR(LEFT(B50,FIND("],",B50)),B50)</f>
        <v>[effect:enemy_message, val1:1.2, val2:1.2]</v>
      </c>
      <c r="H50" s="111">
        <f>FIND("effect:",G50)+7</f>
        <v>9</v>
      </c>
      <c r="I50" s="111">
        <f>IFERROR(FIND(",",G50),LEN(G50))</f>
        <v>22</v>
      </c>
      <c r="J50" s="111" t="e">
        <f>FIND("target:",G50)+7</f>
        <v>#VALUE!</v>
      </c>
      <c r="K50" s="111">
        <f>FIND(",",G50,I50+1)</f>
        <v>32</v>
      </c>
      <c r="L50" s="111" t="str">
        <f>IFERROR(VLOOKUP(MID(G50,J50,K50-J50),[5]skilldef!$C:$D,2,FALSE),"-") &amp; " / " &amp; IFERROR(VLOOKUP(MID(G50,H50,I50-H50),[5]skilldef!$A:$B,2,FALSE),"-")</f>
        <v>- / -</v>
      </c>
      <c r="M50" s="111" t="str">
        <f>IFERROR(RIGHT(B50,LEN(B50)-FIND("],",B50)-1),"none")</f>
        <v>[effect:critical, val:1.3, animation:enemy_critical]</v>
      </c>
      <c r="N50" s="109" t="str">
        <f>IFERROR(LEFT(M50,FIND("],",M50)+S60),M50)</f>
        <v>[effect:critical, val:1.3, animation:enemy_critical]</v>
      </c>
      <c r="O50" s="111">
        <f>FIND("effect:",N50)+7</f>
        <v>9</v>
      </c>
      <c r="P50" s="111">
        <f>IFERROR(FIND(",",N50),LEN(N50))</f>
        <v>17</v>
      </c>
      <c r="Q50" s="111" t="e">
        <f>FIND("target:",N50)+7</f>
        <v>#VALUE!</v>
      </c>
      <c r="R50" s="111">
        <f>FIND(",",N50,P50+1)</f>
        <v>26</v>
      </c>
      <c r="S50" s="111" t="str">
        <f>IFERROR(VLOOKUP(MID(N50,Q50,R50-Q50),[5]skilldef!$C:$D,2,FALSE),"-") &amp; " / " &amp; IFERROR(VLOOKUP(MID(N50,O50,P50-O50),[5]skilldef!$A:$B,2,FALSE),"-")</f>
        <v>- / 大攻撃</v>
      </c>
      <c r="T50" s="109" t="str">
        <f>IFERROR(RIGHT(M50,LEN(M50)-FIND("],",M50)-1),"none")</f>
        <v>none</v>
      </c>
      <c r="U50" s="111" t="e">
        <f>FIND("effect:",T50)+7</f>
        <v>#VALUE!</v>
      </c>
      <c r="V50" s="111">
        <f>IFERROR(FIND(",",T50),LEN(T50))</f>
        <v>4</v>
      </c>
      <c r="W50" s="111" t="e">
        <f>FIND("target:",T50)+7</f>
        <v>#VALUE!</v>
      </c>
      <c r="X50" s="111" t="e">
        <f>FIND(",",T50,V50+1)</f>
        <v>#VALUE!</v>
      </c>
      <c r="Y50" s="111" t="str">
        <f>IFERROR(VLOOKUP(MID(T50,W50,X50-W50),[5]skilldef!$C:$D,2,FALSE),"-") &amp; " / " &amp; IFERROR(VLOOKUP(MID(T50,U50,V50-U50),[5]skilldef!$A:$B,2,FALSE),"-")</f>
        <v>- / -</v>
      </c>
      <c r="Z50" s="110"/>
      <c r="AA50" s="112"/>
      <c r="AB50" s="111" t="s">
        <v>357</v>
      </c>
      <c r="AC50" s="111" t="s">
        <v>256</v>
      </c>
    </row>
    <row r="51" spans="1:29" ht="21" customHeight="1" x14ac:dyDescent="0.15">
      <c r="A51" s="109">
        <v>48501050</v>
      </c>
      <c r="B51" s="109" t="s">
        <v>488</v>
      </c>
      <c r="C51" s="110">
        <v>1</v>
      </c>
      <c r="D51" s="110" t="s">
        <v>127</v>
      </c>
      <c r="E51" s="111" t="s">
        <v>379</v>
      </c>
      <c r="F51" s="111" t="s">
        <v>312</v>
      </c>
      <c r="G51" s="111" t="str">
        <f t="shared" ref="G51:G97" si="249">IFERROR(LEFT(B51,FIND("],",B51)),B51)</f>
        <v>[effect:enemy_message, val1:1.2, val2:1.2]</v>
      </c>
      <c r="H51" s="111">
        <f t="shared" ref="H51:H97" si="250">FIND("effect:",G51)+7</f>
        <v>9</v>
      </c>
      <c r="I51" s="111">
        <f t="shared" ref="I51:I97" si="251">IFERROR(FIND(",",G51),LEN(G51))</f>
        <v>22</v>
      </c>
      <c r="J51" s="111" t="e">
        <f t="shared" ref="J51:J97" si="252">FIND("target:",G51)+7</f>
        <v>#VALUE!</v>
      </c>
      <c r="K51" s="111">
        <f t="shared" ref="K51:K97" si="253">FIND(",",G51,I51+1)</f>
        <v>32</v>
      </c>
      <c r="L51" s="111" t="str">
        <f>IFERROR(VLOOKUP(MID(G51,J51,K51-J51),[5]skilldef!$C:$D,2,FALSE),"-") &amp; " / " &amp; IFERROR(VLOOKUP(MID(G51,H51,I51-H51),[5]skilldef!$A:$B,2,FALSE),"-")</f>
        <v>- / -</v>
      </c>
      <c r="M51" s="111" t="str">
        <f t="shared" ref="M51:M97" si="254">IFERROR(RIGHT(B51,LEN(B51)-FIND("],",B51)-1),"none")</f>
        <v>[effect:spread, val:0.25],[effect:fix_speed, target:myself, turn:1]</v>
      </c>
      <c r="N51" s="109" t="str">
        <f t="shared" ref="N51:N56" si="255">IFERROR(LEFT(M51,FIND("],",M51)+S60),M51)</f>
        <v>[effect:spread, val:0.25],[effect:fix_speed, target:myself, turn:1]</v>
      </c>
      <c r="O51" s="111">
        <f t="shared" ref="O51:O97" si="256">FIND("effect:",N51)+7</f>
        <v>9</v>
      </c>
      <c r="P51" s="111">
        <f t="shared" ref="P51:P97" si="257">IFERROR(FIND(",",N51),LEN(N51))</f>
        <v>15</v>
      </c>
      <c r="Q51" s="111">
        <f t="shared" ref="Q51:Q97" si="258">FIND("target:",N51)+7</f>
        <v>53</v>
      </c>
      <c r="R51" s="111">
        <f t="shared" ref="R51:R97" si="259">FIND(",",N51,P51+1)</f>
        <v>26</v>
      </c>
      <c r="S51" s="111" t="str">
        <f>IFERROR(VLOOKUP(MID(N51,Q51,R51-Q51),[5]skilldef!$C:$D,2,FALSE),"-") &amp; " / " &amp; IFERROR(VLOOKUP(MID(N51,O51,P51-O51),[5]skilldef!$A:$B,2,FALSE),"-")</f>
        <v>- / 全体攻撃</v>
      </c>
      <c r="T51" s="109" t="str">
        <f t="shared" ref="T51:T97" si="260">IFERROR(RIGHT(M51,LEN(M51)-FIND("],",M51)-1),"none")</f>
        <v>[effect:fix_speed, target:myself, turn:1]</v>
      </c>
      <c r="U51" s="111">
        <f t="shared" ref="U51:U97" si="261">FIND("effect:",T51)+7</f>
        <v>9</v>
      </c>
      <c r="V51" s="111">
        <f t="shared" ref="V51:V97" si="262">IFERROR(FIND(",",T51),LEN(T51))</f>
        <v>18</v>
      </c>
      <c r="W51" s="111">
        <f t="shared" ref="W51:W97" si="263">FIND("target:",T51)+7</f>
        <v>27</v>
      </c>
      <c r="X51" s="111">
        <f t="shared" ref="X51:X97" si="264">FIND(",",T51,V51+1)</f>
        <v>33</v>
      </c>
      <c r="Y51" s="111" t="str">
        <f>IFERROR(VLOOKUP(MID(T51,W51,X51-W51),[5]skilldef!$C:$D,2,FALSE),"-") &amp; " / " &amp; IFERROR(VLOOKUP(MID(T51,U51,V51-U51),[5]skilldef!$A:$B,2,FALSE),"-")</f>
        <v>自分自身に / 行動値設定</v>
      </c>
      <c r="Z51" s="110"/>
      <c r="AA51" s="112"/>
      <c r="AB51" s="111" t="s">
        <v>358</v>
      </c>
      <c r="AC51" s="111" t="s">
        <v>312</v>
      </c>
    </row>
    <row r="52" spans="1:29" ht="21" customHeight="1" x14ac:dyDescent="0.15">
      <c r="A52" s="109">
        <v>48501051</v>
      </c>
      <c r="B52" s="109" t="s">
        <v>570</v>
      </c>
      <c r="C52" s="110">
        <v>1</v>
      </c>
      <c r="D52" s="110" t="s">
        <v>127</v>
      </c>
      <c r="E52" s="111" t="s">
        <v>380</v>
      </c>
      <c r="F52" s="111" t="s">
        <v>537</v>
      </c>
      <c r="G52" s="111" t="str">
        <f t="shared" si="249"/>
        <v>[effect:enemy_message, val1:1.2, val2:1.4]</v>
      </c>
      <c r="H52" s="111">
        <f t="shared" si="250"/>
        <v>9</v>
      </c>
      <c r="I52" s="111">
        <f t="shared" si="251"/>
        <v>22</v>
      </c>
      <c r="J52" s="111" t="e">
        <f t="shared" si="252"/>
        <v>#VALUE!</v>
      </c>
      <c r="K52" s="111">
        <f t="shared" si="253"/>
        <v>32</v>
      </c>
      <c r="L52" s="111" t="str">
        <f>IFERROR(VLOOKUP(MID(G52,J52,K52-J52),[5]skilldef!$C:$D,2,FALSE),"-") &amp; " / " &amp; IFERROR(VLOOKUP(MID(G52,H52,I52-H52),[5]skilldef!$A:$B,2,FALSE),"-")</f>
        <v>- / -</v>
      </c>
      <c r="M52" s="111" t="str">
        <f t="shared" si="254"/>
        <v>[effect:virus, target:unit_all, turn:2, rate:1, val:0.1, animation:enemy_virus],[effect:fix_speed, target:myself, turn:2]</v>
      </c>
      <c r="N52" s="109" t="str">
        <f t="shared" si="255"/>
        <v>[effect:virus, target:unit_all, turn:2, rate:1, val:0.1, animation:enemy_virus],[effect:fix_speed, target:myself, turn:2]</v>
      </c>
      <c r="O52" s="111">
        <f t="shared" si="256"/>
        <v>9</v>
      </c>
      <c r="P52" s="111">
        <f t="shared" si="257"/>
        <v>14</v>
      </c>
      <c r="Q52" s="111">
        <f t="shared" si="258"/>
        <v>23</v>
      </c>
      <c r="R52" s="111">
        <f t="shared" si="259"/>
        <v>31</v>
      </c>
      <c r="S52" s="111" t="str">
        <f>IFERROR(VLOOKUP(MID(N52,Q52,R52-Q52),[5]skilldef!$C:$D,2,FALSE),"-") &amp; " / " &amp; IFERROR(VLOOKUP(MID(N52,O52,P52-O52),[5]skilldef!$A:$B,2,FALSE),"-")</f>
        <v>味方全体に / ウィルス</v>
      </c>
      <c r="T52" s="109" t="str">
        <f t="shared" si="260"/>
        <v>[effect:fix_speed, target:myself, turn:2]</v>
      </c>
      <c r="U52" s="111">
        <f t="shared" si="261"/>
        <v>9</v>
      </c>
      <c r="V52" s="111">
        <f t="shared" si="262"/>
        <v>18</v>
      </c>
      <c r="W52" s="111">
        <f t="shared" si="263"/>
        <v>27</v>
      </c>
      <c r="X52" s="111">
        <f t="shared" si="264"/>
        <v>33</v>
      </c>
      <c r="Y52" s="111" t="str">
        <f>IFERROR(VLOOKUP(MID(T52,W52,X52-W52),[5]skilldef!$C:$D,2,FALSE),"-") &amp; " / " &amp; IFERROR(VLOOKUP(MID(T52,U52,V52-U52),[5]skilldef!$A:$B,2,FALSE),"-")</f>
        <v>自分自身に / 行動値設定</v>
      </c>
      <c r="Z52" s="110"/>
      <c r="AA52" s="112"/>
      <c r="AB52" s="111" t="s">
        <v>359</v>
      </c>
      <c r="AC52" s="111" t="s">
        <v>258</v>
      </c>
    </row>
    <row r="53" spans="1:29" ht="21" customHeight="1" x14ac:dyDescent="0.15">
      <c r="A53" s="109">
        <v>48501052</v>
      </c>
      <c r="B53" s="109" t="s">
        <v>571</v>
      </c>
      <c r="C53" s="110">
        <v>1</v>
      </c>
      <c r="D53" s="110" t="s">
        <v>127</v>
      </c>
      <c r="E53" s="111" t="s">
        <v>381</v>
      </c>
      <c r="F53" s="111" t="s">
        <v>544</v>
      </c>
      <c r="G53" s="111" t="str">
        <f t="shared" si="249"/>
        <v>[effect:enemy_message, val1:1.2, val2:2.0]</v>
      </c>
      <c r="H53" s="111">
        <f t="shared" si="250"/>
        <v>9</v>
      </c>
      <c r="I53" s="111">
        <f t="shared" si="251"/>
        <v>22</v>
      </c>
      <c r="J53" s="111" t="e">
        <f t="shared" si="252"/>
        <v>#VALUE!</v>
      </c>
      <c r="K53" s="111">
        <f t="shared" si="253"/>
        <v>32</v>
      </c>
      <c r="L53" s="111" t="str">
        <f>IFERROR(VLOOKUP(MID(G53,J53,K53-J53),[5]skilldef!$C:$D,2,FALSE),"-") &amp; " / " &amp; IFERROR(VLOOKUP(MID(G53,H53,I53-H53),[5]skilldef!$A:$B,2,FALSE),"-")</f>
        <v>- / -</v>
      </c>
      <c r="M53" s="111" t="str">
        <f t="shared" si="254"/>
        <v>[effect:degrade_unit, target:unit_all, turn:2, status:heal, val:0.2, calc:mul, animation:degrade_unit_all_heal]</v>
      </c>
      <c r="N53" s="109" t="str">
        <f t="shared" si="255"/>
        <v>[effect:degrade_unit, target:unit_all, turn:2, status:heal, val:0.2, calc:mul, animation:degrade_unit_all_heal]</v>
      </c>
      <c r="O53" s="111">
        <f t="shared" si="256"/>
        <v>9</v>
      </c>
      <c r="P53" s="111">
        <f t="shared" si="257"/>
        <v>21</v>
      </c>
      <c r="Q53" s="111">
        <f t="shared" si="258"/>
        <v>30</v>
      </c>
      <c r="R53" s="111">
        <f t="shared" si="259"/>
        <v>38</v>
      </c>
      <c r="S53" s="111" t="str">
        <f>IFERROR(VLOOKUP(MID(N53,Q53,R53-Q53),[5]skilldef!$C:$D,2,FALSE),"-") &amp; " / " &amp; IFERROR(VLOOKUP(MID(N53,O53,P53-O53),[5]skilldef!$A:$B,2,FALSE),"-")</f>
        <v>味方全体に / ステータスDOWN</v>
      </c>
      <c r="T53" s="109" t="str">
        <f t="shared" si="260"/>
        <v>none</v>
      </c>
      <c r="U53" s="111" t="e">
        <f t="shared" si="261"/>
        <v>#VALUE!</v>
      </c>
      <c r="V53" s="111">
        <f t="shared" si="262"/>
        <v>4</v>
      </c>
      <c r="W53" s="111" t="e">
        <f t="shared" si="263"/>
        <v>#VALUE!</v>
      </c>
      <c r="X53" s="111" t="e">
        <f t="shared" si="264"/>
        <v>#VALUE!</v>
      </c>
      <c r="Y53" s="111" t="str">
        <f>IFERROR(VLOOKUP(MID(T53,W53,X53-W53),[5]skilldef!$C:$D,2,FALSE),"-") &amp; " / " &amp; IFERROR(VLOOKUP(MID(T53,U53,V53-U53),[5]skilldef!$A:$B,2,FALSE),"-")</f>
        <v>- / -</v>
      </c>
      <c r="Z53" s="110"/>
      <c r="AA53" s="112"/>
      <c r="AB53" s="111" t="s">
        <v>360</v>
      </c>
      <c r="AC53" s="111" t="s">
        <v>315</v>
      </c>
    </row>
    <row r="54" spans="1:29" ht="21" customHeight="1" x14ac:dyDescent="0.15">
      <c r="A54" s="109">
        <v>48501053</v>
      </c>
      <c r="B54" s="109" t="s">
        <v>489</v>
      </c>
      <c r="C54" s="110">
        <v>1</v>
      </c>
      <c r="D54" s="110" t="s">
        <v>127</v>
      </c>
      <c r="E54" s="111" t="s">
        <v>382</v>
      </c>
      <c r="F54" s="111" t="s">
        <v>316</v>
      </c>
      <c r="G54" s="111" t="str">
        <f t="shared" si="249"/>
        <v>[effect:enemy_message, val1:1.2, val2:1.2]</v>
      </c>
      <c r="H54" s="111">
        <f t="shared" si="250"/>
        <v>9</v>
      </c>
      <c r="I54" s="111">
        <f t="shared" si="251"/>
        <v>22</v>
      </c>
      <c r="J54" s="111" t="e">
        <f t="shared" si="252"/>
        <v>#VALUE!</v>
      </c>
      <c r="K54" s="111">
        <f t="shared" si="253"/>
        <v>32</v>
      </c>
      <c r="L54" s="111" t="str">
        <f>IFERROR(VLOOKUP(MID(G54,J54,K54-J54),[5]skilldef!$C:$D,2,FALSE),"-") &amp; " / " &amp; IFERROR(VLOOKUP(MID(G54,H54,I54-H54),[5]skilldef!$A:$B,2,FALSE),"-")</f>
        <v>- / -</v>
      </c>
      <c r="M54" s="111" t="str">
        <f t="shared" si="254"/>
        <v>[effect:enhance_enemy, target:myself, turn:-1, status:attack, val:0.5, calc:mul, animation:enemy_enhance_attack],[effect:fix_speed, target:myself, turn:2]</v>
      </c>
      <c r="N54" s="109" t="str">
        <f t="shared" si="255"/>
        <v>[effect:enhance_enemy, target:myself, turn:-1, status:attack, val:0.5, calc:mul, animation:enemy_enhance_attack],[effect:fix_speed, target:myself, turn:2]</v>
      </c>
      <c r="O54" s="111">
        <f t="shared" si="256"/>
        <v>9</v>
      </c>
      <c r="P54" s="111">
        <f t="shared" si="257"/>
        <v>22</v>
      </c>
      <c r="Q54" s="111">
        <f t="shared" si="258"/>
        <v>31</v>
      </c>
      <c r="R54" s="111">
        <f t="shared" si="259"/>
        <v>37</v>
      </c>
      <c r="S54" s="111" t="str">
        <f>IFERROR(VLOOKUP(MID(N54,Q54,R54-Q54),[5]skilldef!$C:$D,2,FALSE),"-") &amp; " / " &amp; IFERROR(VLOOKUP(MID(N54,O54,P54-O54),[5]skilldef!$A:$B,2,FALSE),"-")</f>
        <v>自分自身に / ステータス強化</v>
      </c>
      <c r="T54" s="109" t="str">
        <f t="shared" si="260"/>
        <v>[effect:fix_speed, target:myself, turn:2]</v>
      </c>
      <c r="U54" s="111">
        <f t="shared" si="261"/>
        <v>9</v>
      </c>
      <c r="V54" s="111">
        <f t="shared" si="262"/>
        <v>18</v>
      </c>
      <c r="W54" s="111">
        <f t="shared" si="263"/>
        <v>27</v>
      </c>
      <c r="X54" s="111">
        <f t="shared" si="264"/>
        <v>33</v>
      </c>
      <c r="Y54" s="111" t="str">
        <f>IFERROR(VLOOKUP(MID(T54,W54,X54-W54),[5]skilldef!$C:$D,2,FALSE),"-") &amp; " / " &amp; IFERROR(VLOOKUP(MID(T54,U54,V54-U54),[5]skilldef!$A:$B,2,FALSE),"-")</f>
        <v>自分自身に / 行動値設定</v>
      </c>
      <c r="Z54" s="110"/>
      <c r="AA54" s="112"/>
      <c r="AB54" s="111" t="s">
        <v>362</v>
      </c>
      <c r="AC54" s="111" t="s">
        <v>316</v>
      </c>
    </row>
    <row r="55" spans="1:29" ht="21" customHeight="1" x14ac:dyDescent="0.15">
      <c r="A55" s="109">
        <v>48501054</v>
      </c>
      <c r="B55" s="109" t="s">
        <v>572</v>
      </c>
      <c r="C55" s="110">
        <v>1</v>
      </c>
      <c r="D55" s="110" t="s">
        <v>127</v>
      </c>
      <c r="E55" s="111" t="s">
        <v>383</v>
      </c>
      <c r="F55" s="111" t="s">
        <v>538</v>
      </c>
      <c r="G55" s="111" t="str">
        <f t="shared" si="249"/>
        <v>[effect:enemy_message, val1:1.2, val2:2.0]</v>
      </c>
      <c r="H55" s="111">
        <f t="shared" si="250"/>
        <v>9</v>
      </c>
      <c r="I55" s="111">
        <f t="shared" si="251"/>
        <v>22</v>
      </c>
      <c r="J55" s="111" t="e">
        <f t="shared" si="252"/>
        <v>#VALUE!</v>
      </c>
      <c r="K55" s="111">
        <f t="shared" si="253"/>
        <v>32</v>
      </c>
      <c r="L55" s="111" t="str">
        <f>IFERROR(VLOOKUP(MID(G55,J55,K55-J55),[5]skilldef!$C:$D,2,FALSE),"-") &amp; " / " &amp; IFERROR(VLOOKUP(MID(G55,H55,I55-H55),[5]skilldef!$A:$B,2,FALSE),"-")</f>
        <v>- / -</v>
      </c>
      <c r="M55" s="111" t="str">
        <f t="shared" si="254"/>
        <v>[effect:degrade_unit, target:unit_all, turn:2, status:heal, val:0.4, calc:mul, animation:degrade_unit_all_heal]</v>
      </c>
      <c r="N55" s="109" t="str">
        <f t="shared" si="255"/>
        <v>[effect:degrade_unit, target:unit_all, turn:2, status:heal, val:0.4, calc:mul, animation:degrade_unit_all_heal]</v>
      </c>
      <c r="O55" s="111">
        <f t="shared" si="256"/>
        <v>9</v>
      </c>
      <c r="P55" s="111">
        <f t="shared" si="257"/>
        <v>21</v>
      </c>
      <c r="Q55" s="111">
        <f t="shared" si="258"/>
        <v>30</v>
      </c>
      <c r="R55" s="111">
        <f t="shared" si="259"/>
        <v>38</v>
      </c>
      <c r="S55" s="111" t="str">
        <f>IFERROR(VLOOKUP(MID(N55,Q55,R55-Q55),[5]skilldef!$C:$D,2,FALSE),"-") &amp; " / " &amp; IFERROR(VLOOKUP(MID(N55,O55,P55-O55),[5]skilldef!$A:$B,2,FALSE),"-")</f>
        <v>味方全体に / ステータスDOWN</v>
      </c>
      <c r="T55" s="109" t="str">
        <f t="shared" si="260"/>
        <v>none</v>
      </c>
      <c r="U55" s="111" t="e">
        <f t="shared" si="261"/>
        <v>#VALUE!</v>
      </c>
      <c r="V55" s="111">
        <f t="shared" si="262"/>
        <v>4</v>
      </c>
      <c r="W55" s="111" t="e">
        <f t="shared" si="263"/>
        <v>#VALUE!</v>
      </c>
      <c r="X55" s="111" t="e">
        <f t="shared" si="264"/>
        <v>#VALUE!</v>
      </c>
      <c r="Y55" s="111" t="str">
        <f>IFERROR(VLOOKUP(MID(T55,W55,X55-W55),[5]skilldef!$C:$D,2,FALSE),"-") &amp; " / " &amp; IFERROR(VLOOKUP(MID(T55,U55,V55-U55),[5]skilldef!$A:$B,2,FALSE),"-")</f>
        <v>- / -</v>
      </c>
      <c r="Z55" s="110"/>
      <c r="AA55" s="112"/>
      <c r="AB55" s="111" t="s">
        <v>361</v>
      </c>
      <c r="AC55" s="111" t="s">
        <v>317</v>
      </c>
    </row>
    <row r="56" spans="1:29" ht="21" customHeight="1" x14ac:dyDescent="0.15">
      <c r="A56" s="109">
        <v>48501055</v>
      </c>
      <c r="B56" s="109" t="s">
        <v>573</v>
      </c>
      <c r="C56" s="110">
        <v>1</v>
      </c>
      <c r="D56" s="110" t="s">
        <v>127</v>
      </c>
      <c r="E56" s="111" t="s">
        <v>384</v>
      </c>
      <c r="F56" s="111" t="s">
        <v>543</v>
      </c>
      <c r="G56" s="111" t="str">
        <f t="shared" si="249"/>
        <v>[effect:enemy_message, val1:1.2, val2:1.4]</v>
      </c>
      <c r="H56" s="111">
        <f t="shared" si="250"/>
        <v>9</v>
      </c>
      <c r="I56" s="111">
        <f t="shared" si="251"/>
        <v>22</v>
      </c>
      <c r="J56" s="111" t="e">
        <f t="shared" si="252"/>
        <v>#VALUE!</v>
      </c>
      <c r="K56" s="111">
        <f t="shared" si="253"/>
        <v>32</v>
      </c>
      <c r="L56" s="111" t="str">
        <f>IFERROR(VLOOKUP(MID(G56,J56,K56-J56),[5]skilldef!$C:$D,2,FALSE),"-") &amp; " / " &amp; IFERROR(VLOOKUP(MID(G56,H56,I56-H56),[5]skilldef!$A:$B,2,FALSE),"-")</f>
        <v>- / -</v>
      </c>
      <c r="M56" s="111" t="str">
        <f t="shared" si="254"/>
        <v>[effect:virus, target:unit_all, turn:1, rate:1, val:0.2, animation:enemy_virus]</v>
      </c>
      <c r="N56" s="109" t="str">
        <f t="shared" si="255"/>
        <v>[effect:virus, target:unit_all, turn:1, rate:1, val:0.2, animation:enemy_virus]</v>
      </c>
      <c r="O56" s="111">
        <f t="shared" si="256"/>
        <v>9</v>
      </c>
      <c r="P56" s="111">
        <f t="shared" si="257"/>
        <v>14</v>
      </c>
      <c r="Q56" s="111">
        <f t="shared" si="258"/>
        <v>23</v>
      </c>
      <c r="R56" s="111">
        <f t="shared" si="259"/>
        <v>31</v>
      </c>
      <c r="S56" s="111" t="str">
        <f>IFERROR(VLOOKUP(MID(N56,Q56,R56-Q56),[5]skilldef!$C:$D,2,FALSE),"-") &amp; " / " &amp; IFERROR(VLOOKUP(MID(N56,O56,P56-O56),[5]skilldef!$A:$B,2,FALSE),"-")</f>
        <v>味方全体に / ウィルス</v>
      </c>
      <c r="T56" s="109" t="str">
        <f t="shared" si="260"/>
        <v>none</v>
      </c>
      <c r="U56" s="111" t="e">
        <f t="shared" si="261"/>
        <v>#VALUE!</v>
      </c>
      <c r="V56" s="111">
        <f t="shared" si="262"/>
        <v>4</v>
      </c>
      <c r="W56" s="111" t="e">
        <f t="shared" si="263"/>
        <v>#VALUE!</v>
      </c>
      <c r="X56" s="111" t="e">
        <f t="shared" si="264"/>
        <v>#VALUE!</v>
      </c>
      <c r="Y56" s="111" t="str">
        <f>IFERROR(VLOOKUP(MID(T56,W56,X56-W56),[5]skilldef!$C:$D,2,FALSE),"-") &amp; " / " &amp; IFERROR(VLOOKUP(MID(T56,U56,V56-U56),[5]skilldef!$A:$B,2,FALSE),"-")</f>
        <v>- / -</v>
      </c>
      <c r="Z56" s="110"/>
      <c r="AA56" s="112"/>
      <c r="AB56" s="111" t="s">
        <v>421</v>
      </c>
      <c r="AC56" s="111" t="s">
        <v>258</v>
      </c>
    </row>
    <row r="57" spans="1:29" ht="112" x14ac:dyDescent="0.15">
      <c r="A57" s="109">
        <v>48501056</v>
      </c>
      <c r="B57" s="113" t="s">
        <v>490</v>
      </c>
      <c r="C57" s="110">
        <v>1</v>
      </c>
      <c r="D57" s="110" t="s">
        <v>127</v>
      </c>
      <c r="E57" s="111" t="s">
        <v>385</v>
      </c>
      <c r="F57" s="111" t="s">
        <v>466</v>
      </c>
      <c r="G57" s="111" t="str">
        <f t="shared" si="249"/>
        <v>[effect:enemy_message, val1:1.2, val2:1.8]</v>
      </c>
      <c r="H57" s="111">
        <f t="shared" si="250"/>
        <v>9</v>
      </c>
      <c r="I57" s="111">
        <f t="shared" si="251"/>
        <v>22</v>
      </c>
      <c r="J57" s="111" t="e">
        <f t="shared" si="252"/>
        <v>#VALUE!</v>
      </c>
      <c r="K57" s="111">
        <f t="shared" si="253"/>
        <v>32</v>
      </c>
      <c r="L57" s="111" t="str">
        <f>IFERROR(VLOOKUP(MID(G57,J57,K57-J57),[5]skilldef!$C:$D,2,FALSE),"-") &amp; " / " &amp; IFERROR(VLOOKUP(MID(G57,H57,I57-H57),[5]skilldef!$A:$B,2,FALSE),"-")</f>
        <v>- / -</v>
      </c>
      <c r="M57" s="111" t="str">
        <f t="shared" si="254"/>
        <v>[effect:break_enchance_enemy, target:myself, val:80, lowest_val:300, count:-1, status:defense, turn:3, block01:block_red, calc:add, animation:enemy_enhance_defense],[effect:fix_speed, target:myself, turn:2]</v>
      </c>
      <c r="N57" s="109" t="str">
        <f>IFERROR(LEFT(M57,FIND("],",M57)+#REF!),M57)</f>
        <v>[effect:break_enchance_enemy, target:myself, val:80, lowest_val:300, count:-1, status:defense, turn:3, block01:block_red, calc:add, animation:enemy_enhance_defense],[effect:fix_speed, target:myself, turn:2]</v>
      </c>
      <c r="O57" s="111">
        <f t="shared" si="256"/>
        <v>9</v>
      </c>
      <c r="P57" s="111">
        <f t="shared" si="257"/>
        <v>29</v>
      </c>
      <c r="Q57" s="111">
        <f t="shared" si="258"/>
        <v>38</v>
      </c>
      <c r="R57" s="111">
        <f t="shared" si="259"/>
        <v>44</v>
      </c>
      <c r="S57" s="111" t="str">
        <f>IFERROR(VLOOKUP(MID(N57,Q57,R57-Q57),[5]skilldef!$C:$D,2,FALSE),"-") &amp; " / " &amp; IFERROR(VLOOKUP(MID(N57,O57,P57-O57),[5]skilldef!$A:$B,2,FALSE),"-")</f>
        <v>自分自身に / -</v>
      </c>
      <c r="T57" s="109" t="str">
        <f t="shared" si="260"/>
        <v>[effect:fix_speed, target:myself, turn:2]</v>
      </c>
      <c r="U57" s="111">
        <f t="shared" si="261"/>
        <v>9</v>
      </c>
      <c r="V57" s="111">
        <f t="shared" si="262"/>
        <v>18</v>
      </c>
      <c r="W57" s="111">
        <f t="shared" si="263"/>
        <v>27</v>
      </c>
      <c r="X57" s="111">
        <f t="shared" si="264"/>
        <v>33</v>
      </c>
      <c r="Y57" s="111" t="str">
        <f>IFERROR(VLOOKUP(MID(T57,W57,X57-W57),[5]skilldef!$C:$D,2,FALSE),"-") &amp; " / " &amp; IFERROR(VLOOKUP(MID(T57,U57,V57-U57),[5]skilldef!$A:$B,2,FALSE),"-")</f>
        <v>自分自身に / 行動値設定</v>
      </c>
      <c r="Z57" s="110"/>
      <c r="AA57" s="112"/>
      <c r="AB57" s="111" t="s">
        <v>363</v>
      </c>
      <c r="AC57" s="111" t="s">
        <v>314</v>
      </c>
    </row>
    <row r="58" spans="1:29" ht="21" customHeight="1" x14ac:dyDescent="0.15">
      <c r="A58" s="109">
        <v>48501057</v>
      </c>
      <c r="B58" s="109" t="s">
        <v>518</v>
      </c>
      <c r="C58" s="110">
        <v>1</v>
      </c>
      <c r="D58" s="110" t="s">
        <v>127</v>
      </c>
      <c r="E58" s="111" t="s">
        <v>386</v>
      </c>
      <c r="F58" s="111" t="s">
        <v>318</v>
      </c>
      <c r="G58" s="111" t="str">
        <f t="shared" si="249"/>
        <v>[effect:enemy_message, val1:1.2, val2:1.6]</v>
      </c>
      <c r="H58" s="111">
        <f t="shared" si="250"/>
        <v>9</v>
      </c>
      <c r="I58" s="111">
        <f t="shared" si="251"/>
        <v>22</v>
      </c>
      <c r="J58" s="111" t="e">
        <f t="shared" si="252"/>
        <v>#VALUE!</v>
      </c>
      <c r="K58" s="111">
        <f t="shared" si="253"/>
        <v>32</v>
      </c>
      <c r="L58" s="111" t="str">
        <f>IFERROR(VLOOKUP(MID(G58,J58,K58-J58),[5]skilldef!$C:$D,2,FALSE),"-") &amp; " / " &amp; IFERROR(VLOOKUP(MID(G58,H58,I58-H58),[5]skilldef!$A:$B,2,FALSE),"-")</f>
        <v>- / -</v>
      </c>
      <c r="M58" s="111" t="str">
        <f t="shared" si="254"/>
        <v>[effect:force_change_block, new_block:jammer, target:block_all, ignore01:crash, ignore02:crack_bomb, ignore03:color_break, ignore04:jammer, ignore05:magnet, count:1, val:0, animation:change_block]</v>
      </c>
      <c r="N58" s="109" t="str">
        <f>IFERROR(LEFT(M58,FIND("],",M58)+S69),M58)</f>
        <v>[effect:force_change_block, new_block:jammer, target:block_all, ignore01:crash, ignore02:crack_bomb, ignore03:color_break, ignore04:jammer, ignore05:magnet, count:1, val:0, animation:change_block]</v>
      </c>
      <c r="O58" s="111">
        <f t="shared" si="256"/>
        <v>9</v>
      </c>
      <c r="P58" s="111">
        <f t="shared" si="257"/>
        <v>27</v>
      </c>
      <c r="Q58" s="111">
        <f t="shared" si="258"/>
        <v>54</v>
      </c>
      <c r="R58" s="111">
        <f t="shared" si="259"/>
        <v>45</v>
      </c>
      <c r="S58" s="111" t="str">
        <f>IFERROR(VLOOKUP(MID(N58,Q58,R58-Q58),[5]skilldef!$C:$D,2,FALSE),"-") &amp; " / " &amp; IFERROR(VLOOKUP(MID(N58,O58,P58-O58),[5]skilldef!$A:$B,2,FALSE),"-")</f>
        <v>- / -</v>
      </c>
      <c r="T58" s="109" t="str">
        <f t="shared" si="260"/>
        <v>none</v>
      </c>
      <c r="U58" s="111" t="e">
        <f t="shared" si="261"/>
        <v>#VALUE!</v>
      </c>
      <c r="V58" s="111">
        <f t="shared" si="262"/>
        <v>4</v>
      </c>
      <c r="W58" s="111" t="e">
        <f t="shared" si="263"/>
        <v>#VALUE!</v>
      </c>
      <c r="X58" s="111" t="e">
        <f t="shared" si="264"/>
        <v>#VALUE!</v>
      </c>
      <c r="Y58" s="111" t="str">
        <f>IFERROR(VLOOKUP(MID(T58,W58,X58-W58),[5]skilldef!$C:$D,2,FALSE),"-") &amp; " / " &amp; IFERROR(VLOOKUP(MID(T58,U58,V58-U58),[5]skilldef!$A:$B,2,FALSE),"-")</f>
        <v>- / -</v>
      </c>
      <c r="Z58" s="110"/>
      <c r="AA58" s="112"/>
      <c r="AB58" s="111" t="s">
        <v>364</v>
      </c>
      <c r="AC58" s="111" t="s">
        <v>319</v>
      </c>
    </row>
    <row r="59" spans="1:29" ht="21" customHeight="1" x14ac:dyDescent="0.15">
      <c r="A59" s="109">
        <v>48501058</v>
      </c>
      <c r="B59" s="109" t="s">
        <v>519</v>
      </c>
      <c r="C59" s="110">
        <v>1</v>
      </c>
      <c r="D59" s="110" t="s">
        <v>127</v>
      </c>
      <c r="E59" s="111" t="s">
        <v>387</v>
      </c>
      <c r="F59" s="111" t="s">
        <v>319</v>
      </c>
      <c r="G59" s="111" t="str">
        <f t="shared" si="249"/>
        <v>[effect:enemy_message, val1:1.2, val2:1.6]</v>
      </c>
      <c r="H59" s="111">
        <f t="shared" si="250"/>
        <v>9</v>
      </c>
      <c r="I59" s="111">
        <f t="shared" si="251"/>
        <v>22</v>
      </c>
      <c r="J59" s="111" t="e">
        <f t="shared" si="252"/>
        <v>#VALUE!</v>
      </c>
      <c r="K59" s="111">
        <f t="shared" si="253"/>
        <v>32</v>
      </c>
      <c r="L59" s="111" t="str">
        <f>IFERROR(VLOOKUP(MID(G59,J59,K59-J59),[5]skilldef!$C:$D,2,FALSE),"-") &amp; " / " &amp; IFERROR(VLOOKUP(MID(G59,H59,I59-H59),[5]skilldef!$A:$B,2,FALSE),"-")</f>
        <v>- / -</v>
      </c>
      <c r="M59" s="111" t="str">
        <f t="shared" si="254"/>
        <v>[effect:force_change_block, new_block:jammer, target:block_all, ignore01:crash, ignore02:crack_bomb, ignore03:color_break, ignore04:jammer, ignore05:magnet, count:2, val:0, animation:change_block]</v>
      </c>
      <c r="N59" s="109" t="str">
        <f>IFERROR(LEFT(M59,FIND("],",M59)+S70),M59)</f>
        <v>[effect:force_change_block, new_block:jammer, target:block_all, ignore01:crash, ignore02:crack_bomb, ignore03:color_break, ignore04:jammer, ignore05:magnet, count:2, val:0, animation:change_block]</v>
      </c>
      <c r="O59" s="111">
        <f t="shared" si="256"/>
        <v>9</v>
      </c>
      <c r="P59" s="111">
        <f t="shared" si="257"/>
        <v>27</v>
      </c>
      <c r="Q59" s="111">
        <f t="shared" si="258"/>
        <v>54</v>
      </c>
      <c r="R59" s="111">
        <f t="shared" si="259"/>
        <v>45</v>
      </c>
      <c r="S59" s="111" t="str">
        <f>IFERROR(VLOOKUP(MID(N59,Q59,R59-Q59),[5]skilldef!$C:$D,2,FALSE),"-") &amp; " / " &amp; IFERROR(VLOOKUP(MID(N59,O59,P59-O59),[5]skilldef!$A:$B,2,FALSE),"-")</f>
        <v>- / -</v>
      </c>
      <c r="T59" s="109" t="str">
        <f t="shared" si="260"/>
        <v>none</v>
      </c>
      <c r="U59" s="111" t="e">
        <f t="shared" si="261"/>
        <v>#VALUE!</v>
      </c>
      <c r="V59" s="111">
        <f t="shared" si="262"/>
        <v>4</v>
      </c>
      <c r="W59" s="111" t="e">
        <f t="shared" si="263"/>
        <v>#VALUE!</v>
      </c>
      <c r="X59" s="111" t="e">
        <f t="shared" si="264"/>
        <v>#VALUE!</v>
      </c>
      <c r="Y59" s="111" t="str">
        <f>IFERROR(VLOOKUP(MID(T59,W59,X59-W59),[5]skilldef!$C:$D,2,FALSE),"-") &amp; " / " &amp; IFERROR(VLOOKUP(MID(T59,U59,V59-U59),[5]skilldef!$A:$B,2,FALSE),"-")</f>
        <v>- / -</v>
      </c>
      <c r="Z59" s="110"/>
      <c r="AA59" s="112"/>
      <c r="AB59" s="111" t="s">
        <v>365</v>
      </c>
      <c r="AC59" s="111" t="s">
        <v>320</v>
      </c>
    </row>
    <row r="60" spans="1:29" ht="56" x14ac:dyDescent="0.15">
      <c r="A60" s="109">
        <v>48501059</v>
      </c>
      <c r="B60" s="109" t="s">
        <v>491</v>
      </c>
      <c r="C60" s="110">
        <v>1</v>
      </c>
      <c r="D60" s="110" t="s">
        <v>127</v>
      </c>
      <c r="E60" s="111" t="s">
        <v>388</v>
      </c>
      <c r="F60" s="111" t="s">
        <v>465</v>
      </c>
      <c r="G60" s="111" t="str">
        <f t="shared" si="249"/>
        <v>[effect:enemy_message, val1:1.2, val2:1.5]</v>
      </c>
      <c r="H60" s="111">
        <f t="shared" si="250"/>
        <v>9</v>
      </c>
      <c r="I60" s="111">
        <f t="shared" si="251"/>
        <v>22</v>
      </c>
      <c r="J60" s="111" t="e">
        <f t="shared" si="252"/>
        <v>#VALUE!</v>
      </c>
      <c r="K60" s="111">
        <f t="shared" si="253"/>
        <v>32</v>
      </c>
      <c r="L60" s="111" t="str">
        <f>IFERROR(VLOOKUP(MID(G60,J60,K60-J60),[5]skilldef!$C:$D,2,FALSE),"-") &amp; " / " &amp; IFERROR(VLOOKUP(MID(G60,H60,I60-H60),[5]skilldef!$A:$B,2,FALSE),"-")</f>
        <v>- / -</v>
      </c>
      <c r="M60" s="111" t="str">
        <f t="shared" si="254"/>
        <v xml:space="preserve">[effect:break_attack_fix, target:unit_all, val:100, lowest_val:1200, count:-1, color:green, block01:jammer] </v>
      </c>
      <c r="N60" s="109" t="str">
        <f>IFERROR(LEFT(M60,FIND("],",M60)+S70),M60)</f>
        <v xml:space="preserve">[effect:break_attack_fix, target:unit_all, val:100, lowest_val:1200, count:-1, color:green, block01:jammer] </v>
      </c>
      <c r="O60" s="111">
        <f t="shared" si="256"/>
        <v>9</v>
      </c>
      <c r="P60" s="111">
        <f t="shared" si="257"/>
        <v>25</v>
      </c>
      <c r="Q60" s="111">
        <f t="shared" si="258"/>
        <v>34</v>
      </c>
      <c r="R60" s="111">
        <f t="shared" si="259"/>
        <v>42</v>
      </c>
      <c r="S60" s="111" t="str">
        <f>IFERROR(VLOOKUP(MID(N60,Q60,R60-Q60),[5]skilldef!$C:$D,2,FALSE),"-") &amp; " / " &amp; IFERROR(VLOOKUP(MID(N60,O60,P60-O60),[5]skilldef!$A:$B,2,FALSE),"-")</f>
        <v>味方全体に / -</v>
      </c>
      <c r="T60" s="109" t="str">
        <f t="shared" si="260"/>
        <v>none</v>
      </c>
      <c r="U60" s="111" t="e">
        <f t="shared" si="261"/>
        <v>#VALUE!</v>
      </c>
      <c r="V60" s="111">
        <f t="shared" si="262"/>
        <v>4</v>
      </c>
      <c r="W60" s="111" t="e">
        <f t="shared" si="263"/>
        <v>#VALUE!</v>
      </c>
      <c r="X60" s="111" t="e">
        <f t="shared" si="264"/>
        <v>#VALUE!</v>
      </c>
      <c r="Y60" s="111" t="str">
        <f>IFERROR(VLOOKUP(MID(T60,W60,X60-W60),[5]skilldef!$C:$D,2,FALSE),"-") &amp; " / " &amp; IFERROR(VLOOKUP(MID(T60,U60,V60-U60),[5]skilldef!$A:$B,2,FALSE),"-")</f>
        <v>- / -</v>
      </c>
      <c r="Z60" s="110"/>
      <c r="AA60" s="112"/>
      <c r="AB60" s="111" t="s">
        <v>368</v>
      </c>
      <c r="AC60" s="111" t="s">
        <v>370</v>
      </c>
    </row>
    <row r="61" spans="1:29" ht="21" customHeight="1" x14ac:dyDescent="0.15">
      <c r="A61" s="109">
        <v>48501060</v>
      </c>
      <c r="B61" s="109" t="s">
        <v>520</v>
      </c>
      <c r="C61" s="110">
        <v>1</v>
      </c>
      <c r="D61" s="110" t="s">
        <v>127</v>
      </c>
      <c r="E61" s="111" t="s">
        <v>389</v>
      </c>
      <c r="F61" s="111" t="s">
        <v>319</v>
      </c>
      <c r="G61" s="111" t="str">
        <f t="shared" si="249"/>
        <v>[effect:enemy_message, val1:1.2, val2:1.6]</v>
      </c>
      <c r="H61" s="111">
        <f t="shared" si="250"/>
        <v>9</v>
      </c>
      <c r="I61" s="111">
        <f t="shared" si="251"/>
        <v>22</v>
      </c>
      <c r="J61" s="111" t="e">
        <f t="shared" si="252"/>
        <v>#VALUE!</v>
      </c>
      <c r="K61" s="111">
        <f t="shared" si="253"/>
        <v>32</v>
      </c>
      <c r="L61" s="111" t="str">
        <f>IFERROR(VLOOKUP(MID(G61,J61,K61-J61),[5]skilldef!$C:$D,2,FALSE),"-") &amp; " / " &amp; IFERROR(VLOOKUP(MID(G61,H61,I61-H61),[5]skilldef!$A:$B,2,FALSE),"-")</f>
        <v>- / -</v>
      </c>
      <c r="M61" s="111" t="str">
        <f t="shared" si="254"/>
        <v>[effect:force_change_block, new_block:jammer, target:block_all, ignore01:crash, ignore02:crack_bomb, ignore03:color_break, ignore04:jammer, ignore05:magnet, count:2, val:0, animation:change_block]</v>
      </c>
      <c r="N61" s="109" t="str">
        <f>IFERROR(LEFT(M61,FIND("],",M61)+S72),M61)</f>
        <v>[effect:force_change_block, new_block:jammer, target:block_all, ignore01:crash, ignore02:crack_bomb, ignore03:color_break, ignore04:jammer, ignore05:magnet, count:2, val:0, animation:change_block]</v>
      </c>
      <c r="O61" s="111">
        <f t="shared" si="256"/>
        <v>9</v>
      </c>
      <c r="P61" s="111">
        <f t="shared" si="257"/>
        <v>27</v>
      </c>
      <c r="Q61" s="111">
        <f t="shared" si="258"/>
        <v>54</v>
      </c>
      <c r="R61" s="111">
        <f t="shared" si="259"/>
        <v>45</v>
      </c>
      <c r="S61" s="111" t="str">
        <f>IFERROR(VLOOKUP(MID(N61,Q61,R61-Q61),[5]skilldef!$C:$D,2,FALSE),"-") &amp; " / " &amp; IFERROR(VLOOKUP(MID(N61,O61,P61-O61),[5]skilldef!$A:$B,2,FALSE),"-")</f>
        <v>- / -</v>
      </c>
      <c r="T61" s="109" t="str">
        <f t="shared" si="260"/>
        <v>none</v>
      </c>
      <c r="U61" s="111" t="e">
        <f t="shared" si="261"/>
        <v>#VALUE!</v>
      </c>
      <c r="V61" s="111">
        <f t="shared" si="262"/>
        <v>4</v>
      </c>
      <c r="W61" s="111" t="e">
        <f t="shared" si="263"/>
        <v>#VALUE!</v>
      </c>
      <c r="X61" s="111" t="e">
        <f t="shared" si="264"/>
        <v>#VALUE!</v>
      </c>
      <c r="Y61" s="111" t="str">
        <f>IFERROR(VLOOKUP(MID(T61,W61,X61-W61),[5]skilldef!$C:$D,2,FALSE),"-") &amp; " / " &amp; IFERROR(VLOOKUP(MID(T61,U61,V61-U61),[5]skilldef!$A:$B,2,FALSE),"-")</f>
        <v>- / -</v>
      </c>
      <c r="Z61" s="110"/>
      <c r="AA61" s="112"/>
      <c r="AB61" s="111" t="s">
        <v>366</v>
      </c>
      <c r="AC61" s="111" t="s">
        <v>320</v>
      </c>
    </row>
    <row r="62" spans="1:29" ht="21" customHeight="1" x14ac:dyDescent="0.15">
      <c r="A62" s="109">
        <v>48501061</v>
      </c>
      <c r="B62" s="109" t="s">
        <v>521</v>
      </c>
      <c r="C62" s="110">
        <v>1</v>
      </c>
      <c r="D62" s="110" t="s">
        <v>127</v>
      </c>
      <c r="E62" s="111" t="s">
        <v>390</v>
      </c>
      <c r="F62" s="111" t="s">
        <v>320</v>
      </c>
      <c r="G62" s="111" t="str">
        <f t="shared" si="249"/>
        <v>[effect:enemy_message, val1:1.2, val2:1.6]</v>
      </c>
      <c r="H62" s="111">
        <f t="shared" si="250"/>
        <v>9</v>
      </c>
      <c r="I62" s="111">
        <f t="shared" si="251"/>
        <v>22</v>
      </c>
      <c r="J62" s="111" t="e">
        <f t="shared" si="252"/>
        <v>#VALUE!</v>
      </c>
      <c r="K62" s="111">
        <f t="shared" si="253"/>
        <v>32</v>
      </c>
      <c r="L62" s="111" t="str">
        <f>IFERROR(VLOOKUP(MID(G62,J62,K62-J62),[5]skilldef!$C:$D,2,FALSE),"-") &amp; " / " &amp; IFERROR(VLOOKUP(MID(G62,H62,I62-H62),[5]skilldef!$A:$B,2,FALSE),"-")</f>
        <v>- / -</v>
      </c>
      <c r="M62" s="111" t="str">
        <f t="shared" si="254"/>
        <v>[effect:force_change_block, new_block:jammer, target:block_all, ignore01:crash, ignore02:crack_bomb, ignore03:color_break, ignore04:jammer, ignore05:magnet, count:3, val:0, animation:change_block]</v>
      </c>
      <c r="N62" s="109" t="str">
        <f>IFERROR(LEFT(M62,FIND("],",M62)+S73),M62)</f>
        <v>[effect:force_change_block, new_block:jammer, target:block_all, ignore01:crash, ignore02:crack_bomb, ignore03:color_break, ignore04:jammer, ignore05:magnet, count:3, val:0, animation:change_block]</v>
      </c>
      <c r="O62" s="111">
        <f t="shared" si="256"/>
        <v>9</v>
      </c>
      <c r="P62" s="111">
        <f t="shared" si="257"/>
        <v>27</v>
      </c>
      <c r="Q62" s="111">
        <f t="shared" si="258"/>
        <v>54</v>
      </c>
      <c r="R62" s="111">
        <f t="shared" si="259"/>
        <v>45</v>
      </c>
      <c r="S62" s="111" t="str">
        <f>IFERROR(VLOOKUP(MID(N62,Q62,R62-Q62),[5]skilldef!$C:$D,2,FALSE),"-") &amp; " / " &amp; IFERROR(VLOOKUP(MID(N62,O62,P62-O62),[5]skilldef!$A:$B,2,FALSE),"-")</f>
        <v>- / -</v>
      </c>
      <c r="T62" s="109" t="str">
        <f t="shared" si="260"/>
        <v>none</v>
      </c>
      <c r="U62" s="111" t="e">
        <f t="shared" si="261"/>
        <v>#VALUE!</v>
      </c>
      <c r="V62" s="111">
        <f t="shared" si="262"/>
        <v>4</v>
      </c>
      <c r="W62" s="111" t="e">
        <f t="shared" si="263"/>
        <v>#VALUE!</v>
      </c>
      <c r="X62" s="111" t="e">
        <f t="shared" si="264"/>
        <v>#VALUE!</v>
      </c>
      <c r="Y62" s="111" t="str">
        <f>IFERROR(VLOOKUP(MID(T62,W62,X62-W62),[5]skilldef!$C:$D,2,FALSE),"-") &amp; " / " &amp; IFERROR(VLOOKUP(MID(T62,U62,V62-U62),[5]skilldef!$A:$B,2,FALSE),"-")</f>
        <v>- / -</v>
      </c>
      <c r="Z62" s="110"/>
      <c r="AA62" s="112"/>
      <c r="AB62" s="111" t="s">
        <v>367</v>
      </c>
      <c r="AC62" s="111" t="s">
        <v>322</v>
      </c>
    </row>
    <row r="63" spans="1:29" ht="56" x14ac:dyDescent="0.15">
      <c r="A63" s="109">
        <v>48501062</v>
      </c>
      <c r="B63" s="109" t="s">
        <v>492</v>
      </c>
      <c r="C63" s="110">
        <v>1</v>
      </c>
      <c r="D63" s="110" t="s">
        <v>127</v>
      </c>
      <c r="E63" s="111" t="s">
        <v>388</v>
      </c>
      <c r="F63" s="111" t="s">
        <v>465</v>
      </c>
      <c r="G63" s="111" t="str">
        <f t="shared" si="249"/>
        <v>[effect:enemy_message, val1:1.2, val2:1.5]</v>
      </c>
      <c r="H63" s="111">
        <f t="shared" si="250"/>
        <v>9</v>
      </c>
      <c r="I63" s="111">
        <f t="shared" si="251"/>
        <v>22</v>
      </c>
      <c r="J63" s="111" t="e">
        <f t="shared" si="252"/>
        <v>#VALUE!</v>
      </c>
      <c r="K63" s="111">
        <f t="shared" si="253"/>
        <v>32</v>
      </c>
      <c r="L63" s="111" t="str">
        <f>IFERROR(VLOOKUP(MID(G63,J63,K63-J63),[5]skilldef!$C:$D,2,FALSE),"-") &amp; " / " &amp; IFERROR(VLOOKUP(MID(G63,H63,I63-H63),[5]skilldef!$A:$B,2,FALSE),"-")</f>
        <v>- / -</v>
      </c>
      <c r="M63" s="111" t="str">
        <f t="shared" si="254"/>
        <v xml:space="preserve">[effect:break_attack_fix, target:unit_all, val:100, lowest_val:1200, count:-1, color:green, block01:jammer] </v>
      </c>
      <c r="N63" s="109" t="str">
        <f>IFERROR(LEFT(M63,FIND("],",M63)+S73),M63)</f>
        <v xml:space="preserve">[effect:break_attack_fix, target:unit_all, val:100, lowest_val:1200, count:-1, color:green, block01:jammer] </v>
      </c>
      <c r="O63" s="111">
        <f t="shared" si="256"/>
        <v>9</v>
      </c>
      <c r="P63" s="111">
        <f t="shared" si="257"/>
        <v>25</v>
      </c>
      <c r="Q63" s="111">
        <f t="shared" si="258"/>
        <v>34</v>
      </c>
      <c r="R63" s="111">
        <f t="shared" si="259"/>
        <v>42</v>
      </c>
      <c r="S63" s="111" t="str">
        <f>IFERROR(VLOOKUP(MID(N63,Q63,R63-Q63),[5]skilldef!$C:$D,2,FALSE),"-") &amp; " / " &amp; IFERROR(VLOOKUP(MID(N63,O63,P63-O63),[5]skilldef!$A:$B,2,FALSE),"-")</f>
        <v>味方全体に / -</v>
      </c>
      <c r="T63" s="109" t="str">
        <f t="shared" si="260"/>
        <v>none</v>
      </c>
      <c r="U63" s="111" t="e">
        <f t="shared" si="261"/>
        <v>#VALUE!</v>
      </c>
      <c r="V63" s="111">
        <f t="shared" si="262"/>
        <v>4</v>
      </c>
      <c r="W63" s="111" t="e">
        <f t="shared" si="263"/>
        <v>#VALUE!</v>
      </c>
      <c r="X63" s="111" t="e">
        <f t="shared" si="264"/>
        <v>#VALUE!</v>
      </c>
      <c r="Y63" s="111" t="str">
        <f>IFERROR(VLOOKUP(MID(T63,W63,X63-W63),[5]skilldef!$C:$D,2,FALSE),"-") &amp; " / " &amp; IFERROR(VLOOKUP(MID(T63,U63,V63-U63),[5]skilldef!$A:$B,2,FALSE),"-")</f>
        <v>- / -</v>
      </c>
      <c r="Z63" s="110"/>
      <c r="AA63" s="112"/>
      <c r="AB63" s="111" t="s">
        <v>369</v>
      </c>
      <c r="AC63" s="111" t="s">
        <v>370</v>
      </c>
    </row>
    <row r="64" spans="1:29" ht="21" customHeight="1" x14ac:dyDescent="0.15">
      <c r="A64" s="109">
        <v>48501063</v>
      </c>
      <c r="B64" s="109" t="s">
        <v>493</v>
      </c>
      <c r="C64" s="110">
        <v>1</v>
      </c>
      <c r="D64" s="110" t="s">
        <v>127</v>
      </c>
      <c r="E64" s="111" t="s">
        <v>391</v>
      </c>
      <c r="F64" s="111" t="s">
        <v>541</v>
      </c>
      <c r="G64" s="111" t="str">
        <f t="shared" si="249"/>
        <v>[effect:enemy_message, val1:1.2, val2:1.2]</v>
      </c>
      <c r="H64" s="111">
        <f t="shared" si="250"/>
        <v>9</v>
      </c>
      <c r="I64" s="111">
        <f t="shared" si="251"/>
        <v>22</v>
      </c>
      <c r="J64" s="111" t="e">
        <f t="shared" si="252"/>
        <v>#VALUE!</v>
      </c>
      <c r="K64" s="111">
        <f t="shared" si="253"/>
        <v>32</v>
      </c>
      <c r="L64" s="111" t="str">
        <f>IFERROR(VLOOKUP(MID(G64,J64,K64-J64),[5]skilldef!$C:$D,2,FALSE),"-") &amp; " / " &amp; IFERROR(VLOOKUP(MID(G64,H64,I64-H64),[5]skilldef!$A:$B,2,FALSE),"-")</f>
        <v>- / -</v>
      </c>
      <c r="M64" s="111" t="str">
        <f t="shared" si="254"/>
        <v>[effect:critical, val:1.3, animation:enemy_critical]</v>
      </c>
      <c r="N64" s="109" t="str">
        <f>IFERROR(LEFT(M64,FIND("],",M64)+S74),M64)</f>
        <v>[effect:critical, val:1.3, animation:enemy_critical]</v>
      </c>
      <c r="O64" s="111">
        <f t="shared" si="256"/>
        <v>9</v>
      </c>
      <c r="P64" s="111">
        <f t="shared" si="257"/>
        <v>17</v>
      </c>
      <c r="Q64" s="111" t="e">
        <f t="shared" si="258"/>
        <v>#VALUE!</v>
      </c>
      <c r="R64" s="111">
        <f t="shared" si="259"/>
        <v>26</v>
      </c>
      <c r="S64" s="111" t="str">
        <f>IFERROR(VLOOKUP(MID(N64,Q64,R64-Q64),[5]skilldef!$C:$D,2,FALSE),"-") &amp; " / " &amp; IFERROR(VLOOKUP(MID(N64,O64,P64-O64),[5]skilldef!$A:$B,2,FALSE),"-")</f>
        <v>- / 大攻撃</v>
      </c>
      <c r="T64" s="109" t="str">
        <f t="shared" si="260"/>
        <v>none</v>
      </c>
      <c r="U64" s="111" t="e">
        <f t="shared" si="261"/>
        <v>#VALUE!</v>
      </c>
      <c r="V64" s="111">
        <f t="shared" si="262"/>
        <v>4</v>
      </c>
      <c r="W64" s="111" t="e">
        <f t="shared" si="263"/>
        <v>#VALUE!</v>
      </c>
      <c r="X64" s="111" t="e">
        <f t="shared" si="264"/>
        <v>#VALUE!</v>
      </c>
      <c r="Y64" s="111" t="str">
        <f>IFERROR(VLOOKUP(MID(T64,W64,X64-W64),[5]skilldef!$C:$D,2,FALSE),"-") &amp; " / " &amp; IFERROR(VLOOKUP(MID(T64,U64,V64-U64),[5]skilldef!$A:$B,2,FALSE),"-")</f>
        <v>- / -</v>
      </c>
      <c r="Z64" s="110"/>
      <c r="AA64" s="112"/>
      <c r="AB64" s="111" t="s">
        <v>355</v>
      </c>
      <c r="AC64" s="111" t="s">
        <v>256</v>
      </c>
    </row>
    <row r="65" spans="1:29" ht="21" customHeight="1" x14ac:dyDescent="0.15">
      <c r="A65" s="109">
        <v>48501064</v>
      </c>
      <c r="B65" s="109" t="s">
        <v>494</v>
      </c>
      <c r="C65" s="110">
        <v>1</v>
      </c>
      <c r="D65" s="110" t="s">
        <v>127</v>
      </c>
      <c r="E65" s="111" t="s">
        <v>392</v>
      </c>
      <c r="F65" s="111" t="s">
        <v>464</v>
      </c>
      <c r="G65" s="111" t="str">
        <f t="shared" si="249"/>
        <v>[effect:enemy_message, val1:1.2, val2:1.2]</v>
      </c>
      <c r="H65" s="111">
        <f t="shared" si="250"/>
        <v>9</v>
      </c>
      <c r="I65" s="111">
        <f t="shared" si="251"/>
        <v>22</v>
      </c>
      <c r="J65" s="111" t="e">
        <f t="shared" si="252"/>
        <v>#VALUE!</v>
      </c>
      <c r="K65" s="111">
        <f t="shared" si="253"/>
        <v>32</v>
      </c>
      <c r="L65" s="111" t="str">
        <f>IFERROR(VLOOKUP(MID(G65,J65,K65-J65),[5]skilldef!$C:$D,2,FALSE),"-") &amp; " / " &amp; IFERROR(VLOOKUP(MID(G65,H65,I65-H65),[5]skilldef!$A:$B,2,FALSE),"-")</f>
        <v>- / -</v>
      </c>
      <c r="M65" s="111" t="str">
        <f t="shared" si="254"/>
        <v>[effect:freq_turn, target:enemy_one, turn:-1, val:1, animation:enemy_freq_turn]</v>
      </c>
      <c r="N65" s="109" t="str">
        <f>IFERROR(LEFT(M65,FIND("],",M65)+S75),M65)</f>
        <v>[effect:freq_turn, target:enemy_one, turn:-1, val:1, animation:enemy_freq_turn]</v>
      </c>
      <c r="O65" s="111">
        <f t="shared" si="256"/>
        <v>9</v>
      </c>
      <c r="P65" s="111">
        <f t="shared" si="257"/>
        <v>18</v>
      </c>
      <c r="Q65" s="111">
        <f t="shared" si="258"/>
        <v>27</v>
      </c>
      <c r="R65" s="111">
        <f t="shared" si="259"/>
        <v>36</v>
      </c>
      <c r="S65" s="111" t="str">
        <f>IFERROR(VLOOKUP(MID(N65,Q65,R65-Q65),[5]skilldef!$C:$D,2,FALSE),"-") &amp; " / " &amp; IFERROR(VLOOKUP(MID(N65,O65,P65-O65),[5]skilldef!$A:$B,2,FALSE),"-")</f>
        <v>敵単体に / 攻撃頻度がUP</v>
      </c>
      <c r="T65" s="109" t="str">
        <f t="shared" si="260"/>
        <v>none</v>
      </c>
      <c r="U65" s="111" t="e">
        <f t="shared" si="261"/>
        <v>#VALUE!</v>
      </c>
      <c r="V65" s="111">
        <f t="shared" si="262"/>
        <v>4</v>
      </c>
      <c r="W65" s="111" t="e">
        <f t="shared" si="263"/>
        <v>#VALUE!</v>
      </c>
      <c r="X65" s="111" t="e">
        <f t="shared" si="264"/>
        <v>#VALUE!</v>
      </c>
      <c r="Y65" s="111" t="str">
        <f>IFERROR(VLOOKUP(MID(T65,W65,X65-W65),[5]skilldef!$C:$D,2,FALSE),"-") &amp; " / " &amp; IFERROR(VLOOKUP(MID(T65,U65,V65-U65),[5]skilldef!$A:$B,2,FALSE),"-")</f>
        <v>- / -</v>
      </c>
      <c r="Z65" s="110"/>
      <c r="AA65" s="112"/>
      <c r="AB65" s="111" t="s">
        <v>356</v>
      </c>
      <c r="AC65" s="111" t="s">
        <v>321</v>
      </c>
    </row>
    <row r="66" spans="1:29" ht="40" customHeight="1" x14ac:dyDescent="0.15">
      <c r="A66" s="109">
        <v>48501065</v>
      </c>
      <c r="B66" s="109" t="s">
        <v>574</v>
      </c>
      <c r="C66" s="110">
        <v>1</v>
      </c>
      <c r="D66" s="110" t="s">
        <v>127</v>
      </c>
      <c r="E66" s="111" t="s">
        <v>419</v>
      </c>
      <c r="F66" s="111" t="s">
        <v>540</v>
      </c>
      <c r="G66" s="111" t="str">
        <f t="shared" si="249"/>
        <v>[effect:enemy_message, val1:1.5, val2:3.1]</v>
      </c>
      <c r="H66" s="111">
        <f t="shared" si="250"/>
        <v>9</v>
      </c>
      <c r="I66" s="111">
        <f t="shared" si="251"/>
        <v>22</v>
      </c>
      <c r="J66" s="111" t="e">
        <f t="shared" si="252"/>
        <v>#VALUE!</v>
      </c>
      <c r="K66" s="111">
        <f t="shared" si="253"/>
        <v>32</v>
      </c>
      <c r="L66" s="111" t="str">
        <f>IFERROR(VLOOKUP(MID(G66,J66,K66-J66),[5]skilldef!$C:$D,2,FALSE),"-") &amp; " / " &amp; IFERROR(VLOOKUP(MID(G66,H66,I66-H66),[5]skilldef!$A:$B,2,FALSE),"-")</f>
        <v>- / -</v>
      </c>
      <c r="M66" s="111" t="str">
        <f t="shared" si="254"/>
        <v>[effect:force_change_block, new_block:jammer, target:block_all, ignore01:crash, ignore02:crack_bomb, ignore03:color_break, ignore04:jammer, ignore05:magnet, count:2, val:0, animation:change_block],[effect:virus, target:unit_all, turn:2, rate:1, val:0.1, animation:enemy_virus],[effect:fix_speed, target:myself, turn:2]</v>
      </c>
      <c r="N66" s="109" t="str">
        <f>IFERROR(LEFT(M66,FIND("],",M66)+S74),M66)</f>
        <v>[effect:force_change_block, new_block:jammer, target:block_all, ignore01:crash, ignore02:crack_bomb, ignore03:color_break, ignore04:jammer, ignore05:magnet, count:2, val:0, animation:change_block],[effect:virus, target:unit_all, turn:2, rate:1, val:0.1, animation:enemy_virus],[effect:fix_speed, target:myself, turn:2]</v>
      </c>
      <c r="O66" s="111">
        <f t="shared" si="256"/>
        <v>9</v>
      </c>
      <c r="P66" s="111">
        <f t="shared" si="257"/>
        <v>27</v>
      </c>
      <c r="Q66" s="111">
        <f t="shared" si="258"/>
        <v>54</v>
      </c>
      <c r="R66" s="111">
        <f t="shared" si="259"/>
        <v>45</v>
      </c>
      <c r="S66" s="111" t="str">
        <f>IFERROR(VLOOKUP(MID(N66,Q66,R66-Q66),[5]skilldef!$C:$D,2,FALSE),"-") &amp; " / " &amp; IFERROR(VLOOKUP(MID(N66,O66,P66-O66),[5]skilldef!$A:$B,2,FALSE),"-")</f>
        <v>- / -</v>
      </c>
      <c r="T66" s="109" t="str">
        <f t="shared" si="260"/>
        <v>[effect:virus, target:unit_all, turn:2, rate:1, val:0.1, animation:enemy_virus],[effect:fix_speed, target:myself, turn:2]</v>
      </c>
      <c r="U66" s="111">
        <f t="shared" si="261"/>
        <v>9</v>
      </c>
      <c r="V66" s="111">
        <f t="shared" si="262"/>
        <v>14</v>
      </c>
      <c r="W66" s="111">
        <f t="shared" si="263"/>
        <v>23</v>
      </c>
      <c r="X66" s="111">
        <f t="shared" si="264"/>
        <v>31</v>
      </c>
      <c r="Y66" s="111" t="str">
        <f>IFERROR(VLOOKUP(MID(T66,W66,X66-W66),[5]skilldef!$C:$D,2,FALSE),"-") &amp; " / " &amp; IFERROR(VLOOKUP(MID(T66,U66,V66-U66),[5]skilldef!$A:$B,2,FALSE),"-")</f>
        <v>味方全体に / ウィルス</v>
      </c>
      <c r="Z66" s="110"/>
      <c r="AA66" s="112"/>
      <c r="AB66" s="111" t="s">
        <v>334</v>
      </c>
      <c r="AC66" s="111" t="s">
        <v>371</v>
      </c>
    </row>
    <row r="67" spans="1:29" ht="33" customHeight="1" x14ac:dyDescent="0.15">
      <c r="A67" s="109">
        <v>48501066</v>
      </c>
      <c r="B67" s="109" t="s">
        <v>575</v>
      </c>
      <c r="C67" s="110">
        <v>1</v>
      </c>
      <c r="D67" s="110" t="s">
        <v>127</v>
      </c>
      <c r="E67" s="111" t="s">
        <v>542</v>
      </c>
      <c r="F67" s="111" t="s">
        <v>540</v>
      </c>
      <c r="G67" s="111" t="str">
        <f t="shared" si="249"/>
        <v>[effect:enemy_message, val1:2.0, val2:3.1]</v>
      </c>
      <c r="H67" s="111">
        <f t="shared" si="250"/>
        <v>9</v>
      </c>
      <c r="I67" s="111">
        <f t="shared" si="251"/>
        <v>22</v>
      </c>
      <c r="J67" s="111" t="e">
        <f t="shared" si="252"/>
        <v>#VALUE!</v>
      </c>
      <c r="K67" s="111">
        <f t="shared" si="253"/>
        <v>32</v>
      </c>
      <c r="L67" s="111" t="str">
        <f>IFERROR(VLOOKUP(MID(G67,J67,K67-J67),[5]skilldef!$C:$D,2,FALSE),"-") &amp; " / " &amp; IFERROR(VLOOKUP(MID(G67,H67,I67-H67),[5]skilldef!$A:$B,2,FALSE),"-")</f>
        <v>- / -</v>
      </c>
      <c r="M67" s="111" t="str">
        <f t="shared" si="254"/>
        <v>[effect:force_change_block, new_block:jammer, target:block_all, ignore01:crash, ignore02:crack_bomb, ignore03:color_break, ignore04:jammer, ignore05:magnet, count:2, val:0, animation:change_block],[effect:virus, target:unit_all, turn:2, rate:1, val:0.1, animation:enemy_virus],[effect:fix_speed, target:myself, turn:2]</v>
      </c>
      <c r="N67" s="109" t="str">
        <f>IFERROR(LEFT(M67,FIND("],",M67)+S75),M67)</f>
        <v>[effect:force_change_block, new_block:jammer, target:block_all, ignore01:crash, ignore02:crack_bomb, ignore03:color_break, ignore04:jammer, ignore05:magnet, count:2, val:0, animation:change_block],[effect:virus, target:unit_all, turn:2, rate:1, val:0.1, animation:enemy_virus],[effect:fix_speed, target:myself, turn:2]</v>
      </c>
      <c r="O67" s="111">
        <f t="shared" si="256"/>
        <v>9</v>
      </c>
      <c r="P67" s="111">
        <f t="shared" si="257"/>
        <v>27</v>
      </c>
      <c r="Q67" s="111">
        <f t="shared" si="258"/>
        <v>54</v>
      </c>
      <c r="R67" s="111">
        <f t="shared" si="259"/>
        <v>45</v>
      </c>
      <c r="S67" s="111" t="str">
        <f>IFERROR(VLOOKUP(MID(N67,Q67,R67-Q67),[5]skilldef!$C:$D,2,FALSE),"-") &amp; " / " &amp; IFERROR(VLOOKUP(MID(N67,O67,P67-O67),[5]skilldef!$A:$B,2,FALSE),"-")</f>
        <v>- / -</v>
      </c>
      <c r="T67" s="109" t="str">
        <f t="shared" si="260"/>
        <v>[effect:virus, target:unit_all, turn:2, rate:1, val:0.1, animation:enemy_virus],[effect:fix_speed, target:myself, turn:2]</v>
      </c>
      <c r="U67" s="111">
        <f t="shared" si="261"/>
        <v>9</v>
      </c>
      <c r="V67" s="111">
        <f t="shared" si="262"/>
        <v>14</v>
      </c>
      <c r="W67" s="111">
        <f t="shared" si="263"/>
        <v>23</v>
      </c>
      <c r="X67" s="111">
        <f t="shared" si="264"/>
        <v>31</v>
      </c>
      <c r="Y67" s="111" t="str">
        <f>IFERROR(VLOOKUP(MID(T67,W67,X67-W67),[5]skilldef!$C:$D,2,FALSE),"-") &amp; " / " &amp; IFERROR(VLOOKUP(MID(T67,U67,V67-U67),[5]skilldef!$A:$B,2,FALSE),"-")</f>
        <v>味方全体に / ウィルス</v>
      </c>
      <c r="Z67" s="110"/>
      <c r="AA67" s="112"/>
      <c r="AB67" s="111" t="s">
        <v>335</v>
      </c>
      <c r="AC67" s="111" t="s">
        <v>371</v>
      </c>
    </row>
    <row r="68" spans="1:29" ht="60" customHeight="1" x14ac:dyDescent="0.15">
      <c r="A68" s="109">
        <v>48501067</v>
      </c>
      <c r="B68" s="109" t="s">
        <v>576</v>
      </c>
      <c r="C68" s="110">
        <v>1</v>
      </c>
      <c r="D68" s="110" t="s">
        <v>127</v>
      </c>
      <c r="E68" s="111" t="s">
        <v>393</v>
      </c>
      <c r="F68" s="111" t="s">
        <v>539</v>
      </c>
      <c r="G68" s="111" t="str">
        <f t="shared" si="249"/>
        <v>[effect:enemy_message, val1:2.0, val2:3.1]</v>
      </c>
      <c r="H68" s="111">
        <f t="shared" si="250"/>
        <v>9</v>
      </c>
      <c r="I68" s="111">
        <f t="shared" si="251"/>
        <v>22</v>
      </c>
      <c r="J68" s="111" t="e">
        <f t="shared" si="252"/>
        <v>#VALUE!</v>
      </c>
      <c r="K68" s="111">
        <f t="shared" si="253"/>
        <v>32</v>
      </c>
      <c r="L68" s="111" t="str">
        <f>IFERROR(VLOOKUP(MID(G68,J68,K68-J68),[5]skilldef!$C:$D,2,FALSE),"-") &amp; " / " &amp; IFERROR(VLOOKUP(MID(G68,H68,I68-H68),[5]skilldef!$A:$B,2,FALSE),"-")</f>
        <v>- / -</v>
      </c>
      <c r="M68" s="111" t="str">
        <f t="shared" si="254"/>
        <v>[effect:force_change_block, new_block:jammer, target:block_all, ignore01:crash, ignore02:crack_bomb, ignore03:color_break, ignore04:jammer, ignore05:magnet, count:2, val:0, animation:change_block],[effect:virus, target:unit_all, turn:2, rate:1, val:0.1, animation:enemy_virus],[effect:fix_speed, target:myself, turn:2]</v>
      </c>
      <c r="N68" s="109" t="str">
        <f>IFERROR(LEFT(M68,FIND("],",M68)+S76),M68)</f>
        <v>[effect:force_change_block, new_block:jammer, target:block_all, ignore01:crash, ignore02:crack_bomb, ignore03:color_break, ignore04:jammer, ignore05:magnet, count:2, val:0, animation:change_block],[effect:virus, target:unit_all, turn:2, rate:1, val:0.1, animation:enemy_virus],[effect:fix_speed, target:myself, turn:2]</v>
      </c>
      <c r="O68" s="111">
        <f t="shared" si="256"/>
        <v>9</v>
      </c>
      <c r="P68" s="111">
        <f t="shared" si="257"/>
        <v>27</v>
      </c>
      <c r="Q68" s="111">
        <f t="shared" si="258"/>
        <v>54</v>
      </c>
      <c r="R68" s="111">
        <f t="shared" si="259"/>
        <v>45</v>
      </c>
      <c r="S68" s="111" t="str">
        <f>IFERROR(VLOOKUP(MID(N68,Q68,R68-Q68),[5]skilldef!$C:$D,2,FALSE),"-") &amp; " / " &amp; IFERROR(VLOOKUP(MID(N68,O68,P68-O68),[5]skilldef!$A:$B,2,FALSE),"-")</f>
        <v>- / -</v>
      </c>
      <c r="T68" s="109" t="str">
        <f t="shared" si="260"/>
        <v>[effect:virus, target:unit_all, turn:2, rate:1, val:0.1, animation:enemy_virus],[effect:fix_speed, target:myself, turn:2]</v>
      </c>
      <c r="U68" s="111">
        <f t="shared" si="261"/>
        <v>9</v>
      </c>
      <c r="V68" s="111">
        <f t="shared" si="262"/>
        <v>14</v>
      </c>
      <c r="W68" s="111">
        <f t="shared" si="263"/>
        <v>23</v>
      </c>
      <c r="X68" s="111">
        <f t="shared" si="264"/>
        <v>31</v>
      </c>
      <c r="Y68" s="111" t="str">
        <f>IFERROR(VLOOKUP(MID(T68,W68,X68-W68),[5]skilldef!$C:$D,2,FALSE),"-") &amp; " / " &amp; IFERROR(VLOOKUP(MID(T68,U68,V68-U68),[5]skilldef!$A:$B,2,FALSE),"-")</f>
        <v>味方全体に / ウィルス</v>
      </c>
      <c r="Z68" s="110"/>
      <c r="AA68" s="112"/>
      <c r="AB68" s="111" t="s">
        <v>336</v>
      </c>
      <c r="AC68" s="111" t="s">
        <v>371</v>
      </c>
    </row>
    <row r="69" spans="1:29" ht="126" x14ac:dyDescent="0.15">
      <c r="A69" s="109">
        <v>48501068</v>
      </c>
      <c r="B69" s="109" t="s">
        <v>495</v>
      </c>
      <c r="C69" s="110">
        <v>1</v>
      </c>
      <c r="D69" s="110" t="s">
        <v>127</v>
      </c>
      <c r="E69" s="111" t="s">
        <v>395</v>
      </c>
      <c r="F69" s="111" t="s">
        <v>323</v>
      </c>
      <c r="G69" s="111" t="str">
        <f t="shared" si="249"/>
        <v>[effect:enemy_message, val1:1.2, val2:2.9]</v>
      </c>
      <c r="H69" s="111">
        <f t="shared" si="250"/>
        <v>9</v>
      </c>
      <c r="I69" s="111">
        <f t="shared" si="251"/>
        <v>22</v>
      </c>
      <c r="J69" s="111" t="e">
        <f t="shared" si="252"/>
        <v>#VALUE!</v>
      </c>
      <c r="K69" s="111">
        <f t="shared" si="253"/>
        <v>32</v>
      </c>
      <c r="L69" s="111" t="str">
        <f>IFERROR(VLOOKUP(MID(G69,J69,K69-J69),[5]skilldef!$C:$D,2,FALSE),"-") &amp; " / " &amp; IFERROR(VLOOKUP(MID(G69,H69,I69-H69),[5]skilldef!$A:$B,2,FALSE),"-")</f>
        <v>- / -</v>
      </c>
      <c r="M69" s="111" t="str">
        <f t="shared" si="254"/>
        <v>[effect:break_enchance_enemy, target:myself, val:0.1, lowest_val:0.01, count:-1, status:attack, turn:2, block01:jammer, calc:add, animation:enemy_enhance_attack],[effect:freq_turn, target:myself, turn:2, val:1, animation:enemy_freq_turn]</v>
      </c>
      <c r="N69" s="109" t="str">
        <f t="shared" ref="N69:N73" si="265">IFERROR(LEFT(M69,FIND("],",M69)+S77),M69)</f>
        <v>[effect:break_enchance_enemy, target:myself, val:0.1, lowest_val:0.01, count:-1, status:attack, turn:2, block01:jammer, calc:add, animation:enemy_enhance_attack],[effect:freq_turn, target:myself, turn:2, val:1, animation:enemy_freq_turn]</v>
      </c>
      <c r="O69" s="111">
        <f t="shared" si="256"/>
        <v>9</v>
      </c>
      <c r="P69" s="111">
        <f t="shared" si="257"/>
        <v>29</v>
      </c>
      <c r="Q69" s="111">
        <f t="shared" si="258"/>
        <v>38</v>
      </c>
      <c r="R69" s="111">
        <f t="shared" si="259"/>
        <v>44</v>
      </c>
      <c r="S69" s="111" t="str">
        <f>IFERROR(VLOOKUP(MID(N69,Q69,R69-Q69),[5]skilldef!$C:$D,2,FALSE),"-") &amp; " / " &amp; IFERROR(VLOOKUP(MID(N69,O69,P69-O69),[5]skilldef!$A:$B,2,FALSE),"-")</f>
        <v>自分自身に / -</v>
      </c>
      <c r="T69" s="109" t="str">
        <f t="shared" si="260"/>
        <v>[effect:freq_turn, target:myself, turn:2, val:1, animation:enemy_freq_turn]</v>
      </c>
      <c r="U69" s="111">
        <f t="shared" si="261"/>
        <v>9</v>
      </c>
      <c r="V69" s="111">
        <f t="shared" si="262"/>
        <v>18</v>
      </c>
      <c r="W69" s="111">
        <f t="shared" si="263"/>
        <v>27</v>
      </c>
      <c r="X69" s="111">
        <f t="shared" si="264"/>
        <v>33</v>
      </c>
      <c r="Y69" s="111" t="str">
        <f>IFERROR(VLOOKUP(MID(T69,W69,X69-W69),[5]skilldef!$C:$D,2,FALSE),"-") &amp; " / " &amp; IFERROR(VLOOKUP(MID(T69,U69,V69-U69),[5]skilldef!$A:$B,2,FALSE),"-")</f>
        <v>自分自身に / 攻撃頻度がUP</v>
      </c>
      <c r="Z69" s="110"/>
      <c r="AA69" s="112"/>
      <c r="AB69" s="111" t="s">
        <v>281</v>
      </c>
      <c r="AC69" s="111" t="s">
        <v>323</v>
      </c>
    </row>
    <row r="70" spans="1:29" ht="33" customHeight="1" x14ac:dyDescent="0.15">
      <c r="A70" s="109">
        <v>48501069</v>
      </c>
      <c r="B70" s="109" t="s">
        <v>496</v>
      </c>
      <c r="C70" s="110">
        <v>1</v>
      </c>
      <c r="D70" s="110" t="s">
        <v>127</v>
      </c>
      <c r="E70" s="111" t="s">
        <v>394</v>
      </c>
      <c r="F70" s="111" t="s">
        <v>324</v>
      </c>
      <c r="G70" s="111" t="str">
        <f t="shared" si="249"/>
        <v>[effect:enemy_message, val1:2.0, val2:2.3]</v>
      </c>
      <c r="H70" s="111">
        <f t="shared" si="250"/>
        <v>9</v>
      </c>
      <c r="I70" s="111">
        <f t="shared" si="251"/>
        <v>22</v>
      </c>
      <c r="J70" s="111" t="e">
        <f t="shared" si="252"/>
        <v>#VALUE!</v>
      </c>
      <c r="K70" s="111">
        <f t="shared" si="253"/>
        <v>32</v>
      </c>
      <c r="L70" s="111" t="str">
        <f>IFERROR(VLOOKUP(MID(G70,J70,K70-J70),[5]skilldef!$C:$D,2,FALSE),"-") &amp; " / " &amp; IFERROR(VLOOKUP(MID(G70,H70,I70-H70),[5]skilldef!$A:$B,2,FALSE),"-")</f>
        <v>- / -</v>
      </c>
      <c r="M70" s="111" t="str">
        <f t="shared" si="254"/>
        <v>[effect:damage_anti_tribe, target:unit_all, tribe:human, val1:1, val2:0.23]</v>
      </c>
      <c r="N70" s="109" t="str">
        <f t="shared" si="265"/>
        <v>[effect:damage_anti_tribe, target:unit_all, tribe:human, val1:1, val2:0.23]</v>
      </c>
      <c r="O70" s="111">
        <f t="shared" si="256"/>
        <v>9</v>
      </c>
      <c r="P70" s="111">
        <f t="shared" si="257"/>
        <v>26</v>
      </c>
      <c r="Q70" s="111">
        <f t="shared" si="258"/>
        <v>35</v>
      </c>
      <c r="R70" s="111">
        <f t="shared" si="259"/>
        <v>43</v>
      </c>
      <c r="S70" s="111" t="str">
        <f>IFERROR(VLOOKUP(MID(N70,Q70,R70-Q70),[5]skilldef!$C:$D,2,FALSE),"-") &amp; " / " &amp; IFERROR(VLOOKUP(MID(N70,O70,P70-O70),[5]skilldef!$A:$B,2,FALSE),"-")</f>
        <v>味方全体に / 種族キラー</v>
      </c>
      <c r="T70" s="109" t="str">
        <f t="shared" si="260"/>
        <v>none</v>
      </c>
      <c r="U70" s="111" t="e">
        <f t="shared" si="261"/>
        <v>#VALUE!</v>
      </c>
      <c r="V70" s="111">
        <f t="shared" si="262"/>
        <v>4</v>
      </c>
      <c r="W70" s="111" t="e">
        <f t="shared" si="263"/>
        <v>#VALUE!</v>
      </c>
      <c r="X70" s="111" t="e">
        <f t="shared" si="264"/>
        <v>#VALUE!</v>
      </c>
      <c r="Y70" s="111" t="str">
        <f>IFERROR(VLOOKUP(MID(T70,W70,X70-W70),[5]skilldef!$C:$D,2,FALSE),"-") &amp; " / " &amp; IFERROR(VLOOKUP(MID(T70,U70,V70-U70),[5]skilldef!$A:$B,2,FALSE),"-")</f>
        <v>- / -</v>
      </c>
      <c r="Z70" s="110"/>
      <c r="AA70" s="112"/>
      <c r="AB70" s="111" t="s">
        <v>372</v>
      </c>
      <c r="AC70" s="111" t="s">
        <v>324</v>
      </c>
    </row>
    <row r="71" spans="1:29" ht="21" customHeight="1" x14ac:dyDescent="0.15">
      <c r="A71" s="109">
        <v>48501070</v>
      </c>
      <c r="B71" s="109" t="s">
        <v>577</v>
      </c>
      <c r="C71" s="110">
        <v>1</v>
      </c>
      <c r="D71" s="110" t="s">
        <v>127</v>
      </c>
      <c r="E71" s="111" t="s">
        <v>396</v>
      </c>
      <c r="F71" s="111" t="s">
        <v>538</v>
      </c>
      <c r="G71" s="111" t="str">
        <f t="shared" si="249"/>
        <v>[effect:enemy_message, val1:1.5, val2:2.0]</v>
      </c>
      <c r="H71" s="111">
        <f t="shared" si="250"/>
        <v>9</v>
      </c>
      <c r="I71" s="111">
        <f t="shared" si="251"/>
        <v>22</v>
      </c>
      <c r="J71" s="111" t="e">
        <f t="shared" si="252"/>
        <v>#VALUE!</v>
      </c>
      <c r="K71" s="111">
        <f t="shared" si="253"/>
        <v>32</v>
      </c>
      <c r="L71" s="111" t="str">
        <f>IFERROR(VLOOKUP(MID(G71,J71,K71-J71),[5]skilldef!$C:$D,2,FALSE),"-") &amp; " / " &amp; IFERROR(VLOOKUP(MID(G71,H71,I71-H71),[5]skilldef!$A:$B,2,FALSE),"-")</f>
        <v>- / -</v>
      </c>
      <c r="M71" s="111" t="str">
        <f t="shared" si="254"/>
        <v>[effect:degrade_unit, target:unit_all, turn:2, status:heal, val:0.4, calc:mul, animation:degrade_unit_all_heal]</v>
      </c>
      <c r="N71" s="109" t="str">
        <f t="shared" si="265"/>
        <v>[effect:degrade_unit, target:unit_all, turn:2, status:heal, val:0.4, calc:mul, animation:degrade_unit_all_heal]</v>
      </c>
      <c r="O71" s="111">
        <f t="shared" si="256"/>
        <v>9</v>
      </c>
      <c r="P71" s="111">
        <f t="shared" si="257"/>
        <v>21</v>
      </c>
      <c r="Q71" s="111">
        <f t="shared" si="258"/>
        <v>30</v>
      </c>
      <c r="R71" s="111">
        <f t="shared" si="259"/>
        <v>38</v>
      </c>
      <c r="S71" s="111" t="str">
        <f>IFERROR(VLOOKUP(MID(N71,Q71,R71-Q71),[5]skilldef!$C:$D,2,FALSE),"-") &amp; " / " &amp; IFERROR(VLOOKUP(MID(N71,O71,P71-O71),[5]skilldef!$A:$B,2,FALSE),"-")</f>
        <v>味方全体に / ステータスDOWN</v>
      </c>
      <c r="T71" s="109" t="str">
        <f t="shared" si="260"/>
        <v>none</v>
      </c>
      <c r="U71" s="111" t="e">
        <f t="shared" si="261"/>
        <v>#VALUE!</v>
      </c>
      <c r="V71" s="111">
        <f t="shared" si="262"/>
        <v>4</v>
      </c>
      <c r="W71" s="111" t="e">
        <f t="shared" si="263"/>
        <v>#VALUE!</v>
      </c>
      <c r="X71" s="111" t="e">
        <f t="shared" si="264"/>
        <v>#VALUE!</v>
      </c>
      <c r="Y71" s="111" t="str">
        <f>IFERROR(VLOOKUP(MID(T71,W71,X71-W71),[5]skilldef!$C:$D,2,FALSE),"-") &amp; " / " &amp; IFERROR(VLOOKUP(MID(T71,U71,V71-U71),[5]skilldef!$A:$B,2,FALSE),"-")</f>
        <v>- / -</v>
      </c>
      <c r="Z71" s="110"/>
      <c r="AA71" s="112"/>
      <c r="AB71" s="111" t="s">
        <v>374</v>
      </c>
      <c r="AC71" s="111" t="s">
        <v>325</v>
      </c>
    </row>
    <row r="72" spans="1:29" ht="35" customHeight="1" x14ac:dyDescent="0.15">
      <c r="A72" s="109">
        <v>48501071</v>
      </c>
      <c r="B72" s="109" t="s">
        <v>497</v>
      </c>
      <c r="C72" s="110">
        <v>1</v>
      </c>
      <c r="D72" s="110" t="s">
        <v>127</v>
      </c>
      <c r="E72" s="111" t="s">
        <v>394</v>
      </c>
      <c r="F72" s="111" t="s">
        <v>324</v>
      </c>
      <c r="G72" s="111" t="str">
        <f t="shared" si="249"/>
        <v>[effect:enemy_message, val1:2.0, val2:2.3]</v>
      </c>
      <c r="H72" s="111">
        <f t="shared" si="250"/>
        <v>9</v>
      </c>
      <c r="I72" s="111">
        <f t="shared" si="251"/>
        <v>22</v>
      </c>
      <c r="J72" s="111" t="e">
        <f t="shared" si="252"/>
        <v>#VALUE!</v>
      </c>
      <c r="K72" s="111">
        <f t="shared" si="253"/>
        <v>32</v>
      </c>
      <c r="L72" s="111" t="str">
        <f>IFERROR(VLOOKUP(MID(G72,J72,K72-J72),[5]skilldef!$C:$D,2,FALSE),"-") &amp; " / " &amp; IFERROR(VLOOKUP(MID(G72,H72,I72-H72),[5]skilldef!$A:$B,2,FALSE),"-")</f>
        <v>- / -</v>
      </c>
      <c r="M72" s="111" t="str">
        <f t="shared" si="254"/>
        <v>[effect:damage_anti_tribe, target:unit_all, tribe:human, val1:1, val2:0.23]</v>
      </c>
      <c r="N72" s="109" t="str">
        <f t="shared" si="265"/>
        <v>[effect:damage_anti_tribe, target:unit_all, tribe:human, val1:1, val2:0.23]</v>
      </c>
      <c r="O72" s="111">
        <f t="shared" si="256"/>
        <v>9</v>
      </c>
      <c r="P72" s="111">
        <f t="shared" si="257"/>
        <v>26</v>
      </c>
      <c r="Q72" s="111">
        <f t="shared" si="258"/>
        <v>35</v>
      </c>
      <c r="R72" s="111">
        <f t="shared" si="259"/>
        <v>43</v>
      </c>
      <c r="S72" s="111" t="str">
        <f>IFERROR(VLOOKUP(MID(N72,Q72,R72-Q72),[5]skilldef!$C:$D,2,FALSE),"-") &amp; " / " &amp; IFERROR(VLOOKUP(MID(N72,O72,P72-O72),[5]skilldef!$A:$B,2,FALSE),"-")</f>
        <v>味方全体に / 種族キラー</v>
      </c>
      <c r="T72" s="109" t="str">
        <f t="shared" si="260"/>
        <v>none</v>
      </c>
      <c r="U72" s="111" t="e">
        <f t="shared" si="261"/>
        <v>#VALUE!</v>
      </c>
      <c r="V72" s="111">
        <f t="shared" si="262"/>
        <v>4</v>
      </c>
      <c r="W72" s="111" t="e">
        <f t="shared" si="263"/>
        <v>#VALUE!</v>
      </c>
      <c r="X72" s="111" t="e">
        <f t="shared" si="264"/>
        <v>#VALUE!</v>
      </c>
      <c r="Y72" s="111" t="str">
        <f>IFERROR(VLOOKUP(MID(T72,W72,X72-W72),[5]skilldef!$C:$D,2,FALSE),"-") &amp; " / " &amp; IFERROR(VLOOKUP(MID(T72,U72,V72-U72),[5]skilldef!$A:$B,2,FALSE),"-")</f>
        <v>- / -</v>
      </c>
      <c r="Z72" s="110"/>
      <c r="AA72" s="112"/>
      <c r="AB72" s="111" t="s">
        <v>373</v>
      </c>
      <c r="AC72" s="111" t="s">
        <v>324</v>
      </c>
    </row>
    <row r="73" spans="1:29" ht="140" x14ac:dyDescent="0.15">
      <c r="A73" s="109">
        <v>48501072</v>
      </c>
      <c r="B73" s="109" t="s">
        <v>522</v>
      </c>
      <c r="C73" s="110">
        <v>1</v>
      </c>
      <c r="D73" s="110" t="s">
        <v>127</v>
      </c>
      <c r="E73" s="111" t="s">
        <v>397</v>
      </c>
      <c r="F73" s="111" t="s">
        <v>348</v>
      </c>
      <c r="G73" s="111" t="str">
        <f t="shared" si="249"/>
        <v>[effect:enemy_message, val1:2.2, val2:2.1]</v>
      </c>
      <c r="H73" s="111">
        <f t="shared" si="250"/>
        <v>9</v>
      </c>
      <c r="I73" s="111">
        <f t="shared" si="251"/>
        <v>22</v>
      </c>
      <c r="J73" s="111" t="e">
        <f t="shared" si="252"/>
        <v>#VALUE!</v>
      </c>
      <c r="K73" s="111">
        <f t="shared" si="253"/>
        <v>32</v>
      </c>
      <c r="L73" s="111" t="str">
        <f>IFERROR(VLOOKUP(MID(G73,J73,K73-J73),[5]skilldef!$C:$D,2,FALSE),"-") &amp; " / " &amp; IFERROR(VLOOKUP(MID(G73,H73,I73-H73),[5]skilldef!$A:$B,2,FALSE),"-")</f>
        <v>- / -</v>
      </c>
      <c r="M73" s="111" t="str">
        <f t="shared" si="254"/>
        <v xml:space="preserve">[effect:force_change_block, new_block:jammer, target:block_all, ignore01:crash, ignore02:crack_bomb, ignore03:color_break, ignore04:jammer, ignore05:magnet, count:3, val:0, animation:change_block],[effect:fix_speed, target:myself, turn:1],[effect:critical, val:1] </v>
      </c>
      <c r="N73" s="109" t="str">
        <f t="shared" si="265"/>
        <v xml:space="preserve">[effect:force_change_block, new_block:jammer, target:block_all, ignore01:crash, ignore02:crack_bomb, ignore03:color_break, ignore04:jammer, ignore05:magnet, count:3, val:0, animation:change_block],[effect:fix_speed, target:myself, turn:1],[effect:critical, val:1] </v>
      </c>
      <c r="O73" s="111">
        <f t="shared" si="256"/>
        <v>9</v>
      </c>
      <c r="P73" s="111">
        <f t="shared" si="257"/>
        <v>27</v>
      </c>
      <c r="Q73" s="111">
        <f t="shared" si="258"/>
        <v>54</v>
      </c>
      <c r="R73" s="111">
        <f t="shared" si="259"/>
        <v>45</v>
      </c>
      <c r="S73" s="111" t="str">
        <f>IFERROR(VLOOKUP(MID(N73,Q73,R73-Q73),[5]skilldef!$C:$D,2,FALSE),"-") &amp; " / " &amp; IFERROR(VLOOKUP(MID(N73,O73,P73-O73),[5]skilldef!$A:$B,2,FALSE),"-")</f>
        <v>- / -</v>
      </c>
      <c r="T73" s="109" t="str">
        <f t="shared" si="260"/>
        <v xml:space="preserve">[effect:fix_speed, target:myself, turn:1],[effect:critical, val:1] </v>
      </c>
      <c r="U73" s="111">
        <f t="shared" si="261"/>
        <v>9</v>
      </c>
      <c r="V73" s="111">
        <f t="shared" si="262"/>
        <v>18</v>
      </c>
      <c r="W73" s="111">
        <f t="shared" si="263"/>
        <v>27</v>
      </c>
      <c r="X73" s="111">
        <f t="shared" si="264"/>
        <v>33</v>
      </c>
      <c r="Y73" s="111" t="str">
        <f>IFERROR(VLOOKUP(MID(T73,W73,X73-W73),[5]skilldef!$C:$D,2,FALSE),"-") &amp; " / " &amp; IFERROR(VLOOKUP(MID(T73,U73,V73-U73),[5]skilldef!$A:$B,2,FALSE),"-")</f>
        <v>自分自身に / 行動値設定</v>
      </c>
      <c r="Z73" s="110"/>
      <c r="AA73" s="112"/>
      <c r="AB73" s="111" t="s">
        <v>288</v>
      </c>
      <c r="AC73" s="111" t="s">
        <v>348</v>
      </c>
    </row>
    <row r="74" spans="1:29" ht="39" customHeight="1" x14ac:dyDescent="0.15">
      <c r="A74" s="109">
        <v>48501073</v>
      </c>
      <c r="B74" s="109" t="s">
        <v>523</v>
      </c>
      <c r="C74" s="110">
        <v>1</v>
      </c>
      <c r="D74" s="110" t="s">
        <v>127</v>
      </c>
      <c r="E74" s="111" t="s">
        <v>398</v>
      </c>
      <c r="F74" s="111" t="s">
        <v>331</v>
      </c>
      <c r="G74" s="111" t="str">
        <f t="shared" si="249"/>
        <v>[effect:enemy_message, val1:1.2, val2:2.1]</v>
      </c>
      <c r="H74" s="111">
        <f t="shared" si="250"/>
        <v>9</v>
      </c>
      <c r="I74" s="111">
        <f t="shared" si="251"/>
        <v>22</v>
      </c>
      <c r="J74" s="111" t="e">
        <f t="shared" si="252"/>
        <v>#VALUE!</v>
      </c>
      <c r="K74" s="111">
        <f t="shared" si="253"/>
        <v>32</v>
      </c>
      <c r="L74" s="111" t="str">
        <f>IFERROR(VLOOKUP(MID(G74,J74,K74-J74),[5]skilldef!$C:$D,2,FALSE),"-") &amp; " / " &amp; IFERROR(VLOOKUP(MID(G74,H74,I74-H74),[5]skilldef!$A:$B,2,FALSE),"-")</f>
        <v>- / -</v>
      </c>
      <c r="M74" s="111" t="str">
        <f t="shared" si="254"/>
        <v xml:space="preserve">[effect:force_change_block, new_block:jammer, target:block_all, ignore01:crash, ignore02:crack_bomb, ignore03:color_break, ignore04:jammer, ignore05:magnet, count:2, val:0, animation:change_block],[effect:critical, val:1] </v>
      </c>
      <c r="N74" s="109" t="str">
        <f>IFERROR(LEFT(M74,FIND("],",M74)+S85),M74)</f>
        <v xml:space="preserve">[effect:force_change_block, new_block:jammer, target:block_all, ignore01:crash, ignore02:crack_bomb, ignore03:color_break, ignore04:jammer, ignore05:magnet, count:2, val:0, animation:change_block],[effect:critical, val:1] </v>
      </c>
      <c r="O74" s="111">
        <f t="shared" si="256"/>
        <v>9</v>
      </c>
      <c r="P74" s="111">
        <f t="shared" si="257"/>
        <v>27</v>
      </c>
      <c r="Q74" s="111">
        <f t="shared" si="258"/>
        <v>54</v>
      </c>
      <c r="R74" s="111">
        <f t="shared" si="259"/>
        <v>45</v>
      </c>
      <c r="S74" s="111" t="str">
        <f>IFERROR(VLOOKUP(MID(N74,Q74,R74-Q74),[5]skilldef!$C:$D,2,FALSE),"-") &amp; " / " &amp; IFERROR(VLOOKUP(MID(N74,O74,P74-O74),[5]skilldef!$A:$B,2,FALSE),"-")</f>
        <v>- / -</v>
      </c>
      <c r="T74" s="109" t="str">
        <f t="shared" si="260"/>
        <v xml:space="preserve">[effect:critical, val:1] </v>
      </c>
      <c r="U74" s="111">
        <f t="shared" si="261"/>
        <v>9</v>
      </c>
      <c r="V74" s="111">
        <f t="shared" si="262"/>
        <v>17</v>
      </c>
      <c r="W74" s="111" t="e">
        <f t="shared" si="263"/>
        <v>#VALUE!</v>
      </c>
      <c r="X74" s="111" t="e">
        <f t="shared" si="264"/>
        <v>#VALUE!</v>
      </c>
      <c r="Y74" s="111" t="str">
        <f>IFERROR(VLOOKUP(MID(T74,W74,X74-W74),[5]skilldef!$C:$D,2,FALSE),"-") &amp; " / " &amp; IFERROR(VLOOKUP(MID(T74,U74,V74-U74),[5]skilldef!$A:$B,2,FALSE),"-")</f>
        <v>- / 大攻撃</v>
      </c>
      <c r="Z74" s="110"/>
      <c r="AA74" s="112"/>
      <c r="AB74" s="111" t="s">
        <v>289</v>
      </c>
      <c r="AC74" s="111" t="s">
        <v>331</v>
      </c>
    </row>
    <row r="75" spans="1:29" ht="37" customHeight="1" x14ac:dyDescent="0.15">
      <c r="A75" s="109">
        <v>48501074</v>
      </c>
      <c r="B75" s="109" t="s">
        <v>524</v>
      </c>
      <c r="C75" s="110">
        <v>1</v>
      </c>
      <c r="D75" s="110" t="s">
        <v>127</v>
      </c>
      <c r="E75" s="111" t="s">
        <v>400</v>
      </c>
      <c r="F75" s="111" t="s">
        <v>332</v>
      </c>
      <c r="G75" s="111" t="str">
        <f t="shared" si="249"/>
        <v>[effect:enemy_message, val1:1.3, val2:2.3]</v>
      </c>
      <c r="H75" s="111">
        <f t="shared" si="250"/>
        <v>9</v>
      </c>
      <c r="I75" s="111">
        <f t="shared" si="251"/>
        <v>22</v>
      </c>
      <c r="J75" s="111" t="e">
        <f t="shared" si="252"/>
        <v>#VALUE!</v>
      </c>
      <c r="K75" s="111">
        <f t="shared" si="253"/>
        <v>32</v>
      </c>
      <c r="L75" s="111" t="str">
        <f>IFERROR(VLOOKUP(MID(G75,J75,K75-J75),[5]skilldef!$C:$D,2,FALSE),"-") &amp; " / " &amp; IFERROR(VLOOKUP(MID(G75,H75,I75-H75),[5]skilldef!$A:$B,2,FALSE),"-")</f>
        <v>- / -</v>
      </c>
      <c r="M75" s="111" t="str">
        <f t="shared" si="254"/>
        <v>[effect:force_change_block, new_block:jammer, target:block_all, ignore01:crash, ignore02:crack_bomb, ignore03:color_break, ignore04:jammer, ignore05:magnet, count:2, val:0, animation:change_block],[effect:rush, count:2, val:0.6]</v>
      </c>
      <c r="N75" s="109" t="str">
        <f>IFERROR(LEFT(M75,FIND("],",M75)+S86),M75)</f>
        <v>[effect:force_change_block, new_block:jammer, target:block_all, ignore01:crash, ignore02:crack_bomb, ignore03:color_break, ignore04:jammer, ignore05:magnet, count:2, val:0, animation:change_block],[effect:rush, count:2, val:0.6]</v>
      </c>
      <c r="O75" s="111">
        <f t="shared" si="256"/>
        <v>9</v>
      </c>
      <c r="P75" s="111">
        <f t="shared" si="257"/>
        <v>27</v>
      </c>
      <c r="Q75" s="111">
        <f t="shared" si="258"/>
        <v>54</v>
      </c>
      <c r="R75" s="111">
        <f t="shared" si="259"/>
        <v>45</v>
      </c>
      <c r="S75" s="111" t="str">
        <f>IFERROR(VLOOKUP(MID(N75,Q75,R75-Q75),[5]skilldef!$C:$D,2,FALSE),"-") &amp; " / " &amp; IFERROR(VLOOKUP(MID(N75,O75,P75-O75),[5]skilldef!$A:$B,2,FALSE),"-")</f>
        <v>- / -</v>
      </c>
      <c r="T75" s="109" t="str">
        <f t="shared" si="260"/>
        <v>[effect:rush, count:2, val:0.6]</v>
      </c>
      <c r="U75" s="111">
        <f t="shared" si="261"/>
        <v>9</v>
      </c>
      <c r="V75" s="111">
        <f t="shared" si="262"/>
        <v>13</v>
      </c>
      <c r="W75" s="111" t="e">
        <f t="shared" si="263"/>
        <v>#VALUE!</v>
      </c>
      <c r="X75" s="111">
        <f t="shared" si="264"/>
        <v>22</v>
      </c>
      <c r="Y75" s="111" t="str">
        <f>IFERROR(VLOOKUP(MID(T75,W75,X75-W75),[5]skilldef!$C:$D,2,FALSE),"-") &amp; " / " &amp; IFERROR(VLOOKUP(MID(T75,U75,V75-U75),[5]skilldef!$A:$B,2,FALSE),"-")</f>
        <v>- / 連続攻撃</v>
      </c>
      <c r="Z75" s="110"/>
      <c r="AA75" s="112"/>
      <c r="AB75" s="111" t="s">
        <v>289</v>
      </c>
      <c r="AC75" s="111" t="s">
        <v>349</v>
      </c>
    </row>
    <row r="76" spans="1:29" ht="21" customHeight="1" x14ac:dyDescent="0.15">
      <c r="A76" s="109">
        <v>48501075</v>
      </c>
      <c r="B76" s="109" t="s">
        <v>498</v>
      </c>
      <c r="C76" s="110">
        <v>1</v>
      </c>
      <c r="D76" s="110" t="s">
        <v>127</v>
      </c>
      <c r="E76" s="111" t="s">
        <v>399</v>
      </c>
      <c r="F76" s="111" t="s">
        <v>326</v>
      </c>
      <c r="G76" s="111" t="str">
        <f t="shared" si="249"/>
        <v>[effect:enemy_message, val1:1.2, val2:1.2]</v>
      </c>
      <c r="H76" s="111">
        <f t="shared" si="250"/>
        <v>9</v>
      </c>
      <c r="I76" s="111">
        <f t="shared" si="251"/>
        <v>22</v>
      </c>
      <c r="J76" s="111" t="e">
        <f t="shared" si="252"/>
        <v>#VALUE!</v>
      </c>
      <c r="K76" s="111">
        <f t="shared" si="253"/>
        <v>32</v>
      </c>
      <c r="L76" s="111" t="str">
        <f>IFERROR(VLOOKUP(MID(G76,J76,K76-J76),[5]skilldef!$C:$D,2,FALSE),"-") &amp; " / " &amp; IFERROR(VLOOKUP(MID(G76,H76,I76-H76),[5]skilldef!$A:$B,2,FALSE),"-")</f>
        <v>- / -</v>
      </c>
      <c r="M76" s="111" t="str">
        <f t="shared" si="254"/>
        <v>[effect:rush, count:4, val:0.35]</v>
      </c>
      <c r="N76" s="109" t="str">
        <f>IFERROR(LEFT(M76,FIND("],",M76)+S86),M76)</f>
        <v>[effect:rush, count:4, val:0.35]</v>
      </c>
      <c r="O76" s="111">
        <f t="shared" si="256"/>
        <v>9</v>
      </c>
      <c r="P76" s="111">
        <f t="shared" si="257"/>
        <v>13</v>
      </c>
      <c r="Q76" s="111" t="e">
        <f t="shared" si="258"/>
        <v>#VALUE!</v>
      </c>
      <c r="R76" s="111">
        <f t="shared" si="259"/>
        <v>22</v>
      </c>
      <c r="S76" s="111" t="str">
        <f>IFERROR(VLOOKUP(MID(N76,Q76,R76-Q76),[5]skilldef!$C:$D,2,FALSE),"-") &amp; " / " &amp; IFERROR(VLOOKUP(MID(N76,O76,P76-O76),[5]skilldef!$A:$B,2,FALSE),"-")</f>
        <v>- / 連続攻撃</v>
      </c>
      <c r="T76" s="109" t="str">
        <f t="shared" si="260"/>
        <v>none</v>
      </c>
      <c r="U76" s="111" t="e">
        <f t="shared" si="261"/>
        <v>#VALUE!</v>
      </c>
      <c r="V76" s="111">
        <f t="shared" si="262"/>
        <v>4</v>
      </c>
      <c r="W76" s="111" t="e">
        <f t="shared" si="263"/>
        <v>#VALUE!</v>
      </c>
      <c r="X76" s="111" t="e">
        <f t="shared" si="264"/>
        <v>#VALUE!</v>
      </c>
      <c r="Y76" s="111" t="str">
        <f>IFERROR(VLOOKUP(MID(T76,W76,X76-W76),[5]skilldef!$C:$D,2,FALSE),"-") &amp; " / " &amp; IFERROR(VLOOKUP(MID(T76,U76,V76-U76),[5]skilldef!$A:$B,2,FALSE),"-")</f>
        <v>- / -</v>
      </c>
      <c r="Z76" s="110"/>
      <c r="AA76" s="112"/>
      <c r="AB76" s="111" t="s">
        <v>376</v>
      </c>
      <c r="AC76" s="111" t="s">
        <v>326</v>
      </c>
    </row>
    <row r="77" spans="1:29" ht="21" customHeight="1" x14ac:dyDescent="0.15">
      <c r="A77" s="109">
        <v>48501076</v>
      </c>
      <c r="B77" s="109" t="s">
        <v>525</v>
      </c>
      <c r="C77" s="110">
        <v>1</v>
      </c>
      <c r="D77" s="110" t="s">
        <v>127</v>
      </c>
      <c r="E77" s="111" t="s">
        <v>401</v>
      </c>
      <c r="F77" s="111" t="s">
        <v>320</v>
      </c>
      <c r="G77" s="111" t="str">
        <f t="shared" si="249"/>
        <v>[effect:enemy_message, val1:1.7, val2:1.6]</v>
      </c>
      <c r="H77" s="111">
        <f t="shared" si="250"/>
        <v>9</v>
      </c>
      <c r="I77" s="111">
        <f t="shared" si="251"/>
        <v>22</v>
      </c>
      <c r="J77" s="111" t="e">
        <f t="shared" si="252"/>
        <v>#VALUE!</v>
      </c>
      <c r="K77" s="111">
        <f t="shared" si="253"/>
        <v>32</v>
      </c>
      <c r="L77" s="111" t="str">
        <f>IFERROR(VLOOKUP(MID(G77,J77,K77-J77),[5]skilldef!$C:$D,2,FALSE),"-") &amp; " / " &amp; IFERROR(VLOOKUP(MID(G77,H77,I77-H77),[5]skilldef!$A:$B,2,FALSE),"-")</f>
        <v>- / -</v>
      </c>
      <c r="M77" s="111" t="str">
        <f t="shared" si="254"/>
        <v>[effect:force_change_block, new_block:jammer, target:block_all, ignore01:crash, ignore02:crack_bomb, ignore03:color_break, ignore04:jammer, ignore05:magnet, count:3, val:0, animation:change_block],[effect:critical, val:1]</v>
      </c>
      <c r="N77" s="109" t="str">
        <f t="shared" ref="N77" si="266">IFERROR(LEFT(M77,FIND("],",M77)+S87),M77)</f>
        <v>[effect:force_change_block, new_block:jammer, target:block_all, ignore01:crash, ignore02:crack_bomb, ignore03:color_break, ignore04:jammer, ignore05:magnet, count:3, val:0, animation:change_block],[effect:critical, val:1]</v>
      </c>
      <c r="O77" s="111">
        <f t="shared" si="256"/>
        <v>9</v>
      </c>
      <c r="P77" s="111">
        <f t="shared" si="257"/>
        <v>27</v>
      </c>
      <c r="Q77" s="111">
        <f t="shared" si="258"/>
        <v>54</v>
      </c>
      <c r="R77" s="111">
        <f t="shared" si="259"/>
        <v>45</v>
      </c>
      <c r="S77" s="111" t="str">
        <f>IFERROR(VLOOKUP(MID(N77,Q77,R77-Q77),[5]skilldef!$C:$D,2,FALSE),"-") &amp; " / " &amp; IFERROR(VLOOKUP(MID(N77,O77,P77-O77),[5]skilldef!$A:$B,2,FALSE),"-")</f>
        <v>- / -</v>
      </c>
      <c r="T77" s="109" t="str">
        <f t="shared" si="260"/>
        <v>[effect:critical, val:1]</v>
      </c>
      <c r="U77" s="111">
        <f t="shared" si="261"/>
        <v>9</v>
      </c>
      <c r="V77" s="111">
        <f t="shared" si="262"/>
        <v>17</v>
      </c>
      <c r="W77" s="111" t="e">
        <f t="shared" si="263"/>
        <v>#VALUE!</v>
      </c>
      <c r="X77" s="111" t="e">
        <f t="shared" si="264"/>
        <v>#VALUE!</v>
      </c>
      <c r="Y77" s="111" t="str">
        <f>IFERROR(VLOOKUP(MID(T77,W77,X77-W77),[5]skilldef!$C:$D,2,FALSE),"-") &amp; " / " &amp; IFERROR(VLOOKUP(MID(T77,U77,V77-U77),[5]skilldef!$A:$B,2,FALSE),"-")</f>
        <v>- / 大攻撃</v>
      </c>
      <c r="Z77" s="110"/>
      <c r="AA77" s="112"/>
      <c r="AB77" s="111" t="s">
        <v>291</v>
      </c>
      <c r="AC77" s="111" t="s">
        <v>350</v>
      </c>
    </row>
    <row r="78" spans="1:29" ht="33" customHeight="1" x14ac:dyDescent="0.15">
      <c r="A78" s="109">
        <v>48501077</v>
      </c>
      <c r="B78" s="109" t="s">
        <v>526</v>
      </c>
      <c r="C78" s="110">
        <v>1</v>
      </c>
      <c r="D78" s="110" t="s">
        <v>127</v>
      </c>
      <c r="E78" s="111" t="s">
        <v>398</v>
      </c>
      <c r="F78" s="111" t="s">
        <v>331</v>
      </c>
      <c r="G78" s="111" t="str">
        <f t="shared" si="249"/>
        <v>[effect:enemy_message, val1:1.2, val2:2.1]</v>
      </c>
      <c r="H78" s="111">
        <f t="shared" si="250"/>
        <v>9</v>
      </c>
      <c r="I78" s="111">
        <f t="shared" si="251"/>
        <v>22</v>
      </c>
      <c r="J78" s="111" t="e">
        <f t="shared" si="252"/>
        <v>#VALUE!</v>
      </c>
      <c r="K78" s="111">
        <f t="shared" si="253"/>
        <v>32</v>
      </c>
      <c r="L78" s="111" t="str">
        <f>IFERROR(VLOOKUP(MID(G78,J78,K78-J78),[5]skilldef!$C:$D,2,FALSE),"-") &amp; " / " &amp; IFERROR(VLOOKUP(MID(G78,H78,I78-H78),[5]skilldef!$A:$B,2,FALSE),"-")</f>
        <v>- / -</v>
      </c>
      <c r="M78" s="111" t="str">
        <f t="shared" si="254"/>
        <v xml:space="preserve">[effect:force_change_block, new_block:jammer, target:block_all, ignore01:crash, ignore02:crack_bomb, ignore03:color_break, ignore04:jammer, ignore05:magnet, count:2, val:0, animation:change_block],[effect:critical, val:1] </v>
      </c>
      <c r="N78" s="109" t="str">
        <f>IFERROR(LEFT(M78,FIND("],",M78)+S89),M78)</f>
        <v xml:space="preserve">[effect:force_change_block, new_block:jammer, target:block_all, ignore01:crash, ignore02:crack_bomb, ignore03:color_break, ignore04:jammer, ignore05:magnet, count:2, val:0, animation:change_block],[effect:critical, val:1] </v>
      </c>
      <c r="O78" s="111">
        <f t="shared" si="256"/>
        <v>9</v>
      </c>
      <c r="P78" s="111">
        <f t="shared" si="257"/>
        <v>27</v>
      </c>
      <c r="Q78" s="111">
        <f t="shared" si="258"/>
        <v>54</v>
      </c>
      <c r="R78" s="111">
        <f t="shared" si="259"/>
        <v>45</v>
      </c>
      <c r="S78" s="111" t="str">
        <f>IFERROR(VLOOKUP(MID(N78,Q78,R78-Q78),[5]skilldef!$C:$D,2,FALSE),"-") &amp; " / " &amp; IFERROR(VLOOKUP(MID(N78,O78,P78-O78),[5]skilldef!$A:$B,2,FALSE),"-")</f>
        <v>- / -</v>
      </c>
      <c r="T78" s="109" t="str">
        <f t="shared" si="260"/>
        <v xml:space="preserve">[effect:critical, val:1] </v>
      </c>
      <c r="U78" s="111">
        <f t="shared" si="261"/>
        <v>9</v>
      </c>
      <c r="V78" s="111">
        <f t="shared" si="262"/>
        <v>17</v>
      </c>
      <c r="W78" s="111" t="e">
        <f t="shared" si="263"/>
        <v>#VALUE!</v>
      </c>
      <c r="X78" s="111" t="e">
        <f t="shared" si="264"/>
        <v>#VALUE!</v>
      </c>
      <c r="Y78" s="111" t="str">
        <f>IFERROR(VLOOKUP(MID(T78,W78,X78-W78),[5]skilldef!$C:$D,2,FALSE),"-") &amp; " / " &amp; IFERROR(VLOOKUP(MID(T78,U78,V78-U78),[5]skilldef!$A:$B,2,FALSE),"-")</f>
        <v>- / 大攻撃</v>
      </c>
      <c r="Z78" s="110"/>
      <c r="AA78" s="112"/>
      <c r="AB78" s="111" t="s">
        <v>292</v>
      </c>
      <c r="AC78" s="111" t="s">
        <v>331</v>
      </c>
    </row>
    <row r="79" spans="1:29" ht="31" customHeight="1" x14ac:dyDescent="0.15">
      <c r="A79" s="109">
        <v>48501078</v>
      </c>
      <c r="B79" s="109" t="s">
        <v>527</v>
      </c>
      <c r="C79" s="110">
        <v>1</v>
      </c>
      <c r="D79" s="110" t="s">
        <v>127</v>
      </c>
      <c r="E79" s="111" t="s">
        <v>400</v>
      </c>
      <c r="F79" s="111" t="s">
        <v>332</v>
      </c>
      <c r="G79" s="111" t="str">
        <f t="shared" si="249"/>
        <v>[effect:enemy_message, val1:1.3, val2:2.3]</v>
      </c>
      <c r="H79" s="111">
        <f t="shared" si="250"/>
        <v>9</v>
      </c>
      <c r="I79" s="111">
        <f t="shared" si="251"/>
        <v>22</v>
      </c>
      <c r="J79" s="111" t="e">
        <f t="shared" si="252"/>
        <v>#VALUE!</v>
      </c>
      <c r="K79" s="111">
        <f t="shared" si="253"/>
        <v>32</v>
      </c>
      <c r="L79" s="111" t="str">
        <f>IFERROR(VLOOKUP(MID(G79,J79,K79-J79),[5]skilldef!$C:$D,2,FALSE),"-") &amp; " / " &amp; IFERROR(VLOOKUP(MID(G79,H79,I79-H79),[5]skilldef!$A:$B,2,FALSE),"-")</f>
        <v>- / -</v>
      </c>
      <c r="M79" s="111" t="str">
        <f t="shared" si="254"/>
        <v>[effect:force_change_block, new_block:jammer, target:block_all, ignore01:crash, ignore02:crack_bomb, ignore03:color_break, ignore04:jammer, ignore05:magnet, count:2, val:0, animation:change_block],[effect:rush, count:2, val:0.6]</v>
      </c>
      <c r="N79" s="109" t="str">
        <f>IFERROR(LEFT(M79,FIND("],",M79)+#REF!),M79)</f>
        <v>[effect:force_change_block, new_block:jammer, target:block_all, ignore01:crash, ignore02:crack_bomb, ignore03:color_break, ignore04:jammer, ignore05:magnet, count:2, val:0, animation:change_block],[effect:rush, count:2, val:0.6]</v>
      </c>
      <c r="O79" s="111">
        <f t="shared" si="256"/>
        <v>9</v>
      </c>
      <c r="P79" s="111">
        <f t="shared" si="257"/>
        <v>27</v>
      </c>
      <c r="Q79" s="111">
        <f t="shared" si="258"/>
        <v>54</v>
      </c>
      <c r="R79" s="111">
        <f t="shared" si="259"/>
        <v>45</v>
      </c>
      <c r="S79" s="111" t="str">
        <f>IFERROR(VLOOKUP(MID(N79,Q79,R79-Q79),[5]skilldef!$C:$D,2,FALSE),"-") &amp; " / " &amp; IFERROR(VLOOKUP(MID(N79,O79,P79-O79),[5]skilldef!$A:$B,2,FALSE),"-")</f>
        <v>- / -</v>
      </c>
      <c r="T79" s="109" t="str">
        <f t="shared" si="260"/>
        <v>[effect:rush, count:2, val:0.6]</v>
      </c>
      <c r="U79" s="111">
        <f t="shared" si="261"/>
        <v>9</v>
      </c>
      <c r="V79" s="111">
        <f t="shared" si="262"/>
        <v>13</v>
      </c>
      <c r="W79" s="111" t="e">
        <f t="shared" si="263"/>
        <v>#VALUE!</v>
      </c>
      <c r="X79" s="111">
        <f t="shared" si="264"/>
        <v>22</v>
      </c>
      <c r="Y79" s="111" t="str">
        <f>IFERROR(VLOOKUP(MID(T79,W79,X79-W79),[5]skilldef!$C:$D,2,FALSE),"-") &amp; " / " &amp; IFERROR(VLOOKUP(MID(T79,U79,V79-U79),[5]skilldef!$A:$B,2,FALSE),"-")</f>
        <v>- / 連続攻撃</v>
      </c>
      <c r="Z79" s="110"/>
      <c r="AA79" s="112"/>
      <c r="AB79" s="111" t="s">
        <v>292</v>
      </c>
      <c r="AC79" s="111" t="s">
        <v>349</v>
      </c>
    </row>
    <row r="80" spans="1:29" ht="21" customHeight="1" x14ac:dyDescent="0.15">
      <c r="A80" s="109">
        <v>48501079</v>
      </c>
      <c r="B80" s="109" t="s">
        <v>499</v>
      </c>
      <c r="C80" s="110">
        <v>1</v>
      </c>
      <c r="D80" s="110" t="s">
        <v>127</v>
      </c>
      <c r="E80" s="111" t="s">
        <v>399</v>
      </c>
      <c r="F80" s="111" t="s">
        <v>326</v>
      </c>
      <c r="G80" s="111" t="str">
        <f t="shared" si="249"/>
        <v>[effect:enemy_message, val1:1.2, val2:1.2]</v>
      </c>
      <c r="H80" s="111">
        <f t="shared" si="250"/>
        <v>9</v>
      </c>
      <c r="I80" s="111">
        <f t="shared" si="251"/>
        <v>22</v>
      </c>
      <c r="J80" s="111" t="e">
        <f t="shared" si="252"/>
        <v>#VALUE!</v>
      </c>
      <c r="K80" s="111">
        <f t="shared" si="253"/>
        <v>32</v>
      </c>
      <c r="L80" s="111" t="str">
        <f>IFERROR(VLOOKUP(MID(G80,J80,K80-J80),[5]skilldef!$C:$D,2,FALSE),"-") &amp; " / " &amp; IFERROR(VLOOKUP(MID(G80,H80,I80-H80),[5]skilldef!$A:$B,2,FALSE),"-")</f>
        <v>- / -</v>
      </c>
      <c r="M80" s="111" t="str">
        <f t="shared" si="254"/>
        <v>[effect:rush, count:4, val:0.35]</v>
      </c>
      <c r="N80" s="109" t="str">
        <f>IFERROR(LEFT(M80,FIND("],",M80)+#REF!),M80)</f>
        <v>[effect:rush, count:4, val:0.35]</v>
      </c>
      <c r="O80" s="111">
        <f t="shared" si="256"/>
        <v>9</v>
      </c>
      <c r="P80" s="111">
        <f t="shared" si="257"/>
        <v>13</v>
      </c>
      <c r="Q80" s="111" t="e">
        <f t="shared" si="258"/>
        <v>#VALUE!</v>
      </c>
      <c r="R80" s="111">
        <f t="shared" si="259"/>
        <v>22</v>
      </c>
      <c r="S80" s="111" t="str">
        <f>IFERROR(VLOOKUP(MID(N80,Q80,R80-Q80),[5]skilldef!$C:$D,2,FALSE),"-") &amp; " / " &amp; IFERROR(VLOOKUP(MID(N80,O80,P80-O80),[5]skilldef!$A:$B,2,FALSE),"-")</f>
        <v>- / 連続攻撃</v>
      </c>
      <c r="T80" s="109" t="str">
        <f t="shared" si="260"/>
        <v>none</v>
      </c>
      <c r="U80" s="111" t="e">
        <f t="shared" si="261"/>
        <v>#VALUE!</v>
      </c>
      <c r="V80" s="111">
        <f t="shared" si="262"/>
        <v>4</v>
      </c>
      <c r="W80" s="111" t="e">
        <f t="shared" si="263"/>
        <v>#VALUE!</v>
      </c>
      <c r="X80" s="111" t="e">
        <f t="shared" si="264"/>
        <v>#VALUE!</v>
      </c>
      <c r="Y80" s="111" t="str">
        <f>IFERROR(VLOOKUP(MID(T80,W80,X80-W80),[5]skilldef!$C:$D,2,FALSE),"-") &amp; " / " &amp; IFERROR(VLOOKUP(MID(T80,U80,V80-U80),[5]skilldef!$A:$B,2,FALSE),"-")</f>
        <v>- / -</v>
      </c>
      <c r="Z80" s="110"/>
      <c r="AA80" s="112"/>
      <c r="AB80" s="111" t="s">
        <v>378</v>
      </c>
      <c r="AC80" s="111" t="s">
        <v>326</v>
      </c>
    </row>
    <row r="81" spans="1:29" ht="70" x14ac:dyDescent="0.15">
      <c r="A81" s="109">
        <v>48501080</v>
      </c>
      <c r="B81" s="109" t="s">
        <v>500</v>
      </c>
      <c r="C81" s="110">
        <v>1</v>
      </c>
      <c r="D81" s="110" t="s">
        <v>127</v>
      </c>
      <c r="E81" s="111" t="s">
        <v>402</v>
      </c>
      <c r="F81" s="111" t="s">
        <v>293</v>
      </c>
      <c r="G81" s="111" t="str">
        <f t="shared" si="249"/>
        <v>[effect:enemy_message, val1:1.2, val2:1.3]</v>
      </c>
      <c r="H81" s="111">
        <f t="shared" si="250"/>
        <v>9</v>
      </c>
      <c r="I81" s="111">
        <f t="shared" si="251"/>
        <v>22</v>
      </c>
      <c r="J81" s="111" t="e">
        <f t="shared" si="252"/>
        <v>#VALUE!</v>
      </c>
      <c r="K81" s="111">
        <f t="shared" si="253"/>
        <v>32</v>
      </c>
      <c r="L81" s="111" t="str">
        <f>IFERROR(VLOOKUP(MID(G81,J81,K81-J81),[5]skilldef!$C:$D,2,FALSE),"-") &amp; " / " &amp; IFERROR(VLOOKUP(MID(G81,H81,I81-H81),[5]skilldef!$A:$B,2,FALSE),"-")</f>
        <v>- / -</v>
      </c>
      <c r="M81" s="111" t="str">
        <f t="shared" si="254"/>
        <v>[effect:break_heal_ratio, target:myself, val:0.05, lowest_val:0.1, count:-1, block01:jammer, animation:enemy_heal]</v>
      </c>
      <c r="N81" s="109" t="str">
        <f>IFERROR(LEFT(M81,FIND("],",M81)+S90),M81)</f>
        <v>[effect:break_heal_ratio, target:myself, val:0.05, lowest_val:0.1, count:-1, block01:jammer, animation:enemy_heal]</v>
      </c>
      <c r="O81" s="111">
        <f t="shared" si="256"/>
        <v>9</v>
      </c>
      <c r="P81" s="111">
        <f t="shared" si="257"/>
        <v>25</v>
      </c>
      <c r="Q81" s="111">
        <f t="shared" si="258"/>
        <v>34</v>
      </c>
      <c r="R81" s="111">
        <f t="shared" si="259"/>
        <v>40</v>
      </c>
      <c r="S81" s="111" t="str">
        <f>IFERROR(VLOOKUP(MID(N81,Q81,R81-Q81),[5]skilldef!$C:$D,2,FALSE),"-") &amp; " / " &amp; IFERROR(VLOOKUP(MID(N81,O81,P81-O81),[5]skilldef!$A:$B,2,FALSE),"-")</f>
        <v>自分自身に / -</v>
      </c>
      <c r="T81" s="109" t="str">
        <f t="shared" si="260"/>
        <v>none</v>
      </c>
      <c r="U81" s="111" t="e">
        <f t="shared" si="261"/>
        <v>#VALUE!</v>
      </c>
      <c r="V81" s="111">
        <f t="shared" si="262"/>
        <v>4</v>
      </c>
      <c r="W81" s="111" t="e">
        <f t="shared" si="263"/>
        <v>#VALUE!</v>
      </c>
      <c r="X81" s="111" t="e">
        <f t="shared" si="264"/>
        <v>#VALUE!</v>
      </c>
      <c r="Y81" s="111" t="str">
        <f>IFERROR(VLOOKUP(MID(T81,W81,X81-W81),[5]skilldef!$C:$D,2,FALSE),"-") &amp; " / " &amp; IFERROR(VLOOKUP(MID(T81,U81,V81-U81),[5]skilldef!$A:$B,2,FALSE),"-")</f>
        <v>- / -</v>
      </c>
      <c r="Z81" s="110"/>
      <c r="AA81" s="112"/>
      <c r="AB81" s="111" t="s">
        <v>292</v>
      </c>
      <c r="AC81" s="111" t="s">
        <v>293</v>
      </c>
    </row>
    <row r="82" spans="1:29" ht="168" x14ac:dyDescent="0.15">
      <c r="A82" s="109">
        <v>48501081</v>
      </c>
      <c r="B82" s="109" t="s">
        <v>528</v>
      </c>
      <c r="C82" s="110">
        <v>1</v>
      </c>
      <c r="D82" s="110" t="s">
        <v>127</v>
      </c>
      <c r="E82" s="111" t="s">
        <v>403</v>
      </c>
      <c r="F82" s="111" t="s">
        <v>430</v>
      </c>
      <c r="G82" s="111" t="str">
        <f t="shared" si="249"/>
        <v>[effect:enemy_message, val1:2.0, val2:2.7]</v>
      </c>
      <c r="H82" s="111">
        <f t="shared" si="250"/>
        <v>9</v>
      </c>
      <c r="I82" s="111">
        <f t="shared" si="251"/>
        <v>22</v>
      </c>
      <c r="J82" s="111" t="e">
        <f t="shared" si="252"/>
        <v>#VALUE!</v>
      </c>
      <c r="K82" s="111">
        <f t="shared" si="253"/>
        <v>32</v>
      </c>
      <c r="L82" s="111" t="str">
        <f>IFERROR(VLOOKUP(MID(G82,J82,K82-J82),[5]skilldef!$C:$D,2,FALSE),"-") &amp; " / " &amp; IFERROR(VLOOKUP(MID(G82,H82,I82-H82),[5]skilldef!$A:$B,2,FALSE),"-")</f>
        <v>- / -</v>
      </c>
      <c r="M82" s="111" t="str">
        <f t="shared" si="254"/>
        <v>[effect:force_change_block, new_block:jammer, target:block_all, ignore01:crash, ignore02:crack_bomb, ignore03:color_break, ignore04:jammer, ignore05:magnet, count:3, val:0, animation:change_block],[effect:fix_speed, target:myself, turn:2],[effect:freq_turn, target:myself, turn:2, val:1, animation:enemy_freq_turn]</v>
      </c>
      <c r="N82" s="109" t="str">
        <f>IFERROR(LEFT(M82,FIND("],",M82)+S91),M82)</f>
        <v>[effect:force_change_block, new_block:jammer, target:block_all, ignore01:crash, ignore02:crack_bomb, ignore03:color_break, ignore04:jammer, ignore05:magnet, count:3, val:0, animation:change_block],[effect:fix_speed, target:myself, turn:2],[effect:freq_turn, target:myself, turn:2, val:1, animation:enemy_freq_turn]</v>
      </c>
      <c r="O82" s="111">
        <f t="shared" si="256"/>
        <v>9</v>
      </c>
      <c r="P82" s="111">
        <f t="shared" si="257"/>
        <v>27</v>
      </c>
      <c r="Q82" s="111">
        <f t="shared" si="258"/>
        <v>54</v>
      </c>
      <c r="R82" s="111">
        <f t="shared" si="259"/>
        <v>45</v>
      </c>
      <c r="S82" s="111" t="str">
        <f>IFERROR(VLOOKUP(MID(N82,Q82,R82-Q82),[5]skilldef!$C:$D,2,FALSE),"-") &amp; " / " &amp; IFERROR(VLOOKUP(MID(N82,O82,P82-O82),[5]skilldef!$A:$B,2,FALSE),"-")</f>
        <v>- / -</v>
      </c>
      <c r="T82" s="109" t="str">
        <f t="shared" si="260"/>
        <v>[effect:fix_speed, target:myself, turn:2],[effect:freq_turn, target:myself, turn:2, val:1, animation:enemy_freq_turn]</v>
      </c>
      <c r="U82" s="111">
        <f t="shared" si="261"/>
        <v>9</v>
      </c>
      <c r="V82" s="111">
        <f t="shared" si="262"/>
        <v>18</v>
      </c>
      <c r="W82" s="111">
        <f t="shared" si="263"/>
        <v>27</v>
      </c>
      <c r="X82" s="111">
        <f t="shared" si="264"/>
        <v>33</v>
      </c>
      <c r="Y82" s="111" t="str">
        <f>IFERROR(VLOOKUP(MID(T82,W82,X82-W82),[5]skilldef!$C:$D,2,FALSE),"-") &amp; " / " &amp; IFERROR(VLOOKUP(MID(T82,U82,V82-U82),[5]skilldef!$A:$B,2,FALSE),"-")</f>
        <v>自分自身に / 行動値設定</v>
      </c>
      <c r="Z82" s="110"/>
      <c r="AA82" s="112"/>
      <c r="AB82" s="111" t="s">
        <v>337</v>
      </c>
      <c r="AC82" s="111" t="s">
        <v>351</v>
      </c>
    </row>
    <row r="83" spans="1:29" ht="168" x14ac:dyDescent="0.15">
      <c r="A83" s="109">
        <v>48501082</v>
      </c>
      <c r="B83" s="109" t="s">
        <v>529</v>
      </c>
      <c r="C83" s="110">
        <v>1</v>
      </c>
      <c r="D83" s="110" t="s">
        <v>127</v>
      </c>
      <c r="E83" s="111" t="s">
        <v>416</v>
      </c>
      <c r="F83" s="111" t="s">
        <v>430</v>
      </c>
      <c r="G83" s="111" t="str">
        <f t="shared" si="249"/>
        <v>[effect:enemy_message, val1:1.9, val2:2.7]</v>
      </c>
      <c r="H83" s="111">
        <f t="shared" si="250"/>
        <v>9</v>
      </c>
      <c r="I83" s="111">
        <f t="shared" si="251"/>
        <v>22</v>
      </c>
      <c r="J83" s="111" t="e">
        <f t="shared" si="252"/>
        <v>#VALUE!</v>
      </c>
      <c r="K83" s="111">
        <f t="shared" si="253"/>
        <v>32</v>
      </c>
      <c r="L83" s="111" t="str">
        <f>IFERROR(VLOOKUP(MID(G83,J83,K83-J83),[5]skilldef!$C:$D,2,FALSE),"-") &amp; " / " &amp; IFERROR(VLOOKUP(MID(G83,H83,I83-H83),[5]skilldef!$A:$B,2,FALSE),"-")</f>
        <v>- / -</v>
      </c>
      <c r="M83" s="111" t="str">
        <f t="shared" si="254"/>
        <v>[effect:force_change_block, new_block:jammer, target:block_all, ignore01:crash, ignore02:crack_bomb, ignore03:color_break, ignore04:jammer, ignore05:magnet, count:3, val:0, animation:change_block],[effect:fix_speed, target:myself, turn:2],[effect:freq_turn, target:myself, turn:2, val:1, animation:enemy_freq_turn]</v>
      </c>
      <c r="N83" s="109" t="str">
        <f>IFERROR(LEFT(M83,FIND("],",M83)+S92),M83)</f>
        <v>[effect:force_change_block, new_block:jammer, target:block_all, ignore01:crash, ignore02:crack_bomb, ignore03:color_break, ignore04:jammer, ignore05:magnet, count:3, val:0, animation:change_block],[effect:fix_speed, target:myself, turn:2],[effect:freq_turn, target:myself, turn:2, val:1, animation:enemy_freq_turn]</v>
      </c>
      <c r="O83" s="111">
        <f t="shared" si="256"/>
        <v>9</v>
      </c>
      <c r="P83" s="111">
        <f t="shared" si="257"/>
        <v>27</v>
      </c>
      <c r="Q83" s="111">
        <f t="shared" si="258"/>
        <v>54</v>
      </c>
      <c r="R83" s="111">
        <f t="shared" si="259"/>
        <v>45</v>
      </c>
      <c r="S83" s="111" t="str">
        <f>IFERROR(VLOOKUP(MID(N83,Q83,R83-Q83),[5]skilldef!$C:$D,2,FALSE),"-") &amp; " / " &amp; IFERROR(VLOOKUP(MID(N83,O83,P83-O83),[5]skilldef!$A:$B,2,FALSE),"-")</f>
        <v>- / -</v>
      </c>
      <c r="T83" s="109" t="str">
        <f t="shared" si="260"/>
        <v>[effect:fix_speed, target:myself, turn:2],[effect:freq_turn, target:myself, turn:2, val:1, animation:enemy_freq_turn]</v>
      </c>
      <c r="U83" s="111">
        <f t="shared" si="261"/>
        <v>9</v>
      </c>
      <c r="V83" s="111">
        <f t="shared" si="262"/>
        <v>18</v>
      </c>
      <c r="W83" s="111">
        <f t="shared" si="263"/>
        <v>27</v>
      </c>
      <c r="X83" s="111">
        <f t="shared" si="264"/>
        <v>33</v>
      </c>
      <c r="Y83" s="111" t="str">
        <f>IFERROR(VLOOKUP(MID(T83,W83,X83-W83),[5]skilldef!$C:$D,2,FALSE),"-") &amp; " / " &amp; IFERROR(VLOOKUP(MID(T83,U83,V83-U83),[5]skilldef!$A:$B,2,FALSE),"-")</f>
        <v>自分自身に / 行動値設定</v>
      </c>
      <c r="Z83" s="110"/>
      <c r="AA83" s="112"/>
      <c r="AB83" s="111" t="s">
        <v>338</v>
      </c>
      <c r="AC83" s="111" t="s">
        <v>351</v>
      </c>
    </row>
    <row r="84" spans="1:29" ht="168" x14ac:dyDescent="0.15">
      <c r="A84" s="109">
        <v>48501083</v>
      </c>
      <c r="B84" s="109" t="s">
        <v>530</v>
      </c>
      <c r="C84" s="110">
        <v>1</v>
      </c>
      <c r="D84" s="110" t="s">
        <v>127</v>
      </c>
      <c r="E84" s="111" t="s">
        <v>417</v>
      </c>
      <c r="F84" s="111" t="s">
        <v>430</v>
      </c>
      <c r="G84" s="111" t="str">
        <f t="shared" si="249"/>
        <v>[effect:enemy_message, val1:1.9, val2:2.7]</v>
      </c>
      <c r="H84" s="111">
        <f t="shared" si="250"/>
        <v>9</v>
      </c>
      <c r="I84" s="111">
        <f t="shared" si="251"/>
        <v>22</v>
      </c>
      <c r="J84" s="111" t="e">
        <f t="shared" si="252"/>
        <v>#VALUE!</v>
      </c>
      <c r="K84" s="111">
        <f t="shared" si="253"/>
        <v>32</v>
      </c>
      <c r="L84" s="111" t="str">
        <f>IFERROR(VLOOKUP(MID(G84,J84,K84-J84),[5]skilldef!$C:$D,2,FALSE),"-") &amp; " / " &amp; IFERROR(VLOOKUP(MID(G84,H84,I84-H84),[5]skilldef!$A:$B,2,FALSE),"-")</f>
        <v>- / -</v>
      </c>
      <c r="M84" s="111" t="str">
        <f t="shared" si="254"/>
        <v>[effect:force_change_block, new_block:jammer, target:block_all, ignore01:crash, ignore02:crack_bomb, ignore03:color_break, ignore04:jammer, ignore05:magnet, count:3, val:0, animation:change_block],[effect:fix_speed, target:myself, turn:2],[effect:freq_turn, target:myself, turn:2, val:1, animation:enemy_freq_turn]</v>
      </c>
      <c r="N84" s="109" t="str">
        <f>IFERROR(LEFT(M84,FIND("],",M84)+S93),M84)</f>
        <v>[effect:force_change_block, new_block:jammer, target:block_all, ignore01:crash, ignore02:crack_bomb, ignore03:color_break, ignore04:jammer, ignore05:magnet, count:3, val:0, animation:change_block],[effect:fix_speed, target:myself, turn:2],[effect:freq_turn, target:myself, turn:2, val:1, animation:enemy_freq_turn]</v>
      </c>
      <c r="O84" s="111">
        <f t="shared" si="256"/>
        <v>9</v>
      </c>
      <c r="P84" s="111">
        <f t="shared" si="257"/>
        <v>27</v>
      </c>
      <c r="Q84" s="111">
        <f t="shared" si="258"/>
        <v>54</v>
      </c>
      <c r="R84" s="111">
        <f t="shared" si="259"/>
        <v>45</v>
      </c>
      <c r="S84" s="111" t="str">
        <f>IFERROR(VLOOKUP(MID(N84,Q84,R84-Q84),[5]skilldef!$C:$D,2,FALSE),"-") &amp; " / " &amp; IFERROR(VLOOKUP(MID(N84,O84,P84-O84),[5]skilldef!$A:$B,2,FALSE),"-")</f>
        <v>- / -</v>
      </c>
      <c r="T84" s="109" t="str">
        <f t="shared" si="260"/>
        <v>[effect:fix_speed, target:myself, turn:2],[effect:freq_turn, target:myself, turn:2, val:1, animation:enemy_freq_turn]</v>
      </c>
      <c r="U84" s="111">
        <f t="shared" si="261"/>
        <v>9</v>
      </c>
      <c r="V84" s="111">
        <f t="shared" si="262"/>
        <v>18</v>
      </c>
      <c r="W84" s="111">
        <f t="shared" si="263"/>
        <v>27</v>
      </c>
      <c r="X84" s="111">
        <f t="shared" si="264"/>
        <v>33</v>
      </c>
      <c r="Y84" s="111" t="str">
        <f>IFERROR(VLOOKUP(MID(T84,W84,X84-W84),[5]skilldef!$C:$D,2,FALSE),"-") &amp; " / " &amp; IFERROR(VLOOKUP(MID(T84,U84,V84-U84),[5]skilldef!$A:$B,2,FALSE),"-")</f>
        <v>自分自身に / 行動値設定</v>
      </c>
      <c r="Z84" s="110"/>
      <c r="AA84" s="112"/>
      <c r="AB84" s="111" t="s">
        <v>339</v>
      </c>
      <c r="AC84" s="111" t="s">
        <v>351</v>
      </c>
    </row>
    <row r="85" spans="1:29" ht="126" x14ac:dyDescent="0.15">
      <c r="A85" s="109">
        <v>48501084</v>
      </c>
      <c r="B85" s="109" t="s">
        <v>531</v>
      </c>
      <c r="C85" s="110">
        <v>1</v>
      </c>
      <c r="D85" s="110" t="s">
        <v>127</v>
      </c>
      <c r="E85" s="111" t="s">
        <v>405</v>
      </c>
      <c r="F85" s="111" t="s">
        <v>431</v>
      </c>
      <c r="G85" s="111" t="str">
        <f t="shared" si="249"/>
        <v>[effect:enemy_message, val1:1.2, val2:2.1]</v>
      </c>
      <c r="H85" s="111">
        <f t="shared" si="250"/>
        <v>9</v>
      </c>
      <c r="I85" s="111">
        <f t="shared" si="251"/>
        <v>22</v>
      </c>
      <c r="J85" s="111" t="e">
        <f t="shared" si="252"/>
        <v>#VALUE!</v>
      </c>
      <c r="K85" s="111">
        <f t="shared" si="253"/>
        <v>32</v>
      </c>
      <c r="L85" s="111" t="str">
        <f>IFERROR(VLOOKUP(MID(G85,J85,K85-J85),[5]skilldef!$C:$D,2,FALSE),"-") &amp; " / " &amp; IFERROR(VLOOKUP(MID(G85,H85,I85-H85),[5]skilldef!$A:$B,2,FALSE),"-")</f>
        <v>- / -</v>
      </c>
      <c r="M85" s="111" t="str">
        <f t="shared" si="254"/>
        <v>[effect:force_change_block, new_block:jammer, target:block_all, ignore01:crash, ignore02:crack_bomb, ignore03:color_break, ignore04:jammer, ignore05:magnet, count:2, val:0, animation:change_block],[effect:spread, val:0.25]</v>
      </c>
      <c r="N85" s="109" t="str">
        <f>IFERROR(LEFT(M85,FIND("],",M85)+S93),M85)</f>
        <v>[effect:force_change_block, new_block:jammer, target:block_all, ignore01:crash, ignore02:crack_bomb, ignore03:color_break, ignore04:jammer, ignore05:magnet, count:2, val:0, animation:change_block],[effect:spread, val:0.25]</v>
      </c>
      <c r="O85" s="111">
        <f t="shared" si="256"/>
        <v>9</v>
      </c>
      <c r="P85" s="111">
        <f t="shared" si="257"/>
        <v>27</v>
      </c>
      <c r="Q85" s="111">
        <f t="shared" si="258"/>
        <v>54</v>
      </c>
      <c r="R85" s="111">
        <f t="shared" si="259"/>
        <v>45</v>
      </c>
      <c r="S85" s="111" t="str">
        <f>IFERROR(VLOOKUP(MID(N85,Q85,R85-Q85),[5]skilldef!$C:$D,2,FALSE),"-") &amp; " / " &amp; IFERROR(VLOOKUP(MID(N85,O85,P85-O85),[5]skilldef!$A:$B,2,FALSE),"-")</f>
        <v>- / -</v>
      </c>
      <c r="T85" s="109" t="str">
        <f t="shared" si="260"/>
        <v>[effect:spread, val:0.25]</v>
      </c>
      <c r="U85" s="111">
        <f t="shared" si="261"/>
        <v>9</v>
      </c>
      <c r="V85" s="111">
        <f t="shared" si="262"/>
        <v>15</v>
      </c>
      <c r="W85" s="111" t="e">
        <f t="shared" si="263"/>
        <v>#VALUE!</v>
      </c>
      <c r="X85" s="111" t="e">
        <f t="shared" si="264"/>
        <v>#VALUE!</v>
      </c>
      <c r="Y85" s="111" t="str">
        <f>IFERROR(VLOOKUP(MID(T85,W85,X85-W85),[5]skilldef!$C:$D,2,FALSE),"-") &amp; " / " &amp; IFERROR(VLOOKUP(MID(T85,U85,V85-U85),[5]skilldef!$A:$B,2,FALSE),"-")</f>
        <v>- / 全体攻撃</v>
      </c>
      <c r="Z85" s="110" t="s">
        <v>556</v>
      </c>
      <c r="AA85" s="112"/>
      <c r="AB85" s="111" t="s">
        <v>296</v>
      </c>
      <c r="AC85" s="111" t="s">
        <v>352</v>
      </c>
    </row>
    <row r="86" spans="1:29" ht="42" x14ac:dyDescent="0.15">
      <c r="A86" s="109">
        <v>48501085</v>
      </c>
      <c r="B86" s="109" t="s">
        <v>578</v>
      </c>
      <c r="C86" s="110">
        <v>1</v>
      </c>
      <c r="D86" s="110" t="s">
        <v>127</v>
      </c>
      <c r="E86" s="111" t="s">
        <v>414</v>
      </c>
      <c r="F86" s="111" t="s">
        <v>537</v>
      </c>
      <c r="G86" s="111" t="str">
        <f t="shared" si="249"/>
        <v>[effect:enemy_message, val1:1.2, val2:1.4]</v>
      </c>
      <c r="H86" s="111">
        <f t="shared" si="250"/>
        <v>9</v>
      </c>
      <c r="I86" s="111">
        <f t="shared" si="251"/>
        <v>22</v>
      </c>
      <c r="J86" s="111" t="e">
        <f t="shared" si="252"/>
        <v>#VALUE!</v>
      </c>
      <c r="K86" s="111">
        <f t="shared" si="253"/>
        <v>32</v>
      </c>
      <c r="L86" s="111" t="str">
        <f>IFERROR(VLOOKUP(MID(G86,J86,K86-J86),[5]skilldef!$C:$D,2,FALSE),"-") &amp; " / " &amp; IFERROR(VLOOKUP(MID(G86,H86,I86-H86),[5]skilldef!$A:$B,2,FALSE),"-")</f>
        <v>- / -</v>
      </c>
      <c r="M86" s="111" t="str">
        <f t="shared" si="254"/>
        <v>[effect:virus, target:unit_all, turn:2, rate:1, val:0.1, animation:enemy_virus]</v>
      </c>
      <c r="N86" s="109" t="str">
        <f>IFERROR(LEFT(M86,FIND("],",M86)+S93),M86)</f>
        <v>[effect:virus, target:unit_all, turn:2, rate:1, val:0.1, animation:enemy_virus]</v>
      </c>
      <c r="O86" s="111">
        <f t="shared" si="256"/>
        <v>9</v>
      </c>
      <c r="P86" s="111">
        <f t="shared" si="257"/>
        <v>14</v>
      </c>
      <c r="Q86" s="111">
        <f t="shared" si="258"/>
        <v>23</v>
      </c>
      <c r="R86" s="111">
        <f t="shared" si="259"/>
        <v>31</v>
      </c>
      <c r="S86" s="111" t="str">
        <f>IFERROR(VLOOKUP(MID(N86,Q86,R86-Q86),[5]skilldef!$C:$D,2,FALSE),"-") &amp; " / " &amp; IFERROR(VLOOKUP(MID(N86,O86,P86-O86),[5]skilldef!$A:$B,2,FALSE),"-")</f>
        <v>味方全体に / ウィルス</v>
      </c>
      <c r="T86" s="109" t="str">
        <f t="shared" si="260"/>
        <v>none</v>
      </c>
      <c r="U86" s="111" t="e">
        <f t="shared" si="261"/>
        <v>#VALUE!</v>
      </c>
      <c r="V86" s="111">
        <f t="shared" si="262"/>
        <v>4</v>
      </c>
      <c r="W86" s="111" t="e">
        <f t="shared" si="263"/>
        <v>#VALUE!</v>
      </c>
      <c r="X86" s="111" t="e">
        <f t="shared" si="264"/>
        <v>#VALUE!</v>
      </c>
      <c r="Y86" s="111" t="str">
        <f>IFERROR(VLOOKUP(MID(T86,W86,X86-W86),[5]skilldef!$C:$D,2,FALSE),"-") &amp; " / " &amp; IFERROR(VLOOKUP(MID(T86,U86,V86-U86),[5]skilldef!$A:$B,2,FALSE),"-")</f>
        <v>- / -</v>
      </c>
      <c r="Z86" s="110"/>
      <c r="AA86" s="112"/>
      <c r="AB86" s="111" t="s">
        <v>296</v>
      </c>
      <c r="AC86" s="111" t="s">
        <v>298</v>
      </c>
    </row>
    <row r="87" spans="1:29" ht="21" customHeight="1" x14ac:dyDescent="0.15">
      <c r="A87" s="109">
        <v>48501086</v>
      </c>
      <c r="B87" s="109" t="s">
        <v>501</v>
      </c>
      <c r="C87" s="110">
        <v>1</v>
      </c>
      <c r="D87" s="110" t="s">
        <v>127</v>
      </c>
      <c r="E87" s="111" t="s">
        <v>404</v>
      </c>
      <c r="F87" s="111" t="s">
        <v>326</v>
      </c>
      <c r="G87" s="111" t="str">
        <f t="shared" si="249"/>
        <v>[effect:enemy_message, val1:1.7, val2:1.2]</v>
      </c>
      <c r="H87" s="111">
        <f t="shared" si="250"/>
        <v>9</v>
      </c>
      <c r="I87" s="111">
        <f t="shared" si="251"/>
        <v>22</v>
      </c>
      <c r="J87" s="111" t="e">
        <f t="shared" si="252"/>
        <v>#VALUE!</v>
      </c>
      <c r="K87" s="111">
        <f t="shared" si="253"/>
        <v>32</v>
      </c>
      <c r="L87" s="111" t="str">
        <f>IFERROR(VLOOKUP(MID(G87,J87,K87-J87),[5]skilldef!$C:$D,2,FALSE),"-") &amp; " / " &amp; IFERROR(VLOOKUP(MID(G87,H87,I87-H87),[5]skilldef!$A:$B,2,FALSE),"-")</f>
        <v>- / -</v>
      </c>
      <c r="M87" s="111" t="str">
        <f t="shared" si="254"/>
        <v>[effect:rush, count:4, val:0.35]</v>
      </c>
      <c r="N87" s="109" t="str">
        <f>IFERROR(LEFT(M87,FIND("],",M87)+S94),M87)</f>
        <v>[effect:rush, count:4, val:0.35]</v>
      </c>
      <c r="O87" s="111">
        <f t="shared" si="256"/>
        <v>9</v>
      </c>
      <c r="P87" s="111">
        <f t="shared" si="257"/>
        <v>13</v>
      </c>
      <c r="Q87" s="111" t="e">
        <f t="shared" si="258"/>
        <v>#VALUE!</v>
      </c>
      <c r="R87" s="111">
        <f t="shared" si="259"/>
        <v>22</v>
      </c>
      <c r="S87" s="111" t="str">
        <f>IFERROR(VLOOKUP(MID(N87,Q87,R87-Q87),[5]skilldef!$C:$D,2,FALSE),"-") &amp; " / " &amp; IFERROR(VLOOKUP(MID(N87,O87,P87-O87),[5]skilldef!$A:$B,2,FALSE),"-")</f>
        <v>- / 連続攻撃</v>
      </c>
      <c r="T87" s="109" t="str">
        <f t="shared" si="260"/>
        <v>none</v>
      </c>
      <c r="U87" s="111" t="e">
        <f t="shared" si="261"/>
        <v>#VALUE!</v>
      </c>
      <c r="V87" s="111">
        <f t="shared" si="262"/>
        <v>4</v>
      </c>
      <c r="W87" s="111" t="e">
        <f t="shared" si="263"/>
        <v>#VALUE!</v>
      </c>
      <c r="X87" s="111" t="e">
        <f t="shared" si="264"/>
        <v>#VALUE!</v>
      </c>
      <c r="Y87" s="111" t="str">
        <f>IFERROR(VLOOKUP(MID(T87,W87,X87-W87),[5]skilldef!$C:$D,2,FALSE),"-") &amp; " / " &amp; IFERROR(VLOOKUP(MID(T87,U87,V87-U87),[5]skilldef!$A:$B,2,FALSE),"-")</f>
        <v>- / -</v>
      </c>
      <c r="Z87" s="110"/>
      <c r="AA87" s="112"/>
      <c r="AB87" s="111" t="s">
        <v>296</v>
      </c>
      <c r="AC87" s="111" t="s">
        <v>326</v>
      </c>
    </row>
    <row r="88" spans="1:29" ht="21" customHeight="1" x14ac:dyDescent="0.15">
      <c r="A88" s="109">
        <v>48501087</v>
      </c>
      <c r="B88" s="109" t="s">
        <v>579</v>
      </c>
      <c r="C88" s="110">
        <v>1</v>
      </c>
      <c r="D88" s="110" t="s">
        <v>127</v>
      </c>
      <c r="E88" s="111" t="s">
        <v>406</v>
      </c>
      <c r="F88" s="111" t="s">
        <v>536</v>
      </c>
      <c r="G88" s="111" t="str">
        <f t="shared" si="249"/>
        <v>[effect:enemy_message, val1:1.2, val2:2.2]</v>
      </c>
      <c r="H88" s="111">
        <f t="shared" si="250"/>
        <v>9</v>
      </c>
      <c r="I88" s="111">
        <f t="shared" si="251"/>
        <v>22</v>
      </c>
      <c r="J88" s="111" t="e">
        <f t="shared" si="252"/>
        <v>#VALUE!</v>
      </c>
      <c r="K88" s="111">
        <f t="shared" si="253"/>
        <v>32</v>
      </c>
      <c r="L88" s="111" t="str">
        <f>IFERROR(VLOOKUP(MID(G88,J88,K88-J88),[5]skilldef!$C:$D,2,FALSE),"-") &amp; " / " &amp; IFERROR(VLOOKUP(MID(G88,H88,I88-H88),[5]skilldef!$A:$B,2,FALSE),"-")</f>
        <v>- / -</v>
      </c>
      <c r="M88" s="111" t="str">
        <f t="shared" si="254"/>
        <v>[effect:degrade_unit, target:unit_all, turn:-1, status:heal, val:0.6, calc:mul, animation:degrade_unit_all_heal]</v>
      </c>
      <c r="N88" s="109" t="str">
        <f>IFERROR(LEFT(M88,FIND("],",M88)+S95),M88)</f>
        <v>[effect:degrade_unit, target:unit_all, turn:-1, status:heal, val:0.6, calc:mul, animation:degrade_unit_all_heal]</v>
      </c>
      <c r="O88" s="111">
        <f t="shared" si="256"/>
        <v>9</v>
      </c>
      <c r="P88" s="111">
        <f t="shared" si="257"/>
        <v>21</v>
      </c>
      <c r="Q88" s="111">
        <f t="shared" si="258"/>
        <v>30</v>
      </c>
      <c r="R88" s="111">
        <f t="shared" si="259"/>
        <v>38</v>
      </c>
      <c r="S88" s="111" t="str">
        <f>IFERROR(VLOOKUP(MID(N88,Q88,R88-Q88),[5]skilldef!$C:$D,2,FALSE),"-") &amp; " / " &amp; IFERROR(VLOOKUP(MID(N88,O88,P88-O88),[5]skilldef!$A:$B,2,FALSE),"-")</f>
        <v>味方全体に / ステータスDOWN</v>
      </c>
      <c r="T88" s="109" t="str">
        <f t="shared" si="260"/>
        <v>none</v>
      </c>
      <c r="U88" s="111" t="e">
        <f t="shared" si="261"/>
        <v>#VALUE!</v>
      </c>
      <c r="V88" s="111">
        <f t="shared" si="262"/>
        <v>4</v>
      </c>
      <c r="W88" s="111" t="e">
        <f t="shared" si="263"/>
        <v>#VALUE!</v>
      </c>
      <c r="X88" s="111" t="e">
        <f t="shared" si="264"/>
        <v>#VALUE!</v>
      </c>
      <c r="Y88" s="111" t="str">
        <f>IFERROR(VLOOKUP(MID(T88,W88,X88-W88),[5]skilldef!$C:$D,2,FALSE),"-") &amp; " / " &amp; IFERROR(VLOOKUP(MID(T88,U88,V88-U88),[5]skilldef!$A:$B,2,FALSE),"-")</f>
        <v>- / -</v>
      </c>
      <c r="Z88" s="110"/>
      <c r="AA88" s="112"/>
      <c r="AB88" s="111" t="s">
        <v>375</v>
      </c>
      <c r="AC88" s="111" t="s">
        <v>327</v>
      </c>
    </row>
    <row r="89" spans="1:29" ht="126" x14ac:dyDescent="0.15">
      <c r="A89" s="109">
        <v>48501088</v>
      </c>
      <c r="B89" s="109" t="s">
        <v>532</v>
      </c>
      <c r="C89" s="110">
        <v>1</v>
      </c>
      <c r="D89" s="110" t="s">
        <v>127</v>
      </c>
      <c r="E89" s="111" t="s">
        <v>405</v>
      </c>
      <c r="F89" s="111" t="s">
        <v>432</v>
      </c>
      <c r="G89" s="111" t="str">
        <f t="shared" si="249"/>
        <v>[effect:enemy_message, val1:1.2, val2:2.3]</v>
      </c>
      <c r="H89" s="111">
        <f t="shared" si="250"/>
        <v>9</v>
      </c>
      <c r="I89" s="111">
        <f t="shared" si="251"/>
        <v>22</v>
      </c>
      <c r="J89" s="111" t="e">
        <f t="shared" si="252"/>
        <v>#VALUE!</v>
      </c>
      <c r="K89" s="111">
        <f t="shared" si="253"/>
        <v>32</v>
      </c>
      <c r="L89" s="111" t="str">
        <f>IFERROR(VLOOKUP(MID(G89,J89,K89-J89),[5]skilldef!$C:$D,2,FALSE),"-") &amp; " / " &amp; IFERROR(VLOOKUP(MID(G89,H89,I89-H89),[5]skilldef!$A:$B,2,FALSE),"-")</f>
        <v>- / -</v>
      </c>
      <c r="M89" s="111" t="str">
        <f t="shared" si="254"/>
        <v>[effect:force_change_block, new_block:jammer, target:block_all, ignore01:crash, ignore02:crack_bomb, ignore03:color_break, ignore04:jammer, ignore05:magnet, count:2, val:0, animation:change_block],[effect:rush, count:4, val:0.35]</v>
      </c>
      <c r="N89" s="109" t="str">
        <f>IFERROR(LEFT(M89,FIND("],",M89)+S96),M89)</f>
        <v>[effect:force_change_block, new_block:jammer, target:block_all, ignore01:crash, ignore02:crack_bomb, ignore03:color_break, ignore04:jammer, ignore05:magnet, count:2, val:0, animation:change_block],[effect:rush, count:4, val:0.35]</v>
      </c>
      <c r="O89" s="111">
        <f t="shared" si="256"/>
        <v>9</v>
      </c>
      <c r="P89" s="111">
        <f t="shared" si="257"/>
        <v>27</v>
      </c>
      <c r="Q89" s="111">
        <f t="shared" si="258"/>
        <v>54</v>
      </c>
      <c r="R89" s="111">
        <f t="shared" si="259"/>
        <v>45</v>
      </c>
      <c r="S89" s="111" t="str">
        <f>IFERROR(VLOOKUP(MID(N89,Q89,R89-Q89),[5]skilldef!$C:$D,2,FALSE),"-") &amp; " / " &amp; IFERROR(VLOOKUP(MID(N89,O89,P89-O89),[5]skilldef!$A:$B,2,FALSE),"-")</f>
        <v>- / -</v>
      </c>
      <c r="T89" s="109" t="str">
        <f t="shared" si="260"/>
        <v>[effect:rush, count:4, val:0.35]</v>
      </c>
      <c r="U89" s="111">
        <f t="shared" si="261"/>
        <v>9</v>
      </c>
      <c r="V89" s="111">
        <f t="shared" si="262"/>
        <v>13</v>
      </c>
      <c r="W89" s="111" t="e">
        <f t="shared" si="263"/>
        <v>#VALUE!</v>
      </c>
      <c r="X89" s="111">
        <f t="shared" si="264"/>
        <v>22</v>
      </c>
      <c r="Y89" s="111" t="str">
        <f>IFERROR(VLOOKUP(MID(T89,W89,X89-W89),[5]skilldef!$C:$D,2,FALSE),"-") &amp; " / " &amp; IFERROR(VLOOKUP(MID(T89,U89,V89-U89),[5]skilldef!$A:$B,2,FALSE),"-")</f>
        <v>- / 連続攻撃</v>
      </c>
      <c r="Z89" s="110"/>
      <c r="AA89" s="112"/>
      <c r="AB89" s="111" t="s">
        <v>299</v>
      </c>
      <c r="AC89" s="111" t="s">
        <v>353</v>
      </c>
    </row>
    <row r="90" spans="1:29" ht="56" x14ac:dyDescent="0.15">
      <c r="A90" s="109">
        <v>48501089</v>
      </c>
      <c r="B90" s="109" t="s">
        <v>502</v>
      </c>
      <c r="C90" s="110">
        <v>1</v>
      </c>
      <c r="D90" s="110" t="s">
        <v>127</v>
      </c>
      <c r="E90" s="111" t="s">
        <v>413</v>
      </c>
      <c r="F90" s="111" t="s">
        <v>328</v>
      </c>
      <c r="G90" s="111" t="str">
        <f t="shared" si="249"/>
        <v>[effect:enemy_message, val1:1.2, val2:1.5]</v>
      </c>
      <c r="H90" s="111">
        <f t="shared" si="250"/>
        <v>9</v>
      </c>
      <c r="I90" s="111">
        <f t="shared" si="251"/>
        <v>22</v>
      </c>
      <c r="J90" s="111" t="e">
        <f t="shared" si="252"/>
        <v>#VALUE!</v>
      </c>
      <c r="K90" s="111">
        <f t="shared" si="253"/>
        <v>32</v>
      </c>
      <c r="L90" s="111" t="str">
        <f>IFERROR(VLOOKUP(MID(G90,J90,K90-J90),[5]skilldef!$C:$D,2,FALSE),"-") &amp; " / " &amp; IFERROR(VLOOKUP(MID(G90,H90,I90-H90),[5]skilldef!$A:$B,2,FALSE),"-")</f>
        <v>- / -</v>
      </c>
      <c r="M90" s="111" t="str">
        <f t="shared" si="254"/>
        <v>[effect:break_attack_fix, target:unit_all, val:500, lowest_val:5000, count:-1, color:green, block01:jammer]</v>
      </c>
      <c r="N90" s="109" t="str">
        <f t="shared" ref="N90:N97" si="267">IFERROR(LEFT(M90,FIND("],",M90)+S98),M90)</f>
        <v>[effect:break_attack_fix, target:unit_all, val:500, lowest_val:5000, count:-1, color:green, block01:jammer]</v>
      </c>
      <c r="O90" s="111">
        <f t="shared" si="256"/>
        <v>9</v>
      </c>
      <c r="P90" s="111">
        <f t="shared" si="257"/>
        <v>25</v>
      </c>
      <c r="Q90" s="111">
        <f t="shared" si="258"/>
        <v>34</v>
      </c>
      <c r="R90" s="111">
        <f t="shared" si="259"/>
        <v>42</v>
      </c>
      <c r="S90" s="111" t="str">
        <f>IFERROR(VLOOKUP(MID(N90,Q90,R90-Q90),[5]skilldef!$C:$D,2,FALSE),"-") &amp; " / " &amp; IFERROR(VLOOKUP(MID(N90,O90,P90-O90),[5]skilldef!$A:$B,2,FALSE),"-")</f>
        <v>味方全体に / -</v>
      </c>
      <c r="T90" s="109" t="str">
        <f t="shared" si="260"/>
        <v>none</v>
      </c>
      <c r="U90" s="111" t="e">
        <f t="shared" si="261"/>
        <v>#VALUE!</v>
      </c>
      <c r="V90" s="111">
        <f t="shared" si="262"/>
        <v>4</v>
      </c>
      <c r="W90" s="111" t="e">
        <f t="shared" si="263"/>
        <v>#VALUE!</v>
      </c>
      <c r="X90" s="111" t="e">
        <f t="shared" si="264"/>
        <v>#VALUE!</v>
      </c>
      <c r="Y90" s="111" t="str">
        <f>IFERROR(VLOOKUP(MID(T90,W90,X90-W90),[5]skilldef!$C:$D,2,FALSE),"-") &amp; " / " &amp; IFERROR(VLOOKUP(MID(T90,U90,V90-U90),[5]skilldef!$A:$B,2,FALSE),"-")</f>
        <v>- / -</v>
      </c>
      <c r="Z90" s="110"/>
      <c r="AA90" s="112"/>
      <c r="AB90" s="111" t="s">
        <v>299</v>
      </c>
      <c r="AC90" s="111" t="s">
        <v>328</v>
      </c>
    </row>
    <row r="91" spans="1:29" ht="70" x14ac:dyDescent="0.15">
      <c r="A91" s="109">
        <v>48501090</v>
      </c>
      <c r="B91" s="109" t="s">
        <v>503</v>
      </c>
      <c r="C91" s="110">
        <v>1</v>
      </c>
      <c r="D91" s="110" t="s">
        <v>127</v>
      </c>
      <c r="E91" s="111" t="s">
        <v>412</v>
      </c>
      <c r="F91" s="111" t="s">
        <v>293</v>
      </c>
      <c r="G91" s="111" t="str">
        <f t="shared" si="249"/>
        <v>[effect:enemy_message, val1:1.5, val2:1.3]</v>
      </c>
      <c r="H91" s="111">
        <f t="shared" si="250"/>
        <v>9</v>
      </c>
      <c r="I91" s="111">
        <f t="shared" si="251"/>
        <v>22</v>
      </c>
      <c r="J91" s="111" t="e">
        <f t="shared" si="252"/>
        <v>#VALUE!</v>
      </c>
      <c r="K91" s="111">
        <f t="shared" si="253"/>
        <v>32</v>
      </c>
      <c r="L91" s="111" t="str">
        <f>IFERROR(VLOOKUP(MID(G91,J91,K91-J91),[5]skilldef!$C:$D,2,FALSE),"-") &amp; " / " &amp; IFERROR(VLOOKUP(MID(G91,H91,I91-H91),[5]skilldef!$A:$B,2,FALSE),"-")</f>
        <v>- / -</v>
      </c>
      <c r="M91" s="111" t="str">
        <f t="shared" si="254"/>
        <v>[effect:break_heal_ratio, target:myself, val:0.05, lowest_val:0.1, count:-1, block01:jammer, animation:enemy_heal]</v>
      </c>
      <c r="N91" s="109" t="str">
        <f t="shared" si="267"/>
        <v>[effect:break_heal_ratio, target:myself, val:0.05, lowest_val:0.1, count:-1, block01:jammer, animation:enemy_heal]</v>
      </c>
      <c r="O91" s="111">
        <f t="shared" si="256"/>
        <v>9</v>
      </c>
      <c r="P91" s="111">
        <f t="shared" si="257"/>
        <v>25</v>
      </c>
      <c r="Q91" s="111">
        <f t="shared" si="258"/>
        <v>34</v>
      </c>
      <c r="R91" s="111">
        <f t="shared" si="259"/>
        <v>40</v>
      </c>
      <c r="S91" s="111" t="str">
        <f>IFERROR(VLOOKUP(MID(N91,Q91,R91-Q91),[5]skilldef!$C:$D,2,FALSE),"-") &amp; " / " &amp; IFERROR(VLOOKUP(MID(N91,O91,P91-O91),[5]skilldef!$A:$B,2,FALSE),"-")</f>
        <v>自分自身に / -</v>
      </c>
      <c r="T91" s="109" t="str">
        <f t="shared" si="260"/>
        <v>none</v>
      </c>
      <c r="U91" s="111" t="e">
        <f t="shared" si="261"/>
        <v>#VALUE!</v>
      </c>
      <c r="V91" s="111">
        <f t="shared" si="262"/>
        <v>4</v>
      </c>
      <c r="W91" s="111" t="e">
        <f t="shared" si="263"/>
        <v>#VALUE!</v>
      </c>
      <c r="X91" s="111" t="e">
        <f t="shared" si="264"/>
        <v>#VALUE!</v>
      </c>
      <c r="Y91" s="111" t="str">
        <f>IFERROR(VLOOKUP(MID(T91,W91,X91-W91),[5]skilldef!$C:$D,2,FALSE),"-") &amp; " / " &amp; IFERROR(VLOOKUP(MID(T91,U91,V91-U91),[5]skilldef!$A:$B,2,FALSE),"-")</f>
        <v>- / -</v>
      </c>
      <c r="Z91" s="110"/>
      <c r="AA91" s="112"/>
      <c r="AB91" s="111" t="s">
        <v>299</v>
      </c>
      <c r="AC91" s="111" t="s">
        <v>293</v>
      </c>
    </row>
    <row r="92" spans="1:29" ht="168" x14ac:dyDescent="0.15">
      <c r="A92" s="109">
        <v>48501091</v>
      </c>
      <c r="B92" s="109" t="s">
        <v>580</v>
      </c>
      <c r="C92" s="110">
        <v>1</v>
      </c>
      <c r="D92" s="110" t="s">
        <v>127</v>
      </c>
      <c r="E92" s="111" t="s">
        <v>467</v>
      </c>
      <c r="F92" s="111" t="s">
        <v>535</v>
      </c>
      <c r="G92" s="111" t="str">
        <f t="shared" si="249"/>
        <v>[effect:enemy_message, val1:1.2, val2:3.1]</v>
      </c>
      <c r="H92" s="111">
        <f t="shared" si="250"/>
        <v>9</v>
      </c>
      <c r="I92" s="111">
        <f t="shared" si="251"/>
        <v>22</v>
      </c>
      <c r="J92" s="111" t="e">
        <f t="shared" si="252"/>
        <v>#VALUE!</v>
      </c>
      <c r="K92" s="111">
        <f t="shared" si="253"/>
        <v>32</v>
      </c>
      <c r="L92" s="111" t="str">
        <f>IFERROR(VLOOKUP(MID(G92,J92,K92-J92),[5]skilldef!$C:$D,2,FALSE),"-") &amp; " / " &amp; IFERROR(VLOOKUP(MID(G92,H92,I92-H92),[5]skilldef!$A:$B,2,FALSE),"-")</f>
        <v>- / -</v>
      </c>
      <c r="M92" s="111" t="str">
        <f t="shared" si="254"/>
        <v>[effect:virus, target:unit_all, turn:3, rate:1, val:0.2, animation:enemy_virus],[effect:force_change_block, new_block:jammer, ignore05:magnet, target:block_all, ignore01:crash, ignore02:crack_bomb, ignore03:color_break, ignore04:jammer, ignore05:magnet, count:3, val:0, animation:change_block]</v>
      </c>
      <c r="N92" s="109" t="str">
        <f t="shared" si="267"/>
        <v>[effect:virus, target:unit_all, turn:3, rate:1, val:0.2, animation:enemy_virus]</v>
      </c>
      <c r="O92" s="111">
        <f t="shared" si="256"/>
        <v>9</v>
      </c>
      <c r="P92" s="111">
        <f t="shared" si="257"/>
        <v>14</v>
      </c>
      <c r="Q92" s="111">
        <f t="shared" si="258"/>
        <v>23</v>
      </c>
      <c r="R92" s="111">
        <f t="shared" si="259"/>
        <v>31</v>
      </c>
      <c r="S92" s="111" t="str">
        <f>IFERROR(VLOOKUP(MID(N92,Q92,R92-Q92),[5]skilldef!$C:$D,2,FALSE),"-") &amp; " / " &amp; IFERROR(VLOOKUP(MID(N92,O92,P92-O92),[5]skilldef!$A:$B,2,FALSE),"-")</f>
        <v>味方全体に / ウィルス</v>
      </c>
      <c r="T92" s="109" t="str">
        <f t="shared" si="260"/>
        <v>[effect:force_change_block, new_block:jammer, ignore05:magnet, target:block_all, ignore01:crash, ignore02:crack_bomb, ignore03:color_break, ignore04:jammer, ignore05:magnet, count:3, val:0, animation:change_block]</v>
      </c>
      <c r="U92" s="111">
        <f t="shared" si="261"/>
        <v>9</v>
      </c>
      <c r="V92" s="111">
        <f t="shared" si="262"/>
        <v>27</v>
      </c>
      <c r="W92" s="111">
        <f t="shared" si="263"/>
        <v>71</v>
      </c>
      <c r="X92" s="111">
        <f t="shared" si="264"/>
        <v>45</v>
      </c>
      <c r="Y92" s="111" t="str">
        <f>IFERROR(VLOOKUP(MID(T92,W92,X92-W92),[5]skilldef!$C:$D,2,FALSE),"-") &amp; " / " &amp; IFERROR(VLOOKUP(MID(T92,U92,V92-U92),[5]skilldef!$A:$B,2,FALSE),"-")</f>
        <v>- / -</v>
      </c>
      <c r="Z92" s="110"/>
      <c r="AA92" s="112"/>
      <c r="AB92" s="111" t="s">
        <v>304</v>
      </c>
      <c r="AC92" s="111" t="s">
        <v>354</v>
      </c>
    </row>
    <row r="93" spans="1:29" ht="42" x14ac:dyDescent="0.15">
      <c r="A93" s="109">
        <v>48501092</v>
      </c>
      <c r="B93" s="109" t="s">
        <v>581</v>
      </c>
      <c r="C93" s="110">
        <v>1</v>
      </c>
      <c r="D93" s="110" t="s">
        <v>127</v>
      </c>
      <c r="E93" s="111" t="s">
        <v>407</v>
      </c>
      <c r="F93" s="111" t="s">
        <v>534</v>
      </c>
      <c r="G93" s="111" t="str">
        <f t="shared" si="249"/>
        <v>[effect:enemy_message, val1:1.4, val2:2.4]</v>
      </c>
      <c r="H93" s="111">
        <f t="shared" si="250"/>
        <v>9</v>
      </c>
      <c r="I93" s="111">
        <f t="shared" si="251"/>
        <v>22</v>
      </c>
      <c r="J93" s="111" t="e">
        <f t="shared" si="252"/>
        <v>#VALUE!</v>
      </c>
      <c r="K93" s="111">
        <f t="shared" si="253"/>
        <v>32</v>
      </c>
      <c r="L93" s="111" t="str">
        <f>IFERROR(VLOOKUP(MID(G93,J93,K93-J93),[5]skilldef!$C:$D,2,FALSE),"-") &amp; " / " &amp; IFERROR(VLOOKUP(MID(G93,H93,I93-H93),[5]skilldef!$A:$B,2,FALSE),"-")</f>
        <v>- / -</v>
      </c>
      <c r="M93" s="111" t="str">
        <f t="shared" si="254"/>
        <v>none</v>
      </c>
      <c r="N93" s="109" t="str">
        <f t="shared" si="267"/>
        <v>none</v>
      </c>
      <c r="O93" s="111" t="e">
        <f t="shared" si="256"/>
        <v>#VALUE!</v>
      </c>
      <c r="P93" s="111">
        <f t="shared" si="257"/>
        <v>4</v>
      </c>
      <c r="Q93" s="111" t="e">
        <f t="shared" si="258"/>
        <v>#VALUE!</v>
      </c>
      <c r="R93" s="111" t="e">
        <f t="shared" si="259"/>
        <v>#VALUE!</v>
      </c>
      <c r="S93" s="111" t="str">
        <f>IFERROR(VLOOKUP(MID(N93,Q93,R93-Q93),[5]skilldef!$C:$D,2,FALSE),"-") &amp; " / " &amp; IFERROR(VLOOKUP(MID(N93,O93,P93-O93),[5]skilldef!$A:$B,2,FALSE),"-")</f>
        <v>- / -</v>
      </c>
      <c r="T93" s="109" t="str">
        <f t="shared" si="260"/>
        <v>none</v>
      </c>
      <c r="U93" s="111" t="e">
        <f t="shared" si="261"/>
        <v>#VALUE!</v>
      </c>
      <c r="V93" s="111">
        <f t="shared" si="262"/>
        <v>4</v>
      </c>
      <c r="W93" s="111" t="e">
        <f t="shared" si="263"/>
        <v>#VALUE!</v>
      </c>
      <c r="X93" s="111" t="e">
        <f t="shared" si="264"/>
        <v>#VALUE!</v>
      </c>
      <c r="Y93" s="111" t="str">
        <f>IFERROR(VLOOKUP(MID(T93,W93,X93-W93),[5]skilldef!$C:$D,2,FALSE),"-") &amp; " / " &amp; IFERROR(VLOOKUP(MID(T93,U93,V93-U93),[5]skilldef!$A:$B,2,FALSE),"-")</f>
        <v>- / -</v>
      </c>
      <c r="Z93" s="110"/>
      <c r="AA93" s="112"/>
      <c r="AB93" s="111" t="s">
        <v>306</v>
      </c>
      <c r="AC93" s="111" t="s">
        <v>329</v>
      </c>
    </row>
    <row r="94" spans="1:29" ht="112" x14ac:dyDescent="0.15">
      <c r="A94" s="109">
        <v>48501093</v>
      </c>
      <c r="B94" s="109" t="s">
        <v>582</v>
      </c>
      <c r="C94" s="110">
        <v>1</v>
      </c>
      <c r="D94" s="110" t="s">
        <v>127</v>
      </c>
      <c r="E94" s="111" t="s">
        <v>433</v>
      </c>
      <c r="F94" s="111" t="s">
        <v>533</v>
      </c>
      <c r="G94" s="111" t="str">
        <f t="shared" si="249"/>
        <v>[effect:enemy_message, val1:1.5, val2:3.3]</v>
      </c>
      <c r="H94" s="111">
        <f t="shared" si="250"/>
        <v>9</v>
      </c>
      <c r="I94" s="111">
        <f t="shared" si="251"/>
        <v>22</v>
      </c>
      <c r="J94" s="111" t="e">
        <f t="shared" si="252"/>
        <v>#VALUE!</v>
      </c>
      <c r="K94" s="111">
        <f t="shared" si="253"/>
        <v>32</v>
      </c>
      <c r="L94" s="111" t="str">
        <f>IFERROR(VLOOKUP(MID(G94,J94,K94-J94),[5]skilldef!$C:$D,2,FALSE),"-") &amp; " / " &amp; IFERROR(VLOOKUP(MID(G94,H94,I94-H94),[5]skilldef!$A:$B,2,FALSE),"-")</f>
        <v>- / -</v>
      </c>
      <c r="M94" s="111" t="str">
        <f t="shared" si="254"/>
        <v>[effect:break_attack, target:unit_all, val:10, lowest_val:7500, count:-1, color:green, block01:block_blue],[effect:change_panel_ratio, turn:-1, block_type:blue, val:0, animation:block_incidence04]</v>
      </c>
      <c r="N94" s="109" t="str">
        <f t="shared" si="267"/>
        <v>[effect:break_attack, target:unit_all, val:10, lowest_val:7500, count:-1, color:green, block01:block_blue]</v>
      </c>
      <c r="O94" s="111">
        <f t="shared" si="256"/>
        <v>9</v>
      </c>
      <c r="P94" s="111">
        <f t="shared" si="257"/>
        <v>21</v>
      </c>
      <c r="Q94" s="111">
        <f t="shared" si="258"/>
        <v>30</v>
      </c>
      <c r="R94" s="111">
        <f t="shared" si="259"/>
        <v>38</v>
      </c>
      <c r="S94" s="111" t="str">
        <f>IFERROR(VLOOKUP(MID(N94,Q94,R94-Q94),[5]skilldef!$C:$D,2,FALSE),"-") &amp; " / " &amp; IFERROR(VLOOKUP(MID(N94,O94,P94-O94),[5]skilldef!$A:$B,2,FALSE),"-")</f>
        <v>味方全体に / -</v>
      </c>
      <c r="T94" s="109" t="str">
        <f t="shared" si="260"/>
        <v>[effect:change_panel_ratio, turn:-1, block_type:blue, val:0, animation:block_incidence04]</v>
      </c>
      <c r="U94" s="111">
        <f t="shared" si="261"/>
        <v>9</v>
      </c>
      <c r="V94" s="111">
        <f t="shared" si="262"/>
        <v>27</v>
      </c>
      <c r="W94" s="111" t="e">
        <f t="shared" si="263"/>
        <v>#VALUE!</v>
      </c>
      <c r="X94" s="111">
        <f t="shared" si="264"/>
        <v>36</v>
      </c>
      <c r="Y94" s="111" t="str">
        <f>IFERROR(VLOOKUP(MID(T94,W94,X94-W94),[5]skilldef!$C:$D,2,FALSE),"-") &amp; " / " &amp; IFERROR(VLOOKUP(MID(T94,U94,V94-U94),[5]skilldef!$A:$B,2,FALSE),"-")</f>
        <v>- / -</v>
      </c>
      <c r="Z94" s="110"/>
      <c r="AA94" s="112"/>
      <c r="AB94" s="111" t="s">
        <v>377</v>
      </c>
      <c r="AC94" s="111" t="s">
        <v>330</v>
      </c>
    </row>
    <row r="95" spans="1:29" ht="28" x14ac:dyDescent="0.15">
      <c r="A95" s="109">
        <v>48501094</v>
      </c>
      <c r="B95" s="109" t="s">
        <v>583</v>
      </c>
      <c r="C95" s="110">
        <v>1</v>
      </c>
      <c r="D95" s="110" t="s">
        <v>127</v>
      </c>
      <c r="E95" s="111" t="s">
        <v>408</v>
      </c>
      <c r="F95" s="111" t="s">
        <v>409</v>
      </c>
      <c r="G95" s="111" t="str">
        <f t="shared" si="249"/>
        <v>[effect:enemy_message, val1:1.7, val2:1.7, dead_type:suicide]</v>
      </c>
      <c r="H95" s="111">
        <f t="shared" si="250"/>
        <v>9</v>
      </c>
      <c r="I95" s="111">
        <f t="shared" si="251"/>
        <v>22</v>
      </c>
      <c r="J95" s="111" t="e">
        <f t="shared" si="252"/>
        <v>#VALUE!</v>
      </c>
      <c r="K95" s="111">
        <f t="shared" si="253"/>
        <v>32</v>
      </c>
      <c r="L95" s="111" t="str">
        <f>IFERROR(VLOOKUP(MID(G95,J95,K95-J95),[5]skilldef!$C:$D,2,FALSE),"-") &amp; " / " &amp; IFERROR(VLOOKUP(MID(G95,H95,I95-H95),[5]skilldef!$A:$B,2,FALSE),"-")</f>
        <v>- / -</v>
      </c>
      <c r="M95" s="111" t="str">
        <f t="shared" si="254"/>
        <v>none</v>
      </c>
      <c r="N95" s="109" t="str">
        <f t="shared" si="267"/>
        <v>none</v>
      </c>
      <c r="O95" s="111" t="e">
        <f t="shared" si="256"/>
        <v>#VALUE!</v>
      </c>
      <c r="P95" s="111">
        <f t="shared" si="257"/>
        <v>4</v>
      </c>
      <c r="Q95" s="111" t="e">
        <f t="shared" si="258"/>
        <v>#VALUE!</v>
      </c>
      <c r="R95" s="111" t="e">
        <f t="shared" si="259"/>
        <v>#VALUE!</v>
      </c>
      <c r="S95" s="111" t="str">
        <f>IFERROR(VLOOKUP(MID(N95,Q95,R95-Q95),[5]skilldef!$C:$D,2,FALSE),"-") &amp; " / " &amp; IFERROR(VLOOKUP(MID(N95,O95,P95-O95),[5]skilldef!$A:$B,2,FALSE),"-")</f>
        <v>- / -</v>
      </c>
      <c r="T95" s="109" t="str">
        <f t="shared" si="260"/>
        <v>none</v>
      </c>
      <c r="U95" s="111" t="e">
        <f t="shared" si="261"/>
        <v>#VALUE!</v>
      </c>
      <c r="V95" s="111">
        <f t="shared" si="262"/>
        <v>4</v>
      </c>
      <c r="W95" s="111" t="e">
        <f t="shared" si="263"/>
        <v>#VALUE!</v>
      </c>
      <c r="X95" s="111" t="e">
        <f t="shared" si="264"/>
        <v>#VALUE!</v>
      </c>
      <c r="Y95" s="111" t="str">
        <f>IFERROR(VLOOKUP(MID(T95,W95,X95-W95),[5]skilldef!$C:$D,2,FALSE),"-") &amp; " / " &amp; IFERROR(VLOOKUP(MID(T95,U95,V95-U95),[5]skilldef!$A:$B,2,FALSE),"-")</f>
        <v>- / -</v>
      </c>
      <c r="Z95" s="110"/>
      <c r="AA95" s="112"/>
      <c r="AB95" s="111" t="s">
        <v>342</v>
      </c>
      <c r="AC95" s="111" t="s">
        <v>343</v>
      </c>
    </row>
    <row r="96" spans="1:29" ht="28" x14ac:dyDescent="0.15">
      <c r="A96" s="109">
        <v>48501095</v>
      </c>
      <c r="B96" s="109" t="s">
        <v>584</v>
      </c>
      <c r="C96" s="110">
        <v>1</v>
      </c>
      <c r="D96" s="110" t="s">
        <v>127</v>
      </c>
      <c r="E96" s="111" t="s">
        <v>418</v>
      </c>
      <c r="F96" s="111" t="s">
        <v>469</v>
      </c>
      <c r="G96" s="111" t="str">
        <f t="shared" si="249"/>
        <v>[effect:enemy_message, val1:2.2, val2:2.0, dead_type:suicide]</v>
      </c>
      <c r="H96" s="111">
        <f t="shared" si="250"/>
        <v>9</v>
      </c>
      <c r="I96" s="111">
        <f t="shared" si="251"/>
        <v>22</v>
      </c>
      <c r="J96" s="111" t="e">
        <f t="shared" si="252"/>
        <v>#VALUE!</v>
      </c>
      <c r="K96" s="111">
        <f t="shared" si="253"/>
        <v>32</v>
      </c>
      <c r="L96" s="111" t="str">
        <f>IFERROR(VLOOKUP(MID(G96,J96,K96-J96),[5]skilldef!$C:$D,2,FALSE),"-") &amp; " / " &amp; IFERROR(VLOOKUP(MID(G96,H96,I96-H96),[5]skilldef!$A:$B,2,FALSE),"-")</f>
        <v>- / -</v>
      </c>
      <c r="M96" s="111" t="str">
        <f t="shared" si="254"/>
        <v>none</v>
      </c>
      <c r="N96" s="109" t="str">
        <f t="shared" si="267"/>
        <v>none</v>
      </c>
      <c r="O96" s="111" t="e">
        <f t="shared" si="256"/>
        <v>#VALUE!</v>
      </c>
      <c r="P96" s="111">
        <f t="shared" si="257"/>
        <v>4</v>
      </c>
      <c r="Q96" s="111" t="e">
        <f t="shared" si="258"/>
        <v>#VALUE!</v>
      </c>
      <c r="R96" s="111" t="e">
        <f t="shared" si="259"/>
        <v>#VALUE!</v>
      </c>
      <c r="S96" s="111" t="str">
        <f>IFERROR(VLOOKUP(MID(N96,Q96,R96-Q96),[5]skilldef!$C:$D,2,FALSE),"-") &amp; " / " &amp; IFERROR(VLOOKUP(MID(N96,O96,P96-O96),[5]skilldef!$A:$B,2,FALSE),"-")</f>
        <v>- / -</v>
      </c>
      <c r="T96" s="109" t="str">
        <f t="shared" si="260"/>
        <v>none</v>
      </c>
      <c r="U96" s="111" t="e">
        <f t="shared" si="261"/>
        <v>#VALUE!</v>
      </c>
      <c r="V96" s="111">
        <f t="shared" si="262"/>
        <v>4</v>
      </c>
      <c r="W96" s="111" t="e">
        <f t="shared" si="263"/>
        <v>#VALUE!</v>
      </c>
      <c r="X96" s="111" t="e">
        <f t="shared" si="264"/>
        <v>#VALUE!</v>
      </c>
      <c r="Y96" s="111" t="str">
        <f>IFERROR(VLOOKUP(MID(T96,W96,X96-W96),[5]skilldef!$C:$D,2,FALSE),"-") &amp; " / " &amp; IFERROR(VLOOKUP(MID(T96,U96,V96-U96),[5]skilldef!$A:$B,2,FALSE),"-")</f>
        <v>- / -</v>
      </c>
      <c r="Z96" s="110"/>
      <c r="AA96" s="112"/>
      <c r="AB96" s="111" t="s">
        <v>340</v>
      </c>
      <c r="AC96" s="111" t="s">
        <v>344</v>
      </c>
    </row>
    <row r="97" spans="1:29" ht="28" x14ac:dyDescent="0.15">
      <c r="A97" s="109">
        <v>48501096</v>
      </c>
      <c r="B97" s="109" t="s">
        <v>585</v>
      </c>
      <c r="C97" s="110">
        <v>1</v>
      </c>
      <c r="D97" s="110" t="s">
        <v>127</v>
      </c>
      <c r="E97" s="111" t="s">
        <v>410</v>
      </c>
      <c r="F97" s="111" t="s">
        <v>411</v>
      </c>
      <c r="G97" s="111" t="str">
        <f t="shared" si="249"/>
        <v>[effect:enemy_message, val1:2.2, val2:2.0, dead_type:suicide]</v>
      </c>
      <c r="H97" s="111">
        <f t="shared" si="250"/>
        <v>9</v>
      </c>
      <c r="I97" s="111">
        <f t="shared" si="251"/>
        <v>22</v>
      </c>
      <c r="J97" s="111" t="e">
        <f t="shared" si="252"/>
        <v>#VALUE!</v>
      </c>
      <c r="K97" s="111">
        <f t="shared" si="253"/>
        <v>32</v>
      </c>
      <c r="L97" s="111" t="str">
        <f>IFERROR(VLOOKUP(MID(G97,J97,K97-J97),[5]skilldef!$C:$D,2,FALSE),"-") &amp; " / " &amp; IFERROR(VLOOKUP(MID(G97,H97,I97-H97),[5]skilldef!$A:$B,2,FALSE),"-")</f>
        <v>- / -</v>
      </c>
      <c r="M97" s="111" t="str">
        <f t="shared" si="254"/>
        <v>none</v>
      </c>
      <c r="N97" s="109" t="str">
        <f t="shared" si="267"/>
        <v>none</v>
      </c>
      <c r="O97" s="111" t="e">
        <f t="shared" si="256"/>
        <v>#VALUE!</v>
      </c>
      <c r="P97" s="111">
        <f t="shared" si="257"/>
        <v>4</v>
      </c>
      <c r="Q97" s="111" t="e">
        <f t="shared" si="258"/>
        <v>#VALUE!</v>
      </c>
      <c r="R97" s="111" t="e">
        <f t="shared" si="259"/>
        <v>#VALUE!</v>
      </c>
      <c r="S97" s="111" t="str">
        <f>IFERROR(VLOOKUP(MID(N97,Q97,R97-Q97),[5]skilldef!$C:$D,2,FALSE),"-") &amp; " / " &amp; IFERROR(VLOOKUP(MID(N97,O97,P97-O97),[5]skilldef!$A:$B,2,FALSE),"-")</f>
        <v>- / -</v>
      </c>
      <c r="T97" s="109" t="str">
        <f t="shared" si="260"/>
        <v>none</v>
      </c>
      <c r="U97" s="111" t="e">
        <f t="shared" si="261"/>
        <v>#VALUE!</v>
      </c>
      <c r="V97" s="111">
        <f t="shared" si="262"/>
        <v>4</v>
      </c>
      <c r="W97" s="111" t="e">
        <f t="shared" si="263"/>
        <v>#VALUE!</v>
      </c>
      <c r="X97" s="111" t="e">
        <f t="shared" si="264"/>
        <v>#VALUE!</v>
      </c>
      <c r="Y97" s="111" t="str">
        <f>IFERROR(VLOOKUP(MID(T97,W97,X97-W97),[5]skilldef!$C:$D,2,FALSE),"-") &amp; " / " &amp; IFERROR(VLOOKUP(MID(T97,U97,V97-U97),[5]skilldef!$A:$B,2,FALSE),"-")</f>
        <v>- / -</v>
      </c>
      <c r="Z97" s="110"/>
      <c r="AA97" s="112"/>
      <c r="AB97" s="111" t="s">
        <v>341</v>
      </c>
      <c r="AC97" s="111" t="s">
        <v>345</v>
      </c>
    </row>
  </sheetData>
  <autoFilter ref="A1:AA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97"/>
  <sheetViews>
    <sheetView showGridLines="0" zoomScale="130" zoomScaleNormal="130" zoomScalePageLayoutView="130" workbookViewId="0">
      <pane ySplit="1" topLeftCell="A2" activePane="bottomLeft" state="frozenSplit"/>
      <selection pane="bottomLeft" activeCell="I57" sqref="I5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3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3" ht="21" customHeight="1" x14ac:dyDescent="0.15">
      <c r="A2" s="47">
        <v>48501001</v>
      </c>
      <c r="B2" s="47">
        <v>0</v>
      </c>
      <c r="C2" s="47" t="s">
        <v>53</v>
      </c>
      <c r="D2" s="47">
        <v>100</v>
      </c>
      <c r="E2" s="47">
        <v>20</v>
      </c>
      <c r="F2" s="47" t="s">
        <v>89</v>
      </c>
      <c r="G2" s="47" t="s">
        <v>89</v>
      </c>
      <c r="H2" s="47" t="s">
        <v>89</v>
      </c>
      <c r="I2" s="47" t="s">
        <v>89</v>
      </c>
      <c r="J2" s="48">
        <f t="shared" ref="J2:J10" si="0">D2</f>
        <v>100</v>
      </c>
      <c r="L2" s="51" t="s">
        <v>357</v>
      </c>
      <c r="M2" s="51" t="s">
        <v>256</v>
      </c>
    </row>
    <row r="3" spans="1:13" ht="21" customHeight="1" x14ac:dyDescent="0.15">
      <c r="A3" s="47">
        <v>48501002</v>
      </c>
      <c r="B3" s="47">
        <v>0</v>
      </c>
      <c r="C3" s="47" t="s">
        <v>53</v>
      </c>
      <c r="D3" s="47">
        <v>100</v>
      </c>
      <c r="E3" s="47" t="s">
        <v>89</v>
      </c>
      <c r="F3" s="47" t="s">
        <v>89</v>
      </c>
      <c r="G3" s="47" t="s">
        <v>313</v>
      </c>
      <c r="H3" s="47" t="s">
        <v>89</v>
      </c>
      <c r="I3" s="47" t="s">
        <v>89</v>
      </c>
      <c r="J3" s="48">
        <f t="shared" ref="J3" si="1">D3</f>
        <v>100</v>
      </c>
      <c r="L3" s="51" t="s">
        <v>358</v>
      </c>
      <c r="M3" s="51" t="s">
        <v>312</v>
      </c>
    </row>
    <row r="4" spans="1:13" ht="21" customHeight="1" x14ac:dyDescent="0.15">
      <c r="A4" s="47">
        <v>48501003</v>
      </c>
      <c r="B4" s="47">
        <v>1</v>
      </c>
      <c r="C4" s="47" t="s">
        <v>53</v>
      </c>
      <c r="D4" s="47">
        <v>100</v>
      </c>
      <c r="E4" s="47" t="s">
        <v>89</v>
      </c>
      <c r="F4" s="47" t="s">
        <v>89</v>
      </c>
      <c r="G4" s="47">
        <v>1</v>
      </c>
      <c r="H4" s="47" t="s">
        <v>89</v>
      </c>
      <c r="I4" s="47" t="s">
        <v>89</v>
      </c>
      <c r="J4" s="48">
        <f t="shared" si="0"/>
        <v>100</v>
      </c>
      <c r="L4" s="51" t="s">
        <v>359</v>
      </c>
      <c r="M4" s="51" t="s">
        <v>258</v>
      </c>
    </row>
    <row r="5" spans="1:13" ht="21" customHeight="1" x14ac:dyDescent="0.15">
      <c r="A5" s="47">
        <v>48501004</v>
      </c>
      <c r="B5" s="47">
        <v>0</v>
      </c>
      <c r="C5" s="47" t="s">
        <v>53</v>
      </c>
      <c r="D5" s="47">
        <v>100</v>
      </c>
      <c r="E5" s="47">
        <v>30</v>
      </c>
      <c r="F5" s="47" t="s">
        <v>89</v>
      </c>
      <c r="G5" s="47">
        <v>1</v>
      </c>
      <c r="H5" s="47" t="s">
        <v>89</v>
      </c>
      <c r="I5" s="47" t="s">
        <v>89</v>
      </c>
      <c r="J5" s="48">
        <f t="shared" si="0"/>
        <v>100</v>
      </c>
      <c r="L5" s="51" t="s">
        <v>360</v>
      </c>
      <c r="M5" s="51" t="s">
        <v>315</v>
      </c>
    </row>
    <row r="6" spans="1:13" ht="21" customHeight="1" x14ac:dyDescent="0.15">
      <c r="A6" s="47">
        <v>48501005</v>
      </c>
      <c r="B6" s="47">
        <v>1</v>
      </c>
      <c r="C6" s="47" t="s">
        <v>53</v>
      </c>
      <c r="D6" s="47">
        <v>100</v>
      </c>
      <c r="E6" s="47" t="s">
        <v>89</v>
      </c>
      <c r="F6" s="47" t="s">
        <v>89</v>
      </c>
      <c r="G6" s="47">
        <v>1</v>
      </c>
      <c r="H6" s="47" t="s">
        <v>89</v>
      </c>
      <c r="I6" s="47" t="s">
        <v>89</v>
      </c>
      <c r="J6" s="48">
        <f t="shared" si="0"/>
        <v>100</v>
      </c>
      <c r="L6" s="51" t="s">
        <v>362</v>
      </c>
      <c r="M6" s="51" t="s">
        <v>316</v>
      </c>
    </row>
    <row r="7" spans="1:13" ht="21" customHeight="1" x14ac:dyDescent="0.15">
      <c r="A7" s="47">
        <v>48501006</v>
      </c>
      <c r="B7" s="47">
        <v>0</v>
      </c>
      <c r="C7" s="47">
        <v>1</v>
      </c>
      <c r="D7" s="47">
        <v>100</v>
      </c>
      <c r="E7" s="47">
        <v>50</v>
      </c>
      <c r="F7" s="47" t="s">
        <v>89</v>
      </c>
      <c r="G7" s="47">
        <v>1</v>
      </c>
      <c r="H7" s="47" t="s">
        <v>89</v>
      </c>
      <c r="I7" s="47" t="s">
        <v>89</v>
      </c>
      <c r="J7" s="48">
        <f t="shared" si="0"/>
        <v>100</v>
      </c>
      <c r="L7" s="51" t="s">
        <v>361</v>
      </c>
      <c r="M7" s="51" t="s">
        <v>317</v>
      </c>
    </row>
    <row r="8" spans="1:13" ht="21" customHeight="1" x14ac:dyDescent="0.15">
      <c r="A8" s="47">
        <v>48501007</v>
      </c>
      <c r="B8" s="47">
        <v>0</v>
      </c>
      <c r="C8" s="47">
        <v>2</v>
      </c>
      <c r="D8" s="47">
        <v>100</v>
      </c>
      <c r="E8" s="47">
        <v>30</v>
      </c>
      <c r="F8" s="47" t="s">
        <v>89</v>
      </c>
      <c r="G8" s="47">
        <v>1</v>
      </c>
      <c r="H8" s="47" t="s">
        <v>89</v>
      </c>
      <c r="I8" s="47" t="s">
        <v>89</v>
      </c>
      <c r="J8" s="48">
        <f t="shared" si="0"/>
        <v>100</v>
      </c>
      <c r="L8" s="51" t="s">
        <v>421</v>
      </c>
      <c r="M8" s="51" t="s">
        <v>258</v>
      </c>
    </row>
    <row r="9" spans="1:13" ht="21" customHeight="1" x14ac:dyDescent="0.15">
      <c r="A9" s="47">
        <v>48501008</v>
      </c>
      <c r="B9" s="47">
        <v>1</v>
      </c>
      <c r="C9" s="47" t="s">
        <v>53</v>
      </c>
      <c r="D9" s="47">
        <v>100</v>
      </c>
      <c r="E9" s="47" t="s">
        <v>89</v>
      </c>
      <c r="F9" s="47" t="s">
        <v>89</v>
      </c>
      <c r="G9" s="47">
        <v>1</v>
      </c>
      <c r="H9" s="47" t="s">
        <v>89</v>
      </c>
      <c r="I9" s="47" t="s">
        <v>89</v>
      </c>
      <c r="J9" s="48">
        <f t="shared" si="0"/>
        <v>100</v>
      </c>
      <c r="L9" s="51" t="s">
        <v>363</v>
      </c>
      <c r="M9" s="51" t="s">
        <v>314</v>
      </c>
    </row>
    <row r="10" spans="1:13" ht="21" customHeight="1" x14ac:dyDescent="0.15">
      <c r="A10" s="47">
        <v>48501009</v>
      </c>
      <c r="B10" s="47">
        <v>0</v>
      </c>
      <c r="C10" s="47" t="s">
        <v>53</v>
      </c>
      <c r="D10" s="47">
        <v>40</v>
      </c>
      <c r="E10" s="47" t="s">
        <v>89</v>
      </c>
      <c r="F10" s="47">
        <v>50</v>
      </c>
      <c r="G10" s="47" t="s">
        <v>89</v>
      </c>
      <c r="H10" s="47" t="s">
        <v>89</v>
      </c>
      <c r="I10" s="47" t="s">
        <v>89</v>
      </c>
      <c r="J10" s="48">
        <f t="shared" si="0"/>
        <v>40</v>
      </c>
      <c r="L10" s="51" t="s">
        <v>364</v>
      </c>
      <c r="M10" s="51" t="s">
        <v>319</v>
      </c>
    </row>
    <row r="11" spans="1:13" ht="21" customHeight="1" x14ac:dyDescent="0.15">
      <c r="A11" s="47">
        <v>48501010</v>
      </c>
      <c r="B11" s="47">
        <v>0</v>
      </c>
      <c r="C11" s="47" t="s">
        <v>53</v>
      </c>
      <c r="D11" s="47">
        <v>40</v>
      </c>
      <c r="E11" s="47" t="s">
        <v>89</v>
      </c>
      <c r="F11" s="47">
        <v>50</v>
      </c>
      <c r="G11" s="47" t="s">
        <v>89</v>
      </c>
      <c r="H11" s="47" t="s">
        <v>89</v>
      </c>
      <c r="I11" s="47" t="s">
        <v>89</v>
      </c>
      <c r="J11" s="48">
        <f t="shared" ref="J11:J44" si="2">D11</f>
        <v>40</v>
      </c>
      <c r="L11" s="51" t="s">
        <v>365</v>
      </c>
      <c r="M11" s="51" t="s">
        <v>320</v>
      </c>
    </row>
    <row r="12" spans="1:13" ht="21" customHeight="1" x14ac:dyDescent="0.15">
      <c r="A12" s="47">
        <v>48501011</v>
      </c>
      <c r="B12" s="47">
        <v>0</v>
      </c>
      <c r="C12" s="47" t="s">
        <v>53</v>
      </c>
      <c r="D12" s="47">
        <v>35</v>
      </c>
      <c r="E12" s="47" t="s">
        <v>89</v>
      </c>
      <c r="F12" s="47">
        <v>50</v>
      </c>
      <c r="G12" s="47" t="s">
        <v>89</v>
      </c>
      <c r="H12" s="47" t="s">
        <v>89</v>
      </c>
      <c r="I12" s="47" t="s">
        <v>89</v>
      </c>
      <c r="J12" s="48">
        <f t="shared" si="2"/>
        <v>35</v>
      </c>
      <c r="L12" s="51" t="s">
        <v>368</v>
      </c>
      <c r="M12" s="51" t="s">
        <v>370</v>
      </c>
    </row>
    <row r="13" spans="1:13" ht="21" customHeight="1" x14ac:dyDescent="0.15">
      <c r="A13" s="47">
        <v>48501012</v>
      </c>
      <c r="B13" s="47">
        <v>0</v>
      </c>
      <c r="C13" s="47" t="s">
        <v>53</v>
      </c>
      <c r="D13" s="47">
        <v>40</v>
      </c>
      <c r="E13" s="47">
        <v>50</v>
      </c>
      <c r="F13" s="47" t="s">
        <v>89</v>
      </c>
      <c r="G13" s="47" t="s">
        <v>89</v>
      </c>
      <c r="H13" s="47" t="s">
        <v>89</v>
      </c>
      <c r="I13" s="47" t="s">
        <v>89</v>
      </c>
      <c r="J13" s="48">
        <f t="shared" si="2"/>
        <v>40</v>
      </c>
      <c r="L13" s="51" t="s">
        <v>366</v>
      </c>
      <c r="M13" s="51" t="s">
        <v>320</v>
      </c>
    </row>
    <row r="14" spans="1:13" ht="21" customHeight="1" x14ac:dyDescent="0.15">
      <c r="A14" s="47">
        <v>48501013</v>
      </c>
      <c r="B14" s="47">
        <v>0</v>
      </c>
      <c r="C14" s="47" t="s">
        <v>53</v>
      </c>
      <c r="D14" s="47">
        <v>40</v>
      </c>
      <c r="E14" s="47">
        <v>50</v>
      </c>
      <c r="F14" s="47" t="s">
        <v>89</v>
      </c>
      <c r="G14" s="47" t="s">
        <v>89</v>
      </c>
      <c r="H14" s="47" t="s">
        <v>89</v>
      </c>
      <c r="I14" s="47" t="s">
        <v>89</v>
      </c>
      <c r="J14" s="48">
        <f t="shared" si="2"/>
        <v>40</v>
      </c>
      <c r="L14" s="51" t="s">
        <v>367</v>
      </c>
      <c r="M14" s="51" t="s">
        <v>322</v>
      </c>
    </row>
    <row r="15" spans="1:13" ht="21" customHeight="1" x14ac:dyDescent="0.15">
      <c r="A15" s="47">
        <v>48501014</v>
      </c>
      <c r="B15" s="47">
        <v>0</v>
      </c>
      <c r="C15" s="47" t="s">
        <v>53</v>
      </c>
      <c r="D15" s="47">
        <v>35</v>
      </c>
      <c r="E15" s="47">
        <v>50</v>
      </c>
      <c r="F15" s="47" t="s">
        <v>89</v>
      </c>
      <c r="G15" s="47" t="s">
        <v>89</v>
      </c>
      <c r="H15" s="47" t="s">
        <v>89</v>
      </c>
      <c r="I15" s="47" t="s">
        <v>89</v>
      </c>
      <c r="J15" s="48">
        <f t="shared" si="2"/>
        <v>35</v>
      </c>
      <c r="L15" s="51" t="s">
        <v>369</v>
      </c>
      <c r="M15" s="51" t="s">
        <v>370</v>
      </c>
    </row>
    <row r="16" spans="1:13" ht="21" customHeight="1" x14ac:dyDescent="0.15">
      <c r="A16" s="47">
        <v>48501015</v>
      </c>
      <c r="B16" s="47">
        <v>0</v>
      </c>
      <c r="C16" s="47">
        <v>1</v>
      </c>
      <c r="D16" s="47">
        <v>100</v>
      </c>
      <c r="E16" s="47" t="s">
        <v>89</v>
      </c>
      <c r="F16" s="47" t="s">
        <v>89</v>
      </c>
      <c r="G16" s="47" t="s">
        <v>89</v>
      </c>
      <c r="H16" s="47" t="s">
        <v>89</v>
      </c>
      <c r="I16" s="47" t="s">
        <v>89</v>
      </c>
      <c r="J16" s="48">
        <f t="shared" si="2"/>
        <v>100</v>
      </c>
      <c r="L16" s="51" t="s">
        <v>355</v>
      </c>
      <c r="M16" s="51" t="s">
        <v>333</v>
      </c>
    </row>
    <row r="17" spans="1:13" ht="21" customHeight="1" x14ac:dyDescent="0.15">
      <c r="A17" s="47">
        <v>48501016</v>
      </c>
      <c r="B17" s="47">
        <v>0</v>
      </c>
      <c r="C17" s="47">
        <v>2</v>
      </c>
      <c r="D17" s="47">
        <v>50</v>
      </c>
      <c r="E17" s="47">
        <v>50</v>
      </c>
      <c r="F17" s="47" t="s">
        <v>89</v>
      </c>
      <c r="G17" s="47" t="s">
        <v>89</v>
      </c>
      <c r="H17" s="47" t="s">
        <v>89</v>
      </c>
      <c r="I17" s="47" t="s">
        <v>89</v>
      </c>
      <c r="J17" s="48">
        <f t="shared" si="2"/>
        <v>50</v>
      </c>
      <c r="L17" s="51" t="s">
        <v>356</v>
      </c>
      <c r="M17" s="51" t="s">
        <v>321</v>
      </c>
    </row>
    <row r="18" spans="1:13" ht="21" customHeight="1" x14ac:dyDescent="0.15">
      <c r="A18" s="107">
        <v>48501017</v>
      </c>
      <c r="B18" s="47">
        <v>1</v>
      </c>
      <c r="C18" s="47">
        <v>1</v>
      </c>
      <c r="D18" s="47">
        <v>100</v>
      </c>
      <c r="E18" s="47" t="s">
        <v>89</v>
      </c>
      <c r="F18" s="47" t="s">
        <v>89</v>
      </c>
      <c r="G18" s="47">
        <v>1</v>
      </c>
      <c r="H18" s="47" t="s">
        <v>89</v>
      </c>
      <c r="I18" s="47" t="s">
        <v>89</v>
      </c>
      <c r="J18" s="48">
        <f t="shared" si="2"/>
        <v>100</v>
      </c>
      <c r="L18" s="51" t="s">
        <v>334</v>
      </c>
      <c r="M18" s="51" t="s">
        <v>371</v>
      </c>
    </row>
    <row r="19" spans="1:13" ht="21" customHeight="1" x14ac:dyDescent="0.15">
      <c r="A19" s="107">
        <v>48501018</v>
      </c>
      <c r="B19" s="47">
        <v>1</v>
      </c>
      <c r="C19" s="47">
        <v>2</v>
      </c>
      <c r="D19" s="47">
        <v>100</v>
      </c>
      <c r="E19" s="47" t="s">
        <v>53</v>
      </c>
      <c r="F19" s="47" t="s">
        <v>53</v>
      </c>
      <c r="G19" s="47">
        <v>1</v>
      </c>
      <c r="H19" s="47" t="s">
        <v>53</v>
      </c>
      <c r="I19" s="47">
        <v>5001</v>
      </c>
      <c r="J19" s="48">
        <v>100</v>
      </c>
      <c r="L19" s="51" t="s">
        <v>335</v>
      </c>
      <c r="M19" s="51" t="s">
        <v>371</v>
      </c>
    </row>
    <row r="20" spans="1:13" ht="21" customHeight="1" x14ac:dyDescent="0.15">
      <c r="A20" s="107">
        <v>48501019</v>
      </c>
      <c r="B20" s="47">
        <v>1</v>
      </c>
      <c r="C20" s="47">
        <v>3</v>
      </c>
      <c r="D20" s="47">
        <v>100</v>
      </c>
      <c r="E20" s="47" t="s">
        <v>53</v>
      </c>
      <c r="F20" s="47" t="s">
        <v>53</v>
      </c>
      <c r="G20" s="47">
        <v>1</v>
      </c>
      <c r="H20" s="47" t="s">
        <v>53</v>
      </c>
      <c r="I20" s="47">
        <v>5002</v>
      </c>
      <c r="J20" s="48">
        <v>100</v>
      </c>
      <c r="L20" s="51" t="s">
        <v>336</v>
      </c>
      <c r="M20" s="51" t="s">
        <v>371</v>
      </c>
    </row>
    <row r="21" spans="1:13" ht="21" customHeight="1" x14ac:dyDescent="0.15">
      <c r="A21" s="47">
        <v>48501020</v>
      </c>
      <c r="B21" s="47">
        <v>0</v>
      </c>
      <c r="C21" s="47">
        <v>4</v>
      </c>
      <c r="D21" s="47">
        <v>100</v>
      </c>
      <c r="E21" s="47" t="s">
        <v>89</v>
      </c>
      <c r="F21" s="47" t="s">
        <v>89</v>
      </c>
      <c r="G21" s="47">
        <v>1</v>
      </c>
      <c r="H21" s="47">
        <v>1</v>
      </c>
      <c r="I21" s="47" t="s">
        <v>89</v>
      </c>
      <c r="J21" s="48">
        <f t="shared" si="2"/>
        <v>100</v>
      </c>
      <c r="L21" s="51" t="s">
        <v>281</v>
      </c>
      <c r="M21" s="51" t="s">
        <v>323</v>
      </c>
    </row>
    <row r="22" spans="1:13" ht="20" customHeight="1" x14ac:dyDescent="0.15">
      <c r="A22" s="47">
        <v>48501021</v>
      </c>
      <c r="B22" s="47">
        <v>0</v>
      </c>
      <c r="C22" s="47" t="s">
        <v>53</v>
      </c>
      <c r="D22" s="47">
        <v>50</v>
      </c>
      <c r="E22" s="47" t="s">
        <v>89</v>
      </c>
      <c r="F22" s="47">
        <v>50</v>
      </c>
      <c r="G22" s="47" t="s">
        <v>89</v>
      </c>
      <c r="H22" s="47" t="s">
        <v>89</v>
      </c>
      <c r="I22" s="47" t="s">
        <v>89</v>
      </c>
      <c r="J22" s="48">
        <f t="shared" si="2"/>
        <v>50</v>
      </c>
      <c r="L22" s="51" t="s">
        <v>283</v>
      </c>
      <c r="M22" s="51" t="s">
        <v>324</v>
      </c>
    </row>
    <row r="23" spans="1:13" ht="21" customHeight="1" x14ac:dyDescent="0.15">
      <c r="A23" s="47">
        <v>48501022</v>
      </c>
      <c r="B23" s="47">
        <v>0</v>
      </c>
      <c r="C23" s="47">
        <v>5</v>
      </c>
      <c r="D23" s="47">
        <v>100</v>
      </c>
      <c r="E23" s="47">
        <v>50</v>
      </c>
      <c r="F23" s="47" t="s">
        <v>89</v>
      </c>
      <c r="G23" s="47">
        <v>1</v>
      </c>
      <c r="H23" s="47" t="s">
        <v>89</v>
      </c>
      <c r="I23" s="47" t="s">
        <v>89</v>
      </c>
      <c r="J23" s="48">
        <f t="shared" si="2"/>
        <v>100</v>
      </c>
      <c r="L23" s="51" t="s">
        <v>285</v>
      </c>
      <c r="M23" s="51" t="s">
        <v>325</v>
      </c>
    </row>
    <row r="24" spans="1:13" ht="21" customHeight="1" x14ac:dyDescent="0.15">
      <c r="A24" s="47">
        <v>48501023</v>
      </c>
      <c r="B24" s="47">
        <v>0</v>
      </c>
      <c r="C24" s="47" t="s">
        <v>346</v>
      </c>
      <c r="D24" s="47">
        <v>50</v>
      </c>
      <c r="E24" s="47">
        <v>50</v>
      </c>
      <c r="F24" s="47" t="s">
        <v>89</v>
      </c>
      <c r="G24" s="47" t="s">
        <v>89</v>
      </c>
      <c r="H24" s="47" t="s">
        <v>89</v>
      </c>
      <c r="I24" s="47" t="s">
        <v>89</v>
      </c>
      <c r="J24" s="48">
        <f t="shared" si="2"/>
        <v>50</v>
      </c>
      <c r="L24" s="51" t="s">
        <v>287</v>
      </c>
      <c r="M24" s="51" t="s">
        <v>324</v>
      </c>
    </row>
    <row r="25" spans="1:13" ht="21" customHeight="1" x14ac:dyDescent="0.15">
      <c r="A25" s="47">
        <v>48501024</v>
      </c>
      <c r="B25" s="47">
        <v>1</v>
      </c>
      <c r="C25" s="47" t="s">
        <v>53</v>
      </c>
      <c r="D25" s="47">
        <v>100</v>
      </c>
      <c r="E25" s="47" t="s">
        <v>89</v>
      </c>
      <c r="F25" s="47" t="s">
        <v>89</v>
      </c>
      <c r="G25" s="47">
        <v>1</v>
      </c>
      <c r="H25" s="47" t="s">
        <v>89</v>
      </c>
      <c r="I25" s="47" t="s">
        <v>89</v>
      </c>
      <c r="J25" s="48">
        <f t="shared" si="2"/>
        <v>100</v>
      </c>
      <c r="L25" s="51" t="s">
        <v>288</v>
      </c>
      <c r="M25" s="51" t="s">
        <v>348</v>
      </c>
    </row>
    <row r="26" spans="1:13" ht="21" customHeight="1" x14ac:dyDescent="0.15">
      <c r="A26" s="47">
        <v>48501025</v>
      </c>
      <c r="B26" s="47">
        <v>0</v>
      </c>
      <c r="C26" s="47" t="s">
        <v>53</v>
      </c>
      <c r="D26" s="47">
        <v>35</v>
      </c>
      <c r="E26" s="47" t="s">
        <v>89</v>
      </c>
      <c r="F26" s="47">
        <v>50</v>
      </c>
      <c r="G26" s="47" t="s">
        <v>89</v>
      </c>
      <c r="H26" s="47" t="s">
        <v>89</v>
      </c>
      <c r="I26" s="47" t="s">
        <v>89</v>
      </c>
      <c r="J26" s="48">
        <f t="shared" si="2"/>
        <v>35</v>
      </c>
      <c r="L26" s="51" t="s">
        <v>289</v>
      </c>
      <c r="M26" s="51" t="s">
        <v>331</v>
      </c>
    </row>
    <row r="27" spans="1:13" ht="21" customHeight="1" x14ac:dyDescent="0.15">
      <c r="A27" s="47">
        <v>48501026</v>
      </c>
      <c r="B27" s="47">
        <v>0</v>
      </c>
      <c r="C27" s="47" t="s">
        <v>53</v>
      </c>
      <c r="D27" s="47">
        <v>35</v>
      </c>
      <c r="E27" s="47" t="s">
        <v>89</v>
      </c>
      <c r="F27" s="47">
        <v>50</v>
      </c>
      <c r="G27" s="47" t="s">
        <v>89</v>
      </c>
      <c r="H27" s="47" t="s">
        <v>89</v>
      </c>
      <c r="I27" s="47" t="s">
        <v>89</v>
      </c>
      <c r="J27" s="48">
        <f t="shared" si="2"/>
        <v>35</v>
      </c>
      <c r="L27" s="51" t="s">
        <v>289</v>
      </c>
      <c r="M27" s="51" t="s">
        <v>349</v>
      </c>
    </row>
    <row r="28" spans="1:13" ht="21" customHeight="1" x14ac:dyDescent="0.15">
      <c r="A28" s="47">
        <v>48501027</v>
      </c>
      <c r="B28" s="47">
        <v>0</v>
      </c>
      <c r="C28" s="47" t="s">
        <v>53</v>
      </c>
      <c r="D28" s="47">
        <v>20</v>
      </c>
      <c r="E28" s="47" t="s">
        <v>89</v>
      </c>
      <c r="F28" s="47">
        <v>50</v>
      </c>
      <c r="G28" s="47" t="s">
        <v>89</v>
      </c>
      <c r="H28" s="47" t="s">
        <v>89</v>
      </c>
      <c r="I28" s="47" t="s">
        <v>89</v>
      </c>
      <c r="J28" s="48">
        <f t="shared" si="2"/>
        <v>20</v>
      </c>
      <c r="L28" s="51" t="s">
        <v>289</v>
      </c>
      <c r="M28" s="51" t="s">
        <v>326</v>
      </c>
    </row>
    <row r="29" spans="1:13" ht="21" customHeight="1" x14ac:dyDescent="0.15">
      <c r="A29" s="47">
        <v>48501028</v>
      </c>
      <c r="B29" s="47">
        <v>0</v>
      </c>
      <c r="C29" s="47" t="s">
        <v>53</v>
      </c>
      <c r="D29" s="47">
        <v>100</v>
      </c>
      <c r="E29" s="47">
        <v>50</v>
      </c>
      <c r="F29" s="47" t="s">
        <v>89</v>
      </c>
      <c r="G29" s="47">
        <v>1</v>
      </c>
      <c r="H29" s="47" t="s">
        <v>89</v>
      </c>
      <c r="I29" s="47" t="s">
        <v>89</v>
      </c>
      <c r="J29" s="48">
        <f t="shared" si="2"/>
        <v>100</v>
      </c>
      <c r="L29" s="51" t="s">
        <v>291</v>
      </c>
      <c r="M29" s="51" t="s">
        <v>350</v>
      </c>
    </row>
    <row r="30" spans="1:13" ht="21" customHeight="1" x14ac:dyDescent="0.15">
      <c r="A30" s="47">
        <v>48501029</v>
      </c>
      <c r="B30" s="47">
        <v>0</v>
      </c>
      <c r="C30" s="47" t="s">
        <v>53</v>
      </c>
      <c r="D30" s="47">
        <v>35</v>
      </c>
      <c r="E30" s="47">
        <v>50</v>
      </c>
      <c r="F30" s="47" t="s">
        <v>89</v>
      </c>
      <c r="G30" s="47" t="s">
        <v>89</v>
      </c>
      <c r="H30" s="47" t="s">
        <v>89</v>
      </c>
      <c r="I30" s="47" t="s">
        <v>89</v>
      </c>
      <c r="J30" s="48">
        <f t="shared" si="2"/>
        <v>35</v>
      </c>
      <c r="L30" s="51" t="s">
        <v>292</v>
      </c>
      <c r="M30" s="51" t="s">
        <v>331</v>
      </c>
    </row>
    <row r="31" spans="1:13" ht="21" customHeight="1" x14ac:dyDescent="0.15">
      <c r="A31" s="47">
        <v>48501030</v>
      </c>
      <c r="B31" s="47">
        <v>0</v>
      </c>
      <c r="C31" s="47" t="s">
        <v>53</v>
      </c>
      <c r="D31" s="47">
        <v>35</v>
      </c>
      <c r="E31" s="47">
        <v>50</v>
      </c>
      <c r="F31" s="47" t="s">
        <v>89</v>
      </c>
      <c r="G31" s="47" t="s">
        <v>89</v>
      </c>
      <c r="H31" s="47" t="s">
        <v>89</v>
      </c>
      <c r="I31" s="47" t="s">
        <v>89</v>
      </c>
      <c r="J31" s="48">
        <f t="shared" si="2"/>
        <v>35</v>
      </c>
      <c r="L31" s="51" t="s">
        <v>292</v>
      </c>
      <c r="M31" s="51" t="s">
        <v>349</v>
      </c>
    </row>
    <row r="32" spans="1:13" ht="21" customHeight="1" x14ac:dyDescent="0.15">
      <c r="A32" s="47">
        <v>48501031</v>
      </c>
      <c r="B32" s="47">
        <v>0</v>
      </c>
      <c r="C32" s="47" t="s">
        <v>53</v>
      </c>
      <c r="D32" s="47">
        <v>20</v>
      </c>
      <c r="E32" s="47">
        <v>50</v>
      </c>
      <c r="F32" s="47" t="s">
        <v>89</v>
      </c>
      <c r="G32" s="47" t="s">
        <v>89</v>
      </c>
      <c r="H32" s="47" t="s">
        <v>89</v>
      </c>
      <c r="I32" s="47" t="s">
        <v>89</v>
      </c>
      <c r="J32" s="48">
        <f t="shared" si="2"/>
        <v>20</v>
      </c>
      <c r="L32" s="51" t="s">
        <v>292</v>
      </c>
      <c r="M32" s="51" t="s">
        <v>326</v>
      </c>
    </row>
    <row r="33" spans="1:13" ht="21" customHeight="1" x14ac:dyDescent="0.15">
      <c r="A33" s="47">
        <v>48501032</v>
      </c>
      <c r="B33" s="47">
        <v>0</v>
      </c>
      <c r="C33" s="47" t="s">
        <v>53</v>
      </c>
      <c r="D33" s="47">
        <v>70</v>
      </c>
      <c r="E33" s="47">
        <v>50</v>
      </c>
      <c r="F33" s="47" t="s">
        <v>89</v>
      </c>
      <c r="G33" s="47">
        <v>2</v>
      </c>
      <c r="H33" s="47" t="s">
        <v>89</v>
      </c>
      <c r="I33" s="47" t="s">
        <v>89</v>
      </c>
      <c r="J33" s="48">
        <f t="shared" si="2"/>
        <v>70</v>
      </c>
      <c r="L33" s="51" t="s">
        <v>292</v>
      </c>
      <c r="M33" s="51" t="s">
        <v>293</v>
      </c>
    </row>
    <row r="34" spans="1:13" ht="21" customHeight="1" x14ac:dyDescent="0.15">
      <c r="A34" s="107">
        <v>48501033</v>
      </c>
      <c r="B34" s="47">
        <v>1</v>
      </c>
      <c r="C34" s="47">
        <v>1</v>
      </c>
      <c r="D34" s="47">
        <v>100</v>
      </c>
      <c r="E34" s="47" t="s">
        <v>89</v>
      </c>
      <c r="F34" s="47" t="s">
        <v>89</v>
      </c>
      <c r="G34" s="47">
        <v>1</v>
      </c>
      <c r="H34" s="47" t="s">
        <v>89</v>
      </c>
      <c r="I34" s="47" t="s">
        <v>89</v>
      </c>
      <c r="J34" s="48">
        <f t="shared" si="2"/>
        <v>100</v>
      </c>
      <c r="L34" s="51" t="s">
        <v>337</v>
      </c>
      <c r="M34" s="51" t="s">
        <v>351</v>
      </c>
    </row>
    <row r="35" spans="1:13" ht="21" customHeight="1" x14ac:dyDescent="0.15">
      <c r="A35" s="107">
        <v>48501034</v>
      </c>
      <c r="B35" s="47">
        <v>1</v>
      </c>
      <c r="C35" s="47">
        <v>2</v>
      </c>
      <c r="D35" s="47">
        <v>100</v>
      </c>
      <c r="E35" s="47" t="s">
        <v>53</v>
      </c>
      <c r="F35" s="47" t="s">
        <v>53</v>
      </c>
      <c r="G35" s="47">
        <v>1</v>
      </c>
      <c r="H35" s="47" t="s">
        <v>53</v>
      </c>
      <c r="I35" s="47">
        <v>5001</v>
      </c>
      <c r="J35" s="48">
        <f t="shared" ref="J35" si="3">D35</f>
        <v>100</v>
      </c>
      <c r="L35" s="51" t="s">
        <v>338</v>
      </c>
      <c r="M35" s="51" t="s">
        <v>351</v>
      </c>
    </row>
    <row r="36" spans="1:13" ht="21" customHeight="1" x14ac:dyDescent="0.15">
      <c r="A36" s="107">
        <v>48501035</v>
      </c>
      <c r="B36" s="47">
        <v>1</v>
      </c>
      <c r="C36" s="47">
        <v>3</v>
      </c>
      <c r="D36" s="47">
        <v>100</v>
      </c>
      <c r="E36" s="47" t="s">
        <v>53</v>
      </c>
      <c r="F36" s="47" t="s">
        <v>53</v>
      </c>
      <c r="G36" s="47">
        <v>1</v>
      </c>
      <c r="H36" s="47" t="s">
        <v>53</v>
      </c>
      <c r="I36" s="47">
        <v>5002</v>
      </c>
      <c r="J36" s="48">
        <f t="shared" ref="J36" si="4">D36</f>
        <v>100</v>
      </c>
      <c r="L36" s="51" t="s">
        <v>339</v>
      </c>
      <c r="M36" s="51" t="s">
        <v>351</v>
      </c>
    </row>
    <row r="37" spans="1:13" ht="21" customHeight="1" x14ac:dyDescent="0.15">
      <c r="A37" s="47">
        <v>48501036</v>
      </c>
      <c r="B37" s="47">
        <v>0</v>
      </c>
      <c r="C37" s="47" t="s">
        <v>53</v>
      </c>
      <c r="D37" s="47">
        <v>35</v>
      </c>
      <c r="E37" s="47" t="s">
        <v>89</v>
      </c>
      <c r="F37" s="47">
        <v>50</v>
      </c>
      <c r="G37" s="47" t="s">
        <v>89</v>
      </c>
      <c r="H37" s="47" t="s">
        <v>89</v>
      </c>
      <c r="I37" s="47" t="s">
        <v>89</v>
      </c>
      <c r="J37" s="48">
        <f t="shared" si="2"/>
        <v>35</v>
      </c>
      <c r="L37" s="51" t="s">
        <v>296</v>
      </c>
      <c r="M37" s="51" t="s">
        <v>352</v>
      </c>
    </row>
    <row r="38" spans="1:13" ht="21" customHeight="1" x14ac:dyDescent="0.15">
      <c r="A38" s="47">
        <v>48501037</v>
      </c>
      <c r="B38" s="47">
        <v>0</v>
      </c>
      <c r="C38" s="47" t="s">
        <v>310</v>
      </c>
      <c r="D38" s="47">
        <v>35</v>
      </c>
      <c r="E38" s="47" t="s">
        <v>89</v>
      </c>
      <c r="F38" s="47">
        <v>50</v>
      </c>
      <c r="G38" s="47" t="s">
        <v>89</v>
      </c>
      <c r="H38" s="47" t="s">
        <v>89</v>
      </c>
      <c r="I38" s="47" t="s">
        <v>89</v>
      </c>
      <c r="J38" s="48">
        <f t="shared" si="2"/>
        <v>35</v>
      </c>
      <c r="L38" s="51" t="s">
        <v>296</v>
      </c>
      <c r="M38" s="51" t="s">
        <v>298</v>
      </c>
    </row>
    <row r="39" spans="1:13" ht="21" customHeight="1" x14ac:dyDescent="0.15">
      <c r="A39" s="47">
        <v>48501038</v>
      </c>
      <c r="B39" s="47">
        <v>0</v>
      </c>
      <c r="C39" s="47" t="s">
        <v>53</v>
      </c>
      <c r="D39" s="47">
        <v>20</v>
      </c>
      <c r="E39" s="47" t="s">
        <v>89</v>
      </c>
      <c r="F39" s="47">
        <v>50</v>
      </c>
      <c r="G39" s="47" t="s">
        <v>89</v>
      </c>
      <c r="H39" s="47" t="s">
        <v>89</v>
      </c>
      <c r="I39" s="47" t="s">
        <v>89</v>
      </c>
      <c r="J39" s="48">
        <f t="shared" si="2"/>
        <v>20</v>
      </c>
      <c r="L39" s="51" t="s">
        <v>296</v>
      </c>
      <c r="M39" s="51" t="s">
        <v>326</v>
      </c>
    </row>
    <row r="40" spans="1:13" ht="21" customHeight="1" x14ac:dyDescent="0.15">
      <c r="A40" s="47">
        <v>48501039</v>
      </c>
      <c r="B40" s="47">
        <v>0</v>
      </c>
      <c r="C40" s="47">
        <v>1</v>
      </c>
      <c r="D40" s="47">
        <v>100</v>
      </c>
      <c r="E40" s="47">
        <v>75</v>
      </c>
      <c r="F40" s="47" t="s">
        <v>89</v>
      </c>
      <c r="G40" s="47">
        <v>1</v>
      </c>
      <c r="H40" s="47" t="s">
        <v>89</v>
      </c>
      <c r="I40" s="47" t="s">
        <v>89</v>
      </c>
      <c r="J40" s="48">
        <f t="shared" si="2"/>
        <v>100</v>
      </c>
      <c r="L40" s="51" t="s">
        <v>300</v>
      </c>
      <c r="M40" s="51" t="s">
        <v>327</v>
      </c>
    </row>
    <row r="41" spans="1:13" ht="21" customHeight="1" x14ac:dyDescent="0.15">
      <c r="A41" s="47">
        <v>48501040</v>
      </c>
      <c r="B41" s="47">
        <v>0</v>
      </c>
      <c r="C41" s="47" t="s">
        <v>309</v>
      </c>
      <c r="D41" s="47">
        <v>35</v>
      </c>
      <c r="E41" s="47">
        <v>50</v>
      </c>
      <c r="F41" s="47" t="s">
        <v>89</v>
      </c>
      <c r="G41" s="47" t="s">
        <v>89</v>
      </c>
      <c r="H41" s="47" t="s">
        <v>89</v>
      </c>
      <c r="I41" s="47" t="s">
        <v>89</v>
      </c>
      <c r="J41" s="48">
        <f t="shared" si="2"/>
        <v>35</v>
      </c>
      <c r="L41" s="51" t="s">
        <v>299</v>
      </c>
      <c r="M41" s="51" t="s">
        <v>353</v>
      </c>
    </row>
    <row r="42" spans="1:13" ht="21" customHeight="1" x14ac:dyDescent="0.15">
      <c r="A42" s="47">
        <v>48501041</v>
      </c>
      <c r="B42" s="47">
        <v>0</v>
      </c>
      <c r="C42" s="47" t="s">
        <v>309</v>
      </c>
      <c r="D42" s="47">
        <v>35</v>
      </c>
      <c r="E42" s="47">
        <v>50</v>
      </c>
      <c r="F42" s="47" t="s">
        <v>89</v>
      </c>
      <c r="G42" s="47" t="s">
        <v>89</v>
      </c>
      <c r="H42" s="47" t="s">
        <v>89</v>
      </c>
      <c r="I42" s="47" t="s">
        <v>89</v>
      </c>
      <c r="J42" s="48">
        <f t="shared" si="2"/>
        <v>35</v>
      </c>
      <c r="L42" s="51" t="s">
        <v>299</v>
      </c>
      <c r="M42" s="51" t="s">
        <v>328</v>
      </c>
    </row>
    <row r="43" spans="1:13" ht="21" customHeight="1" x14ac:dyDescent="0.15">
      <c r="A43" s="47">
        <v>48501042</v>
      </c>
      <c r="B43" s="47">
        <v>0</v>
      </c>
      <c r="C43" s="47" t="s">
        <v>309</v>
      </c>
      <c r="D43" s="47">
        <v>70</v>
      </c>
      <c r="E43" s="47">
        <v>50</v>
      </c>
      <c r="F43" s="47" t="s">
        <v>89</v>
      </c>
      <c r="G43" s="47">
        <v>2</v>
      </c>
      <c r="H43" s="47" t="s">
        <v>89</v>
      </c>
      <c r="I43" s="47" t="s">
        <v>89</v>
      </c>
      <c r="J43" s="48">
        <f t="shared" si="2"/>
        <v>70</v>
      </c>
      <c r="L43" s="51" t="s">
        <v>299</v>
      </c>
      <c r="M43" s="51" t="s">
        <v>293</v>
      </c>
    </row>
    <row r="44" spans="1:13" ht="21" customHeight="1" x14ac:dyDescent="0.15">
      <c r="A44" s="47">
        <v>48501043</v>
      </c>
      <c r="B44" s="47">
        <v>0</v>
      </c>
      <c r="C44" s="47">
        <v>2</v>
      </c>
      <c r="D44" s="47">
        <v>100</v>
      </c>
      <c r="E44" s="47">
        <v>50</v>
      </c>
      <c r="F44" s="47" t="s">
        <v>89</v>
      </c>
      <c r="G44" s="47">
        <v>1</v>
      </c>
      <c r="H44" s="47" t="s">
        <v>89</v>
      </c>
      <c r="I44" s="47" t="s">
        <v>89</v>
      </c>
      <c r="J44" s="48">
        <f t="shared" si="2"/>
        <v>100</v>
      </c>
      <c r="L44" s="51" t="s">
        <v>304</v>
      </c>
      <c r="M44" s="51" t="s">
        <v>354</v>
      </c>
    </row>
    <row r="45" spans="1:13" ht="21" customHeight="1" x14ac:dyDescent="0.15">
      <c r="A45" s="47">
        <v>48501044</v>
      </c>
      <c r="B45" s="47">
        <v>0</v>
      </c>
      <c r="C45" s="47">
        <v>4</v>
      </c>
      <c r="D45" s="47">
        <v>100</v>
      </c>
      <c r="E45" s="47">
        <v>25</v>
      </c>
      <c r="F45" s="47" t="s">
        <v>89</v>
      </c>
      <c r="G45" s="47">
        <v>1</v>
      </c>
      <c r="H45" s="47" t="s">
        <v>89</v>
      </c>
      <c r="I45" s="47" t="s">
        <v>89</v>
      </c>
      <c r="J45" s="48">
        <f t="shared" ref="J45:J46" si="5">D45</f>
        <v>100</v>
      </c>
      <c r="L45" s="51" t="s">
        <v>306</v>
      </c>
      <c r="M45" s="51" t="s">
        <v>329</v>
      </c>
    </row>
    <row r="46" spans="1:13" ht="21" customHeight="1" x14ac:dyDescent="0.15">
      <c r="A46" s="47">
        <v>48501045</v>
      </c>
      <c r="B46" s="47">
        <v>0</v>
      </c>
      <c r="C46" s="47">
        <v>3</v>
      </c>
      <c r="D46" s="47">
        <v>100</v>
      </c>
      <c r="E46" s="47">
        <v>25</v>
      </c>
      <c r="F46" s="47" t="s">
        <v>89</v>
      </c>
      <c r="G46" s="47">
        <v>1</v>
      </c>
      <c r="H46" s="47" t="s">
        <v>89</v>
      </c>
      <c r="I46" s="47" t="s">
        <v>89</v>
      </c>
      <c r="J46" s="48">
        <f t="shared" si="5"/>
        <v>100</v>
      </c>
      <c r="L46" s="51" t="s">
        <v>306</v>
      </c>
      <c r="M46" s="51" t="s">
        <v>330</v>
      </c>
    </row>
    <row r="47" spans="1:13" ht="21" customHeight="1" x14ac:dyDescent="0.15">
      <c r="A47" s="107">
        <v>48501046</v>
      </c>
      <c r="B47" s="47">
        <v>0</v>
      </c>
      <c r="C47" s="47">
        <v>5</v>
      </c>
      <c r="D47" s="47">
        <v>100</v>
      </c>
      <c r="E47" s="47" t="s">
        <v>347</v>
      </c>
      <c r="F47" s="47" t="s">
        <v>53</v>
      </c>
      <c r="G47" s="47">
        <v>0</v>
      </c>
      <c r="H47" s="47" t="s">
        <v>53</v>
      </c>
      <c r="I47" s="47">
        <v>0</v>
      </c>
      <c r="J47" s="48">
        <f t="shared" ref="J47:J66" si="6">D47</f>
        <v>100</v>
      </c>
      <c r="L47" s="51" t="s">
        <v>342</v>
      </c>
      <c r="M47" s="51" t="s">
        <v>343</v>
      </c>
    </row>
    <row r="48" spans="1:13" ht="21" customHeight="1" x14ac:dyDescent="0.15">
      <c r="A48" s="107">
        <v>48501047</v>
      </c>
      <c r="B48" s="47">
        <v>0</v>
      </c>
      <c r="C48" s="47">
        <v>6</v>
      </c>
      <c r="D48" s="47">
        <v>100</v>
      </c>
      <c r="E48" s="47" t="s">
        <v>347</v>
      </c>
      <c r="F48" s="47" t="s">
        <v>53</v>
      </c>
      <c r="G48" s="47">
        <v>0</v>
      </c>
      <c r="H48" s="47" t="s">
        <v>53</v>
      </c>
      <c r="I48" s="47">
        <v>5001</v>
      </c>
      <c r="J48" s="48">
        <f t="shared" si="6"/>
        <v>100</v>
      </c>
      <c r="L48" s="51" t="s">
        <v>340</v>
      </c>
      <c r="M48" s="51" t="s">
        <v>344</v>
      </c>
    </row>
    <row r="49" spans="1:13" ht="21" customHeight="1" x14ac:dyDescent="0.15">
      <c r="A49" s="107">
        <v>48501048</v>
      </c>
      <c r="B49" s="47">
        <v>0</v>
      </c>
      <c r="C49" s="47">
        <v>7</v>
      </c>
      <c r="D49" s="47">
        <v>100</v>
      </c>
      <c r="E49" s="47" t="s">
        <v>347</v>
      </c>
      <c r="F49" s="47" t="s">
        <v>53</v>
      </c>
      <c r="G49" s="47">
        <v>0</v>
      </c>
      <c r="H49" s="47" t="s">
        <v>53</v>
      </c>
      <c r="I49" s="47">
        <v>5002</v>
      </c>
      <c r="J49" s="48">
        <f t="shared" si="6"/>
        <v>100</v>
      </c>
      <c r="L49" s="51" t="s">
        <v>341</v>
      </c>
      <c r="M49" s="51" t="s">
        <v>345</v>
      </c>
    </row>
    <row r="50" spans="1:13" ht="21" customHeight="1" x14ac:dyDescent="0.15">
      <c r="A50" s="109">
        <v>48501049</v>
      </c>
      <c r="B50" s="109">
        <v>0</v>
      </c>
      <c r="C50" s="109" t="s">
        <v>53</v>
      </c>
      <c r="D50" s="109">
        <v>100</v>
      </c>
      <c r="E50" s="109">
        <v>20</v>
      </c>
      <c r="F50" s="109" t="s">
        <v>89</v>
      </c>
      <c r="G50" s="109" t="s">
        <v>89</v>
      </c>
      <c r="H50" s="109" t="s">
        <v>89</v>
      </c>
      <c r="I50" s="109" t="s">
        <v>89</v>
      </c>
      <c r="J50" s="48">
        <f t="shared" si="6"/>
        <v>100</v>
      </c>
      <c r="L50" s="51" t="s">
        <v>357</v>
      </c>
      <c r="M50" s="51" t="s">
        <v>256</v>
      </c>
    </row>
    <row r="51" spans="1:13" ht="21" customHeight="1" x14ac:dyDescent="0.15">
      <c r="A51" s="109">
        <v>48501050</v>
      </c>
      <c r="B51" s="109">
        <v>0</v>
      </c>
      <c r="C51" s="109" t="s">
        <v>53</v>
      </c>
      <c r="D51" s="109">
        <v>100</v>
      </c>
      <c r="E51" s="109" t="s">
        <v>89</v>
      </c>
      <c r="F51" s="109" t="s">
        <v>89</v>
      </c>
      <c r="G51" s="109" t="s">
        <v>169</v>
      </c>
      <c r="H51" s="109" t="s">
        <v>89</v>
      </c>
      <c r="I51" s="109" t="s">
        <v>89</v>
      </c>
      <c r="J51" s="48">
        <f t="shared" si="6"/>
        <v>100</v>
      </c>
      <c r="L51" s="51" t="s">
        <v>358</v>
      </c>
      <c r="M51" s="51" t="s">
        <v>312</v>
      </c>
    </row>
    <row r="52" spans="1:13" ht="21" customHeight="1" x14ac:dyDescent="0.15">
      <c r="A52" s="109">
        <v>48501051</v>
      </c>
      <c r="B52" s="109">
        <v>1</v>
      </c>
      <c r="C52" s="109" t="s">
        <v>53</v>
      </c>
      <c r="D52" s="109">
        <v>100</v>
      </c>
      <c r="E52" s="109" t="s">
        <v>89</v>
      </c>
      <c r="F52" s="109" t="s">
        <v>89</v>
      </c>
      <c r="G52" s="109">
        <v>1</v>
      </c>
      <c r="H52" s="109" t="s">
        <v>89</v>
      </c>
      <c r="I52" s="109" t="s">
        <v>89</v>
      </c>
      <c r="J52" s="48">
        <f t="shared" si="6"/>
        <v>100</v>
      </c>
      <c r="L52" s="51" t="s">
        <v>359</v>
      </c>
      <c r="M52" s="51" t="s">
        <v>258</v>
      </c>
    </row>
    <row r="53" spans="1:13" ht="21" customHeight="1" x14ac:dyDescent="0.15">
      <c r="A53" s="109">
        <v>48501052</v>
      </c>
      <c r="B53" s="109">
        <v>0</v>
      </c>
      <c r="C53" s="109" t="s">
        <v>53</v>
      </c>
      <c r="D53" s="109">
        <v>100</v>
      </c>
      <c r="E53" s="109">
        <v>30</v>
      </c>
      <c r="F53" s="109" t="s">
        <v>89</v>
      </c>
      <c r="G53" s="109">
        <v>1</v>
      </c>
      <c r="H53" s="109" t="s">
        <v>89</v>
      </c>
      <c r="I53" s="109" t="s">
        <v>89</v>
      </c>
      <c r="J53" s="48">
        <f t="shared" si="6"/>
        <v>100</v>
      </c>
      <c r="L53" s="51" t="s">
        <v>360</v>
      </c>
      <c r="M53" s="51" t="s">
        <v>315</v>
      </c>
    </row>
    <row r="54" spans="1:13" ht="21" customHeight="1" x14ac:dyDescent="0.15">
      <c r="A54" s="109">
        <v>48501053</v>
      </c>
      <c r="B54" s="109">
        <v>1</v>
      </c>
      <c r="C54" s="109" t="s">
        <v>53</v>
      </c>
      <c r="D54" s="109">
        <v>100</v>
      </c>
      <c r="E54" s="109" t="s">
        <v>89</v>
      </c>
      <c r="F54" s="109" t="s">
        <v>89</v>
      </c>
      <c r="G54" s="109">
        <v>1</v>
      </c>
      <c r="H54" s="109" t="s">
        <v>89</v>
      </c>
      <c r="I54" s="109" t="s">
        <v>89</v>
      </c>
      <c r="J54" s="48">
        <f t="shared" si="6"/>
        <v>100</v>
      </c>
      <c r="L54" s="51" t="s">
        <v>362</v>
      </c>
      <c r="M54" s="51" t="s">
        <v>316</v>
      </c>
    </row>
    <row r="55" spans="1:13" ht="21" customHeight="1" x14ac:dyDescent="0.15">
      <c r="A55" s="109">
        <v>48501054</v>
      </c>
      <c r="B55" s="109">
        <v>0</v>
      </c>
      <c r="C55" s="109">
        <v>1</v>
      </c>
      <c r="D55" s="109">
        <v>100</v>
      </c>
      <c r="E55" s="109">
        <v>50</v>
      </c>
      <c r="F55" s="109" t="s">
        <v>89</v>
      </c>
      <c r="G55" s="109">
        <v>1</v>
      </c>
      <c r="H55" s="109" t="s">
        <v>89</v>
      </c>
      <c r="I55" s="109" t="s">
        <v>89</v>
      </c>
      <c r="J55" s="48">
        <f t="shared" si="6"/>
        <v>100</v>
      </c>
      <c r="L55" s="51" t="s">
        <v>361</v>
      </c>
      <c r="M55" s="51" t="s">
        <v>317</v>
      </c>
    </row>
    <row r="56" spans="1:13" ht="21" customHeight="1" x14ac:dyDescent="0.15">
      <c r="A56" s="109">
        <v>48501055</v>
      </c>
      <c r="B56" s="109">
        <v>0</v>
      </c>
      <c r="C56" s="109">
        <v>2</v>
      </c>
      <c r="D56" s="109">
        <v>100</v>
      </c>
      <c r="E56" s="109">
        <v>30</v>
      </c>
      <c r="F56" s="109" t="s">
        <v>89</v>
      </c>
      <c r="G56" s="109">
        <v>1</v>
      </c>
      <c r="H56" s="109" t="s">
        <v>89</v>
      </c>
      <c r="I56" s="109" t="s">
        <v>89</v>
      </c>
      <c r="J56" s="48">
        <f t="shared" si="6"/>
        <v>100</v>
      </c>
      <c r="L56" s="51" t="s">
        <v>421</v>
      </c>
      <c r="M56" s="51" t="s">
        <v>258</v>
      </c>
    </row>
    <row r="57" spans="1:13" ht="21" customHeight="1" x14ac:dyDescent="0.15">
      <c r="A57" s="109">
        <v>48501056</v>
      </c>
      <c r="B57" s="109">
        <v>1</v>
      </c>
      <c r="C57" s="109" t="s">
        <v>53</v>
      </c>
      <c r="D57" s="109">
        <v>100</v>
      </c>
      <c r="E57" s="109" t="s">
        <v>89</v>
      </c>
      <c r="F57" s="109" t="s">
        <v>89</v>
      </c>
      <c r="G57" s="109">
        <v>1</v>
      </c>
      <c r="H57" s="109" t="s">
        <v>89</v>
      </c>
      <c r="I57" s="109" t="s">
        <v>89</v>
      </c>
      <c r="J57" s="48">
        <f t="shared" si="6"/>
        <v>100</v>
      </c>
      <c r="L57" s="51" t="s">
        <v>363</v>
      </c>
      <c r="M57" s="51" t="s">
        <v>314</v>
      </c>
    </row>
    <row r="58" spans="1:13" ht="21" customHeight="1" x14ac:dyDescent="0.15">
      <c r="A58" s="109">
        <v>48501057</v>
      </c>
      <c r="B58" s="109">
        <v>0</v>
      </c>
      <c r="C58" s="109" t="s">
        <v>53</v>
      </c>
      <c r="D58" s="109">
        <v>40</v>
      </c>
      <c r="E58" s="109" t="s">
        <v>89</v>
      </c>
      <c r="F58" s="109">
        <v>50</v>
      </c>
      <c r="G58" s="109" t="s">
        <v>89</v>
      </c>
      <c r="H58" s="109" t="s">
        <v>89</v>
      </c>
      <c r="I58" s="109" t="s">
        <v>89</v>
      </c>
      <c r="J58" s="48">
        <f t="shared" si="6"/>
        <v>40</v>
      </c>
      <c r="L58" s="51" t="s">
        <v>364</v>
      </c>
      <c r="M58" s="51" t="s">
        <v>319</v>
      </c>
    </row>
    <row r="59" spans="1:13" ht="21" customHeight="1" x14ac:dyDescent="0.15">
      <c r="A59" s="109">
        <v>48501058</v>
      </c>
      <c r="B59" s="109">
        <v>0</v>
      </c>
      <c r="C59" s="109" t="s">
        <v>53</v>
      </c>
      <c r="D59" s="109">
        <v>40</v>
      </c>
      <c r="E59" s="109" t="s">
        <v>89</v>
      </c>
      <c r="F59" s="109">
        <v>50</v>
      </c>
      <c r="G59" s="109" t="s">
        <v>89</v>
      </c>
      <c r="H59" s="109" t="s">
        <v>89</v>
      </c>
      <c r="I59" s="109" t="s">
        <v>89</v>
      </c>
      <c r="J59" s="48">
        <f t="shared" si="6"/>
        <v>40</v>
      </c>
      <c r="L59" s="51" t="s">
        <v>365</v>
      </c>
      <c r="M59" s="51" t="s">
        <v>320</v>
      </c>
    </row>
    <row r="60" spans="1:13" ht="21" customHeight="1" x14ac:dyDescent="0.15">
      <c r="A60" s="109">
        <v>48501059</v>
      </c>
      <c r="B60" s="109">
        <v>0</v>
      </c>
      <c r="C60" s="109" t="s">
        <v>53</v>
      </c>
      <c r="D60" s="109">
        <v>35</v>
      </c>
      <c r="E60" s="109" t="s">
        <v>89</v>
      </c>
      <c r="F60" s="109">
        <v>50</v>
      </c>
      <c r="G60" s="109" t="s">
        <v>89</v>
      </c>
      <c r="H60" s="109" t="s">
        <v>89</v>
      </c>
      <c r="I60" s="109" t="s">
        <v>89</v>
      </c>
      <c r="J60" s="48">
        <f t="shared" si="6"/>
        <v>35</v>
      </c>
      <c r="L60" s="51" t="s">
        <v>368</v>
      </c>
      <c r="M60" s="51" t="s">
        <v>370</v>
      </c>
    </row>
    <row r="61" spans="1:13" ht="21" customHeight="1" x14ac:dyDescent="0.15">
      <c r="A61" s="109">
        <v>48501060</v>
      </c>
      <c r="B61" s="109">
        <v>0</v>
      </c>
      <c r="C61" s="109" t="s">
        <v>53</v>
      </c>
      <c r="D61" s="109">
        <v>40</v>
      </c>
      <c r="E61" s="109">
        <v>50</v>
      </c>
      <c r="F61" s="109" t="s">
        <v>89</v>
      </c>
      <c r="G61" s="109" t="s">
        <v>89</v>
      </c>
      <c r="H61" s="109" t="s">
        <v>89</v>
      </c>
      <c r="I61" s="109" t="s">
        <v>89</v>
      </c>
      <c r="J61" s="48">
        <f t="shared" si="6"/>
        <v>40</v>
      </c>
      <c r="L61" s="51" t="s">
        <v>366</v>
      </c>
      <c r="M61" s="51" t="s">
        <v>320</v>
      </c>
    </row>
    <row r="62" spans="1:13" ht="21" customHeight="1" x14ac:dyDescent="0.15">
      <c r="A62" s="109">
        <v>48501061</v>
      </c>
      <c r="B62" s="109">
        <v>0</v>
      </c>
      <c r="C62" s="109" t="s">
        <v>53</v>
      </c>
      <c r="D62" s="109">
        <v>40</v>
      </c>
      <c r="E62" s="109">
        <v>50</v>
      </c>
      <c r="F62" s="109" t="s">
        <v>89</v>
      </c>
      <c r="G62" s="109" t="s">
        <v>89</v>
      </c>
      <c r="H62" s="109" t="s">
        <v>89</v>
      </c>
      <c r="I62" s="109" t="s">
        <v>89</v>
      </c>
      <c r="J62" s="48">
        <f t="shared" si="6"/>
        <v>40</v>
      </c>
      <c r="L62" s="51" t="s">
        <v>367</v>
      </c>
      <c r="M62" s="51" t="s">
        <v>322</v>
      </c>
    </row>
    <row r="63" spans="1:13" ht="21" customHeight="1" x14ac:dyDescent="0.15">
      <c r="A63" s="109">
        <v>48501062</v>
      </c>
      <c r="B63" s="109">
        <v>0</v>
      </c>
      <c r="C63" s="109" t="s">
        <v>53</v>
      </c>
      <c r="D63" s="109">
        <v>35</v>
      </c>
      <c r="E63" s="109">
        <v>50</v>
      </c>
      <c r="F63" s="109" t="s">
        <v>89</v>
      </c>
      <c r="G63" s="109" t="s">
        <v>89</v>
      </c>
      <c r="H63" s="109" t="s">
        <v>89</v>
      </c>
      <c r="I63" s="109" t="s">
        <v>89</v>
      </c>
      <c r="J63" s="48">
        <f t="shared" si="6"/>
        <v>35</v>
      </c>
      <c r="L63" s="51" t="s">
        <v>369</v>
      </c>
      <c r="M63" s="51" t="s">
        <v>370</v>
      </c>
    </row>
    <row r="64" spans="1:13" ht="21" customHeight="1" x14ac:dyDescent="0.15">
      <c r="A64" s="109">
        <v>48501063</v>
      </c>
      <c r="B64" s="109">
        <v>0</v>
      </c>
      <c r="C64" s="109">
        <v>1</v>
      </c>
      <c r="D64" s="109">
        <v>100</v>
      </c>
      <c r="E64" s="109" t="s">
        <v>89</v>
      </c>
      <c r="F64" s="109" t="s">
        <v>89</v>
      </c>
      <c r="G64" s="109" t="s">
        <v>89</v>
      </c>
      <c r="H64" s="109" t="s">
        <v>89</v>
      </c>
      <c r="I64" s="109" t="s">
        <v>89</v>
      </c>
      <c r="J64" s="48">
        <f t="shared" si="6"/>
        <v>100</v>
      </c>
      <c r="L64" s="51" t="s">
        <v>355</v>
      </c>
      <c r="M64" s="51" t="s">
        <v>333</v>
      </c>
    </row>
    <row r="65" spans="1:13" ht="21" customHeight="1" x14ac:dyDescent="0.15">
      <c r="A65" s="109">
        <v>48501064</v>
      </c>
      <c r="B65" s="109">
        <v>0</v>
      </c>
      <c r="C65" s="109">
        <v>2</v>
      </c>
      <c r="D65" s="109">
        <v>50</v>
      </c>
      <c r="E65" s="109">
        <v>50</v>
      </c>
      <c r="F65" s="109" t="s">
        <v>89</v>
      </c>
      <c r="G65" s="109" t="s">
        <v>89</v>
      </c>
      <c r="H65" s="109" t="s">
        <v>89</v>
      </c>
      <c r="I65" s="109" t="s">
        <v>89</v>
      </c>
      <c r="J65" s="48">
        <f t="shared" si="6"/>
        <v>50</v>
      </c>
      <c r="L65" s="51" t="s">
        <v>356</v>
      </c>
      <c r="M65" s="51" t="s">
        <v>321</v>
      </c>
    </row>
    <row r="66" spans="1:13" ht="21" customHeight="1" x14ac:dyDescent="0.15">
      <c r="A66" s="107">
        <v>48501065</v>
      </c>
      <c r="B66" s="109">
        <v>1</v>
      </c>
      <c r="C66" s="109">
        <v>1</v>
      </c>
      <c r="D66" s="109">
        <v>100</v>
      </c>
      <c r="E66" s="109" t="s">
        <v>89</v>
      </c>
      <c r="F66" s="109" t="s">
        <v>89</v>
      </c>
      <c r="G66" s="109">
        <v>1</v>
      </c>
      <c r="H66" s="109" t="s">
        <v>89</v>
      </c>
      <c r="I66" s="109" t="s">
        <v>89</v>
      </c>
      <c r="J66" s="48">
        <f t="shared" si="6"/>
        <v>100</v>
      </c>
      <c r="L66" s="51" t="s">
        <v>334</v>
      </c>
      <c r="M66" s="51" t="s">
        <v>371</v>
      </c>
    </row>
    <row r="67" spans="1:13" ht="21" customHeight="1" x14ac:dyDescent="0.15">
      <c r="A67" s="107">
        <v>48501066</v>
      </c>
      <c r="B67" s="109">
        <v>1</v>
      </c>
      <c r="C67" s="109">
        <v>2</v>
      </c>
      <c r="D67" s="109">
        <v>100</v>
      </c>
      <c r="E67" s="109" t="s">
        <v>53</v>
      </c>
      <c r="F67" s="109" t="s">
        <v>53</v>
      </c>
      <c r="G67" s="109">
        <v>1</v>
      </c>
      <c r="H67" s="109" t="s">
        <v>53</v>
      </c>
      <c r="I67" s="109">
        <v>5001</v>
      </c>
      <c r="J67" s="48">
        <v>100</v>
      </c>
      <c r="L67" s="51" t="s">
        <v>335</v>
      </c>
      <c r="M67" s="51" t="s">
        <v>371</v>
      </c>
    </row>
    <row r="68" spans="1:13" ht="21" customHeight="1" x14ac:dyDescent="0.15">
      <c r="A68" s="107">
        <v>48501067</v>
      </c>
      <c r="B68" s="109">
        <v>1</v>
      </c>
      <c r="C68" s="109">
        <v>3</v>
      </c>
      <c r="D68" s="109">
        <v>100</v>
      </c>
      <c r="E68" s="109" t="s">
        <v>53</v>
      </c>
      <c r="F68" s="109" t="s">
        <v>53</v>
      </c>
      <c r="G68" s="109">
        <v>1</v>
      </c>
      <c r="H68" s="109" t="s">
        <v>53</v>
      </c>
      <c r="I68" s="109">
        <v>5002</v>
      </c>
      <c r="J68" s="48">
        <v>100</v>
      </c>
      <c r="L68" s="51" t="s">
        <v>336</v>
      </c>
      <c r="M68" s="51" t="s">
        <v>371</v>
      </c>
    </row>
    <row r="69" spans="1:13" ht="21" customHeight="1" x14ac:dyDescent="0.15">
      <c r="A69" s="109">
        <v>48501068</v>
      </c>
      <c r="B69" s="109">
        <v>0</v>
      </c>
      <c r="C69" s="109">
        <v>4</v>
      </c>
      <c r="D69" s="109">
        <v>100</v>
      </c>
      <c r="E69" s="109" t="s">
        <v>89</v>
      </c>
      <c r="F69" s="109" t="s">
        <v>89</v>
      </c>
      <c r="G69" s="109">
        <v>1</v>
      </c>
      <c r="H69" s="109">
        <v>1</v>
      </c>
      <c r="I69" s="109" t="s">
        <v>89</v>
      </c>
      <c r="J69" s="48">
        <f t="shared" ref="J69:J97" si="7">D69</f>
        <v>100</v>
      </c>
      <c r="L69" s="51" t="s">
        <v>281</v>
      </c>
      <c r="M69" s="51" t="s">
        <v>323</v>
      </c>
    </row>
    <row r="70" spans="1:13" ht="21" customHeight="1" x14ac:dyDescent="0.15">
      <c r="A70" s="109">
        <v>48501069</v>
      </c>
      <c r="B70" s="109">
        <v>0</v>
      </c>
      <c r="C70" s="109" t="s">
        <v>53</v>
      </c>
      <c r="D70" s="109">
        <v>50</v>
      </c>
      <c r="E70" s="109" t="s">
        <v>89</v>
      </c>
      <c r="F70" s="109">
        <v>50</v>
      </c>
      <c r="G70" s="109" t="s">
        <v>89</v>
      </c>
      <c r="H70" s="109" t="s">
        <v>89</v>
      </c>
      <c r="I70" s="109" t="s">
        <v>89</v>
      </c>
      <c r="J70" s="48">
        <f t="shared" si="7"/>
        <v>50</v>
      </c>
      <c r="L70" s="51" t="s">
        <v>283</v>
      </c>
      <c r="M70" s="51" t="s">
        <v>324</v>
      </c>
    </row>
    <row r="71" spans="1:13" ht="21" customHeight="1" x14ac:dyDescent="0.15">
      <c r="A71" s="109">
        <v>48501070</v>
      </c>
      <c r="B71" s="109">
        <v>0</v>
      </c>
      <c r="C71" s="109">
        <v>5</v>
      </c>
      <c r="D71" s="109">
        <v>100</v>
      </c>
      <c r="E71" s="109">
        <v>50</v>
      </c>
      <c r="F71" s="109" t="s">
        <v>89</v>
      </c>
      <c r="G71" s="109">
        <v>1</v>
      </c>
      <c r="H71" s="109" t="s">
        <v>89</v>
      </c>
      <c r="I71" s="109" t="s">
        <v>89</v>
      </c>
      <c r="J71" s="48">
        <f t="shared" si="7"/>
        <v>100</v>
      </c>
      <c r="L71" s="51" t="s">
        <v>285</v>
      </c>
      <c r="M71" s="51" t="s">
        <v>325</v>
      </c>
    </row>
    <row r="72" spans="1:13" ht="21" customHeight="1" x14ac:dyDescent="0.15">
      <c r="A72" s="109">
        <v>48501071</v>
      </c>
      <c r="B72" s="109">
        <v>0</v>
      </c>
      <c r="C72" s="109" t="s">
        <v>169</v>
      </c>
      <c r="D72" s="109">
        <v>50</v>
      </c>
      <c r="E72" s="109">
        <v>50</v>
      </c>
      <c r="F72" s="109" t="s">
        <v>89</v>
      </c>
      <c r="G72" s="109" t="s">
        <v>89</v>
      </c>
      <c r="H72" s="109" t="s">
        <v>89</v>
      </c>
      <c r="I72" s="109" t="s">
        <v>89</v>
      </c>
      <c r="J72" s="48">
        <f t="shared" si="7"/>
        <v>50</v>
      </c>
      <c r="L72" s="51" t="s">
        <v>287</v>
      </c>
      <c r="M72" s="51" t="s">
        <v>324</v>
      </c>
    </row>
    <row r="73" spans="1:13" ht="21" customHeight="1" x14ac:dyDescent="0.15">
      <c r="A73" s="109">
        <v>48501072</v>
      </c>
      <c r="B73" s="109">
        <v>1</v>
      </c>
      <c r="C73" s="109" t="s">
        <v>53</v>
      </c>
      <c r="D73" s="109">
        <v>100</v>
      </c>
      <c r="E73" s="109" t="s">
        <v>89</v>
      </c>
      <c r="F73" s="109" t="s">
        <v>89</v>
      </c>
      <c r="G73" s="109">
        <v>1</v>
      </c>
      <c r="H73" s="109" t="s">
        <v>89</v>
      </c>
      <c r="I73" s="109" t="s">
        <v>89</v>
      </c>
      <c r="J73" s="48">
        <f t="shared" si="7"/>
        <v>100</v>
      </c>
      <c r="L73" s="51" t="s">
        <v>288</v>
      </c>
      <c r="M73" s="51" t="s">
        <v>348</v>
      </c>
    </row>
    <row r="74" spans="1:13" ht="21" customHeight="1" x14ac:dyDescent="0.15">
      <c r="A74" s="109">
        <v>48501073</v>
      </c>
      <c r="B74" s="109">
        <v>0</v>
      </c>
      <c r="C74" s="109" t="s">
        <v>53</v>
      </c>
      <c r="D74" s="109">
        <v>35</v>
      </c>
      <c r="E74" s="109" t="s">
        <v>89</v>
      </c>
      <c r="F74" s="109">
        <v>50</v>
      </c>
      <c r="G74" s="109" t="s">
        <v>89</v>
      </c>
      <c r="H74" s="109" t="s">
        <v>89</v>
      </c>
      <c r="I74" s="109" t="s">
        <v>89</v>
      </c>
      <c r="J74" s="48">
        <f t="shared" si="7"/>
        <v>35</v>
      </c>
      <c r="L74" s="51" t="s">
        <v>289</v>
      </c>
      <c r="M74" s="51" t="s">
        <v>331</v>
      </c>
    </row>
    <row r="75" spans="1:13" ht="21" customHeight="1" x14ac:dyDescent="0.15">
      <c r="A75" s="109">
        <v>48501074</v>
      </c>
      <c r="B75" s="109">
        <v>0</v>
      </c>
      <c r="C75" s="109" t="s">
        <v>53</v>
      </c>
      <c r="D75" s="109">
        <v>35</v>
      </c>
      <c r="E75" s="109" t="s">
        <v>89</v>
      </c>
      <c r="F75" s="109">
        <v>50</v>
      </c>
      <c r="G75" s="109" t="s">
        <v>89</v>
      </c>
      <c r="H75" s="109" t="s">
        <v>89</v>
      </c>
      <c r="I75" s="109" t="s">
        <v>89</v>
      </c>
      <c r="J75" s="48">
        <f t="shared" si="7"/>
        <v>35</v>
      </c>
      <c r="L75" s="51" t="s">
        <v>289</v>
      </c>
      <c r="M75" s="51" t="s">
        <v>349</v>
      </c>
    </row>
    <row r="76" spans="1:13" ht="21" customHeight="1" x14ac:dyDescent="0.15">
      <c r="A76" s="109">
        <v>48501075</v>
      </c>
      <c r="B76" s="109">
        <v>0</v>
      </c>
      <c r="C76" s="109" t="s">
        <v>53</v>
      </c>
      <c r="D76" s="109">
        <v>20</v>
      </c>
      <c r="E76" s="109" t="s">
        <v>89</v>
      </c>
      <c r="F76" s="109">
        <v>50</v>
      </c>
      <c r="G76" s="109" t="s">
        <v>89</v>
      </c>
      <c r="H76" s="109" t="s">
        <v>89</v>
      </c>
      <c r="I76" s="109" t="s">
        <v>89</v>
      </c>
      <c r="J76" s="48">
        <f t="shared" si="7"/>
        <v>20</v>
      </c>
      <c r="L76" s="51" t="s">
        <v>289</v>
      </c>
      <c r="M76" s="51" t="s">
        <v>326</v>
      </c>
    </row>
    <row r="77" spans="1:13" ht="21" customHeight="1" x14ac:dyDescent="0.15">
      <c r="A77" s="109">
        <v>48501076</v>
      </c>
      <c r="B77" s="109">
        <v>0</v>
      </c>
      <c r="C77" s="109" t="s">
        <v>53</v>
      </c>
      <c r="D77" s="109">
        <v>100</v>
      </c>
      <c r="E77" s="109">
        <v>50</v>
      </c>
      <c r="F77" s="109" t="s">
        <v>89</v>
      </c>
      <c r="G77" s="109">
        <v>1</v>
      </c>
      <c r="H77" s="109" t="s">
        <v>89</v>
      </c>
      <c r="I77" s="109" t="s">
        <v>89</v>
      </c>
      <c r="J77" s="48">
        <f t="shared" si="7"/>
        <v>100</v>
      </c>
      <c r="L77" s="51" t="s">
        <v>291</v>
      </c>
      <c r="M77" s="51" t="s">
        <v>350</v>
      </c>
    </row>
    <row r="78" spans="1:13" ht="21" customHeight="1" x14ac:dyDescent="0.15">
      <c r="A78" s="109">
        <v>48501077</v>
      </c>
      <c r="B78" s="109">
        <v>0</v>
      </c>
      <c r="C78" s="109" t="s">
        <v>53</v>
      </c>
      <c r="D78" s="109">
        <v>35</v>
      </c>
      <c r="E78" s="109">
        <v>50</v>
      </c>
      <c r="F78" s="109" t="s">
        <v>89</v>
      </c>
      <c r="G78" s="109" t="s">
        <v>89</v>
      </c>
      <c r="H78" s="109" t="s">
        <v>89</v>
      </c>
      <c r="I78" s="109" t="s">
        <v>89</v>
      </c>
      <c r="J78" s="48">
        <f t="shared" si="7"/>
        <v>35</v>
      </c>
      <c r="L78" s="51" t="s">
        <v>292</v>
      </c>
      <c r="M78" s="51" t="s">
        <v>331</v>
      </c>
    </row>
    <row r="79" spans="1:13" ht="21" customHeight="1" x14ac:dyDescent="0.15">
      <c r="A79" s="109">
        <v>48501078</v>
      </c>
      <c r="B79" s="109">
        <v>0</v>
      </c>
      <c r="C79" s="109" t="s">
        <v>53</v>
      </c>
      <c r="D79" s="109">
        <v>35</v>
      </c>
      <c r="E79" s="109">
        <v>50</v>
      </c>
      <c r="F79" s="109" t="s">
        <v>89</v>
      </c>
      <c r="G79" s="109" t="s">
        <v>89</v>
      </c>
      <c r="H79" s="109" t="s">
        <v>89</v>
      </c>
      <c r="I79" s="109" t="s">
        <v>89</v>
      </c>
      <c r="J79" s="48">
        <f t="shared" si="7"/>
        <v>35</v>
      </c>
      <c r="L79" s="51" t="s">
        <v>292</v>
      </c>
      <c r="M79" s="51" t="s">
        <v>349</v>
      </c>
    </row>
    <row r="80" spans="1:13" ht="21" customHeight="1" x14ac:dyDescent="0.15">
      <c r="A80" s="109">
        <v>48501079</v>
      </c>
      <c r="B80" s="109">
        <v>0</v>
      </c>
      <c r="C80" s="109" t="s">
        <v>53</v>
      </c>
      <c r="D80" s="109">
        <v>20</v>
      </c>
      <c r="E80" s="109">
        <v>50</v>
      </c>
      <c r="F80" s="109" t="s">
        <v>89</v>
      </c>
      <c r="G80" s="109" t="s">
        <v>89</v>
      </c>
      <c r="H80" s="109" t="s">
        <v>89</v>
      </c>
      <c r="I80" s="109" t="s">
        <v>89</v>
      </c>
      <c r="J80" s="48">
        <f t="shared" si="7"/>
        <v>20</v>
      </c>
      <c r="L80" s="51" t="s">
        <v>292</v>
      </c>
      <c r="M80" s="51" t="s">
        <v>326</v>
      </c>
    </row>
    <row r="81" spans="1:13" ht="21" customHeight="1" x14ac:dyDescent="0.15">
      <c r="A81" s="109">
        <v>48501080</v>
      </c>
      <c r="B81" s="109">
        <v>0</v>
      </c>
      <c r="C81" s="109" t="s">
        <v>53</v>
      </c>
      <c r="D81" s="109">
        <v>70</v>
      </c>
      <c r="E81" s="109">
        <v>50</v>
      </c>
      <c r="F81" s="109" t="s">
        <v>89</v>
      </c>
      <c r="G81" s="109">
        <v>1</v>
      </c>
      <c r="H81" s="109" t="s">
        <v>89</v>
      </c>
      <c r="I81" s="109" t="s">
        <v>89</v>
      </c>
      <c r="J81" s="48">
        <f t="shared" si="7"/>
        <v>70</v>
      </c>
      <c r="L81" s="51" t="s">
        <v>292</v>
      </c>
      <c r="M81" s="51" t="s">
        <v>293</v>
      </c>
    </row>
    <row r="82" spans="1:13" ht="21" customHeight="1" x14ac:dyDescent="0.15">
      <c r="A82" s="107">
        <v>48501081</v>
      </c>
      <c r="B82" s="109">
        <v>1</v>
      </c>
      <c r="C82" s="109">
        <v>1</v>
      </c>
      <c r="D82" s="109">
        <v>100</v>
      </c>
      <c r="E82" s="109" t="s">
        <v>89</v>
      </c>
      <c r="F82" s="109" t="s">
        <v>89</v>
      </c>
      <c r="G82" s="109">
        <v>1</v>
      </c>
      <c r="H82" s="109" t="s">
        <v>89</v>
      </c>
      <c r="I82" s="109" t="s">
        <v>89</v>
      </c>
      <c r="J82" s="48">
        <f t="shared" si="7"/>
        <v>100</v>
      </c>
      <c r="L82" s="51" t="s">
        <v>337</v>
      </c>
      <c r="M82" s="51" t="s">
        <v>351</v>
      </c>
    </row>
    <row r="83" spans="1:13" ht="21" customHeight="1" x14ac:dyDescent="0.15">
      <c r="A83" s="107">
        <v>48501082</v>
      </c>
      <c r="B83" s="109">
        <v>1</v>
      </c>
      <c r="C83" s="109">
        <v>2</v>
      </c>
      <c r="D83" s="109">
        <v>100</v>
      </c>
      <c r="E83" s="109" t="s">
        <v>53</v>
      </c>
      <c r="F83" s="109" t="s">
        <v>53</v>
      </c>
      <c r="G83" s="109">
        <v>1</v>
      </c>
      <c r="H83" s="109" t="s">
        <v>53</v>
      </c>
      <c r="I83" s="109">
        <v>5001</v>
      </c>
      <c r="J83" s="48">
        <f t="shared" si="7"/>
        <v>100</v>
      </c>
      <c r="L83" s="51" t="s">
        <v>338</v>
      </c>
      <c r="M83" s="51" t="s">
        <v>351</v>
      </c>
    </row>
    <row r="84" spans="1:13" ht="21" customHeight="1" x14ac:dyDescent="0.15">
      <c r="A84" s="107">
        <v>48501083</v>
      </c>
      <c r="B84" s="109">
        <v>1</v>
      </c>
      <c r="C84" s="109">
        <v>3</v>
      </c>
      <c r="D84" s="109">
        <v>100</v>
      </c>
      <c r="E84" s="109" t="s">
        <v>53</v>
      </c>
      <c r="F84" s="109" t="s">
        <v>53</v>
      </c>
      <c r="G84" s="109">
        <v>1</v>
      </c>
      <c r="H84" s="109" t="s">
        <v>53</v>
      </c>
      <c r="I84" s="109">
        <v>5002</v>
      </c>
      <c r="J84" s="48">
        <f t="shared" si="7"/>
        <v>100</v>
      </c>
      <c r="L84" s="51" t="s">
        <v>339</v>
      </c>
      <c r="M84" s="51" t="s">
        <v>351</v>
      </c>
    </row>
    <row r="85" spans="1:13" ht="21" customHeight="1" x14ac:dyDescent="0.15">
      <c r="A85" s="109">
        <v>48501084</v>
      </c>
      <c r="B85" s="109">
        <v>0</v>
      </c>
      <c r="C85" s="109" t="s">
        <v>53</v>
      </c>
      <c r="D85" s="109">
        <v>35</v>
      </c>
      <c r="E85" s="109" t="s">
        <v>89</v>
      </c>
      <c r="F85" s="109">
        <v>50</v>
      </c>
      <c r="G85" s="109" t="s">
        <v>89</v>
      </c>
      <c r="H85" s="109" t="s">
        <v>89</v>
      </c>
      <c r="I85" s="109" t="s">
        <v>89</v>
      </c>
      <c r="J85" s="48">
        <f t="shared" si="7"/>
        <v>35</v>
      </c>
      <c r="L85" s="51" t="s">
        <v>296</v>
      </c>
      <c r="M85" s="51" t="s">
        <v>352</v>
      </c>
    </row>
    <row r="86" spans="1:13" ht="21" customHeight="1" x14ac:dyDescent="0.15">
      <c r="A86" s="109">
        <v>48501085</v>
      </c>
      <c r="B86" s="109">
        <v>0</v>
      </c>
      <c r="C86" s="109" t="s">
        <v>310</v>
      </c>
      <c r="D86" s="109">
        <v>35</v>
      </c>
      <c r="E86" s="109" t="s">
        <v>89</v>
      </c>
      <c r="F86" s="109">
        <v>50</v>
      </c>
      <c r="G86" s="109" t="s">
        <v>89</v>
      </c>
      <c r="H86" s="109" t="s">
        <v>89</v>
      </c>
      <c r="I86" s="109" t="s">
        <v>89</v>
      </c>
      <c r="J86" s="48">
        <f t="shared" si="7"/>
        <v>35</v>
      </c>
      <c r="L86" s="51" t="s">
        <v>296</v>
      </c>
      <c r="M86" s="51" t="s">
        <v>298</v>
      </c>
    </row>
    <row r="87" spans="1:13" ht="21" customHeight="1" x14ac:dyDescent="0.15">
      <c r="A87" s="109">
        <v>48501086</v>
      </c>
      <c r="B87" s="109">
        <v>0</v>
      </c>
      <c r="C87" s="109" t="s">
        <v>53</v>
      </c>
      <c r="D87" s="109">
        <v>20</v>
      </c>
      <c r="E87" s="109" t="s">
        <v>89</v>
      </c>
      <c r="F87" s="109">
        <v>50</v>
      </c>
      <c r="G87" s="109" t="s">
        <v>89</v>
      </c>
      <c r="H87" s="109" t="s">
        <v>89</v>
      </c>
      <c r="I87" s="109" t="s">
        <v>89</v>
      </c>
      <c r="J87" s="48">
        <f t="shared" si="7"/>
        <v>20</v>
      </c>
      <c r="L87" s="51" t="s">
        <v>296</v>
      </c>
      <c r="M87" s="51" t="s">
        <v>326</v>
      </c>
    </row>
    <row r="88" spans="1:13" ht="21" customHeight="1" x14ac:dyDescent="0.15">
      <c r="A88" s="109">
        <v>48501087</v>
      </c>
      <c r="B88" s="109">
        <v>0</v>
      </c>
      <c r="C88" s="109">
        <v>1</v>
      </c>
      <c r="D88" s="109">
        <v>100</v>
      </c>
      <c r="E88" s="109">
        <v>75</v>
      </c>
      <c r="F88" s="109" t="s">
        <v>89</v>
      </c>
      <c r="G88" s="109">
        <v>1</v>
      </c>
      <c r="H88" s="109" t="s">
        <v>89</v>
      </c>
      <c r="I88" s="109" t="s">
        <v>89</v>
      </c>
      <c r="J88" s="48">
        <f t="shared" si="7"/>
        <v>100</v>
      </c>
      <c r="L88" s="51" t="s">
        <v>300</v>
      </c>
      <c r="M88" s="51" t="s">
        <v>327</v>
      </c>
    </row>
    <row r="89" spans="1:13" ht="21" customHeight="1" x14ac:dyDescent="0.15">
      <c r="A89" s="109">
        <v>48501088</v>
      </c>
      <c r="B89" s="109">
        <v>0</v>
      </c>
      <c r="C89" s="109" t="s">
        <v>169</v>
      </c>
      <c r="D89" s="109">
        <v>35</v>
      </c>
      <c r="E89" s="109">
        <v>50</v>
      </c>
      <c r="F89" s="109" t="s">
        <v>89</v>
      </c>
      <c r="G89" s="109" t="s">
        <v>89</v>
      </c>
      <c r="H89" s="109" t="s">
        <v>89</v>
      </c>
      <c r="I89" s="109" t="s">
        <v>89</v>
      </c>
      <c r="J89" s="48">
        <f t="shared" si="7"/>
        <v>35</v>
      </c>
      <c r="L89" s="51" t="s">
        <v>299</v>
      </c>
      <c r="M89" s="51" t="s">
        <v>353</v>
      </c>
    </row>
    <row r="90" spans="1:13" ht="21" customHeight="1" x14ac:dyDescent="0.15">
      <c r="A90" s="109">
        <v>48501089</v>
      </c>
      <c r="B90" s="109">
        <v>0</v>
      </c>
      <c r="C90" s="109" t="s">
        <v>169</v>
      </c>
      <c r="D90" s="109">
        <v>35</v>
      </c>
      <c r="E90" s="109">
        <v>50</v>
      </c>
      <c r="F90" s="109" t="s">
        <v>89</v>
      </c>
      <c r="G90" s="109" t="s">
        <v>89</v>
      </c>
      <c r="H90" s="109" t="s">
        <v>89</v>
      </c>
      <c r="I90" s="109" t="s">
        <v>89</v>
      </c>
      <c r="J90" s="48">
        <f t="shared" si="7"/>
        <v>35</v>
      </c>
      <c r="L90" s="51" t="s">
        <v>299</v>
      </c>
      <c r="M90" s="51" t="s">
        <v>328</v>
      </c>
    </row>
    <row r="91" spans="1:13" ht="21" customHeight="1" x14ac:dyDescent="0.15">
      <c r="A91" s="109">
        <v>48501090</v>
      </c>
      <c r="B91" s="109">
        <v>0</v>
      </c>
      <c r="C91" s="109" t="s">
        <v>169</v>
      </c>
      <c r="D91" s="109">
        <v>70</v>
      </c>
      <c r="E91" s="109">
        <v>50</v>
      </c>
      <c r="F91" s="109" t="s">
        <v>89</v>
      </c>
      <c r="G91" s="109">
        <v>1</v>
      </c>
      <c r="H91" s="109" t="s">
        <v>89</v>
      </c>
      <c r="I91" s="109" t="s">
        <v>89</v>
      </c>
      <c r="J91" s="48">
        <f t="shared" si="7"/>
        <v>70</v>
      </c>
      <c r="L91" s="51" t="s">
        <v>299</v>
      </c>
      <c r="M91" s="51" t="s">
        <v>293</v>
      </c>
    </row>
    <row r="92" spans="1:13" ht="21" customHeight="1" x14ac:dyDescent="0.15">
      <c r="A92" s="109">
        <v>48501091</v>
      </c>
      <c r="B92" s="109">
        <v>0</v>
      </c>
      <c r="C92" s="109">
        <v>2</v>
      </c>
      <c r="D92" s="109">
        <v>100</v>
      </c>
      <c r="E92" s="109">
        <v>50</v>
      </c>
      <c r="F92" s="109" t="s">
        <v>89</v>
      </c>
      <c r="G92" s="109">
        <v>1</v>
      </c>
      <c r="H92" s="109" t="s">
        <v>89</v>
      </c>
      <c r="I92" s="109" t="s">
        <v>89</v>
      </c>
      <c r="J92" s="48">
        <f t="shared" si="7"/>
        <v>100</v>
      </c>
      <c r="L92" s="51" t="s">
        <v>304</v>
      </c>
      <c r="M92" s="51" t="s">
        <v>354</v>
      </c>
    </row>
    <row r="93" spans="1:13" ht="21" customHeight="1" x14ac:dyDescent="0.15">
      <c r="A93" s="109">
        <v>48501092</v>
      </c>
      <c r="B93" s="109">
        <v>0</v>
      </c>
      <c r="C93" s="109">
        <v>4</v>
      </c>
      <c r="D93" s="109">
        <v>100</v>
      </c>
      <c r="E93" s="109">
        <v>25</v>
      </c>
      <c r="F93" s="109" t="s">
        <v>89</v>
      </c>
      <c r="G93" s="109">
        <v>1</v>
      </c>
      <c r="H93" s="109" t="s">
        <v>89</v>
      </c>
      <c r="I93" s="109" t="s">
        <v>89</v>
      </c>
      <c r="J93" s="48">
        <f t="shared" si="7"/>
        <v>100</v>
      </c>
      <c r="L93" s="51" t="s">
        <v>306</v>
      </c>
      <c r="M93" s="51" t="s">
        <v>329</v>
      </c>
    </row>
    <row r="94" spans="1:13" ht="21" customHeight="1" x14ac:dyDescent="0.15">
      <c r="A94" s="109">
        <v>48501093</v>
      </c>
      <c r="B94" s="109">
        <v>0</v>
      </c>
      <c r="C94" s="109">
        <v>3</v>
      </c>
      <c r="D94" s="109">
        <v>100</v>
      </c>
      <c r="E94" s="109">
        <v>25</v>
      </c>
      <c r="F94" s="109" t="s">
        <v>89</v>
      </c>
      <c r="G94" s="109">
        <v>1</v>
      </c>
      <c r="H94" s="109" t="s">
        <v>89</v>
      </c>
      <c r="I94" s="109" t="s">
        <v>89</v>
      </c>
      <c r="J94" s="48">
        <f t="shared" si="7"/>
        <v>100</v>
      </c>
      <c r="L94" s="51" t="s">
        <v>306</v>
      </c>
      <c r="M94" s="51" t="s">
        <v>330</v>
      </c>
    </row>
    <row r="95" spans="1:13" ht="21" customHeight="1" x14ac:dyDescent="0.15">
      <c r="A95" s="107">
        <v>48501094</v>
      </c>
      <c r="B95" s="109">
        <v>0</v>
      </c>
      <c r="C95" s="109">
        <v>5</v>
      </c>
      <c r="D95" s="109">
        <v>100</v>
      </c>
      <c r="E95" s="109" t="s">
        <v>169</v>
      </c>
      <c r="F95" s="109" t="s">
        <v>53</v>
      </c>
      <c r="G95" s="109">
        <v>0</v>
      </c>
      <c r="H95" s="109" t="s">
        <v>53</v>
      </c>
      <c r="I95" s="109">
        <v>0</v>
      </c>
      <c r="J95" s="48">
        <f t="shared" si="7"/>
        <v>100</v>
      </c>
      <c r="L95" s="51" t="s">
        <v>342</v>
      </c>
      <c r="M95" s="51" t="s">
        <v>343</v>
      </c>
    </row>
    <row r="96" spans="1:13" ht="21" customHeight="1" x14ac:dyDescent="0.15">
      <c r="A96" s="107">
        <v>48501095</v>
      </c>
      <c r="B96" s="109">
        <v>0</v>
      </c>
      <c r="C96" s="109">
        <v>6</v>
      </c>
      <c r="D96" s="109">
        <v>100</v>
      </c>
      <c r="E96" s="109" t="s">
        <v>169</v>
      </c>
      <c r="F96" s="109" t="s">
        <v>53</v>
      </c>
      <c r="G96" s="109">
        <v>0</v>
      </c>
      <c r="H96" s="109" t="s">
        <v>53</v>
      </c>
      <c r="I96" s="109">
        <v>5001</v>
      </c>
      <c r="J96" s="48">
        <f t="shared" si="7"/>
        <v>100</v>
      </c>
      <c r="L96" s="51" t="s">
        <v>340</v>
      </c>
      <c r="M96" s="51" t="s">
        <v>344</v>
      </c>
    </row>
    <row r="97" spans="1:13" ht="21" customHeight="1" x14ac:dyDescent="0.15">
      <c r="A97" s="107">
        <v>48501096</v>
      </c>
      <c r="B97" s="109">
        <v>0</v>
      </c>
      <c r="C97" s="109">
        <v>7</v>
      </c>
      <c r="D97" s="109">
        <v>100</v>
      </c>
      <c r="E97" s="109" t="s">
        <v>169</v>
      </c>
      <c r="F97" s="109" t="s">
        <v>53</v>
      </c>
      <c r="G97" s="109">
        <v>0</v>
      </c>
      <c r="H97" s="109" t="s">
        <v>53</v>
      </c>
      <c r="I97" s="109">
        <v>5002</v>
      </c>
      <c r="J97" s="48">
        <f t="shared" si="7"/>
        <v>100</v>
      </c>
      <c r="L97" s="51" t="s">
        <v>341</v>
      </c>
      <c r="M97" s="51" t="s">
        <v>345</v>
      </c>
    </row>
  </sheetData>
  <autoFilter ref="A1:G1"/>
  <phoneticPr fontId="5"/>
  <conditionalFormatting sqref="K47:K49 K1 K98:K1048576">
    <cfRule type="duplicateValues" dxfId="23" priority="24"/>
  </conditionalFormatting>
  <conditionalFormatting sqref="K11:K18 K21:K34 K37:K44">
    <cfRule type="duplicateValues" dxfId="22" priority="23"/>
  </conditionalFormatting>
  <conditionalFormatting sqref="K45">
    <cfRule type="duplicateValues" dxfId="21" priority="22"/>
  </conditionalFormatting>
  <conditionalFormatting sqref="K46">
    <cfRule type="duplicateValues" dxfId="20" priority="21"/>
  </conditionalFormatting>
  <conditionalFormatting sqref="K2">
    <cfRule type="duplicateValues" dxfId="19" priority="20"/>
  </conditionalFormatting>
  <conditionalFormatting sqref="K4">
    <cfRule type="duplicateValues" dxfId="18" priority="19"/>
  </conditionalFormatting>
  <conditionalFormatting sqref="K5:K10">
    <cfRule type="duplicateValues" dxfId="17" priority="18"/>
  </conditionalFormatting>
  <conditionalFormatting sqref="K3">
    <cfRule type="duplicateValues" dxfId="16" priority="17"/>
  </conditionalFormatting>
  <conditionalFormatting sqref="K19">
    <cfRule type="duplicateValues" dxfId="15" priority="16"/>
  </conditionalFormatting>
  <conditionalFormatting sqref="K20">
    <cfRule type="duplicateValues" dxfId="14" priority="15"/>
  </conditionalFormatting>
  <conditionalFormatting sqref="K36">
    <cfRule type="duplicateValues" dxfId="13" priority="14"/>
  </conditionalFormatting>
  <conditionalFormatting sqref="K35">
    <cfRule type="duplicateValues" dxfId="12" priority="13"/>
  </conditionalFormatting>
  <conditionalFormatting sqref="K95:K97">
    <cfRule type="duplicateValues" dxfId="11" priority="12"/>
  </conditionalFormatting>
  <conditionalFormatting sqref="K59:K66 K69:K82 K85:K92">
    <cfRule type="duplicateValues" dxfId="10" priority="11"/>
  </conditionalFormatting>
  <conditionalFormatting sqref="K93">
    <cfRule type="duplicateValues" dxfId="9" priority="10"/>
  </conditionalFormatting>
  <conditionalFormatting sqref="K94">
    <cfRule type="duplicateValues" dxfId="8" priority="9"/>
  </conditionalFormatting>
  <conditionalFormatting sqref="K50">
    <cfRule type="duplicateValues" dxfId="7" priority="8"/>
  </conditionalFormatting>
  <conditionalFormatting sqref="K52">
    <cfRule type="duplicateValues" dxfId="6" priority="7"/>
  </conditionalFormatting>
  <conditionalFormatting sqref="K53:K58">
    <cfRule type="duplicateValues" dxfId="5" priority="6"/>
  </conditionalFormatting>
  <conditionalFormatting sqref="K51">
    <cfRule type="duplicateValues" dxfId="4" priority="5"/>
  </conditionalFormatting>
  <conditionalFormatting sqref="K67">
    <cfRule type="duplicateValues" dxfId="3" priority="4"/>
  </conditionalFormatting>
  <conditionalFormatting sqref="K68">
    <cfRule type="duplicateValues" dxfId="2" priority="3"/>
  </conditionalFormatting>
  <conditionalFormatting sqref="K84">
    <cfRule type="duplicateValues" dxfId="1" priority="2"/>
  </conditionalFormatting>
  <conditionalFormatting sqref="K8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97"/>
  <sheetViews>
    <sheetView showGridLines="0" zoomScale="130" zoomScaleNormal="130" zoomScalePageLayoutView="130" workbookViewId="0">
      <pane xSplit="5" ySplit="1" topLeftCell="F28" activePane="bottomRight" state="frozen"/>
      <selection pane="topRight"/>
      <selection pane="bottomLeft"/>
      <selection pane="bottomRight" activeCell="E11" sqref="E11"/>
    </sheetView>
  </sheetViews>
  <sheetFormatPr baseColWidth="12" defaultColWidth="12.83203125" defaultRowHeight="21" customHeight="1" outlineLevelCol="1" x14ac:dyDescent="0.15"/>
  <cols>
    <col min="1" max="1" width="15.33203125" style="39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hidden="1" customWidth="1"/>
    <col min="17" max="17" width="9.6640625" style="45" hidden="1" customWidth="1"/>
    <col min="18" max="18" width="19.1640625" style="45" customWidth="1"/>
    <col min="19" max="16384" width="12.83203125" style="45"/>
  </cols>
  <sheetData>
    <row r="1" spans="1:19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9" ht="21" customHeight="1" x14ac:dyDescent="0.15">
      <c r="A2" s="39" t="str">
        <f t="shared" ref="A2" si="0">B2&amp;"_"&amp;C2</f>
        <v>48501001_48501001</v>
      </c>
      <c r="B2" s="47">
        <v>48501001</v>
      </c>
      <c r="C2" s="47">
        <v>48501001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稲妻蹴り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クリティカル!</v>
      </c>
      <c r="F2" s="47">
        <v>48501001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51" t="s">
        <v>261</v>
      </c>
      <c r="S2" s="51" t="s">
        <v>256</v>
      </c>
    </row>
    <row r="3" spans="1:19" ht="21" customHeight="1" x14ac:dyDescent="0.15">
      <c r="A3" s="39" t="str">
        <f t="shared" ref="A3:A41" si="1">B3&amp;"_"&amp;C3</f>
        <v>48501002_48501002</v>
      </c>
      <c r="B3" s="47">
        <v>48501002</v>
      </c>
      <c r="C3" s="47">
        <v>48501002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スパーク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7">
        <v>48501002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51" t="s">
        <v>264</v>
      </c>
      <c r="S3" s="51" t="s">
        <v>258</v>
      </c>
    </row>
    <row r="4" spans="1:19" ht="21" customHeight="1" x14ac:dyDescent="0.15">
      <c r="A4" s="39" t="str">
        <f t="shared" si="1"/>
        <v>48501003_48501003</v>
      </c>
      <c r="B4" s="47">
        <v>48501003</v>
      </c>
      <c r="C4" s="47">
        <v>48501003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毒の短刀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4" s="47">
        <v>48501003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51" t="s">
        <v>263</v>
      </c>
      <c r="S4" s="51" t="s">
        <v>260</v>
      </c>
    </row>
    <row r="5" spans="1:19" ht="21" customHeight="1" x14ac:dyDescent="0.15">
      <c r="A5" s="39" t="str">
        <f t="shared" si="1"/>
        <v>48501003_48501004</v>
      </c>
      <c r="B5" s="47">
        <v>48501003</v>
      </c>
      <c r="C5" s="47">
        <v>48501004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咆吼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3ターン全ユニットの回復力30％DOWN</v>
      </c>
      <c r="F5" s="47">
        <v>48501004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51" t="s">
        <v>262</v>
      </c>
      <c r="S5" s="51" t="s">
        <v>259</v>
      </c>
    </row>
    <row r="6" spans="1:19" ht="21" customHeight="1" x14ac:dyDescent="0.15">
      <c r="A6" s="39" t="str">
        <f t="shared" si="1"/>
        <v>48501004_48501005</v>
      </c>
      <c r="B6" s="47">
        <v>48501004</v>
      </c>
      <c r="C6" s="47">
        <v>48501005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野生の本能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攻撃力UP</v>
      </c>
      <c r="F6" s="47">
        <v>48501005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51" t="s">
        <v>265</v>
      </c>
      <c r="S6" s="51" t="s">
        <v>266</v>
      </c>
    </row>
    <row r="7" spans="1:19" ht="21" customHeight="1" x14ac:dyDescent="0.15">
      <c r="A7" s="39" t="str">
        <f t="shared" si="1"/>
        <v>48501004_48501006</v>
      </c>
      <c r="B7" s="47">
        <v>48501004</v>
      </c>
      <c r="C7" s="47">
        <v>48501006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大咆吼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3ターン全ユニットの回復力50％DOWN</v>
      </c>
      <c r="F7" s="47">
        <v>48501006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51" t="s">
        <v>267</v>
      </c>
      <c r="S7" s="51" t="s">
        <v>258</v>
      </c>
    </row>
    <row r="8" spans="1:19" ht="21" customHeight="1" x14ac:dyDescent="0.15">
      <c r="A8" s="39" t="str">
        <f t="shared" si="1"/>
        <v>48501004_48501007</v>
      </c>
      <c r="B8" s="47">
        <v>48501004</v>
      </c>
      <c r="C8" s="47">
        <v>48501007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猛毒の短刀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8" s="47">
        <v>48501007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51" t="s">
        <v>268</v>
      </c>
      <c r="S8" s="51" t="s">
        <v>269</v>
      </c>
    </row>
    <row r="9" spans="1:19" ht="21" customHeight="1" x14ac:dyDescent="0.15">
      <c r="A9" s="39" t="str">
        <f t="shared" si="1"/>
        <v>48501005_48501008</v>
      </c>
      <c r="B9" s="47">
        <v>48501005</v>
      </c>
      <c r="C9" s="47">
        <v>48501008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猿王迅瞬堅毛の術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赤パネルを吸収して4ターン防御力UP</v>
      </c>
      <c r="F9" s="47">
        <v>48501008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51" t="s">
        <v>270</v>
      </c>
      <c r="S9" s="51" t="s">
        <v>272</v>
      </c>
    </row>
    <row r="10" spans="1:19" ht="21" customHeight="1" x14ac:dyDescent="0.15">
      <c r="A10" s="39" t="str">
        <f t="shared" si="1"/>
        <v>48501005_48501009</v>
      </c>
      <c r="B10" s="47">
        <v>48501005</v>
      </c>
      <c r="C10" s="47">
        <v>48501009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五行封印 臨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</v>
      </c>
      <c r="F10" s="47">
        <v>48501009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0" s="47"/>
      <c r="Q10" s="47"/>
      <c r="R10" s="51" t="s">
        <v>270</v>
      </c>
      <c r="S10" s="51" t="s">
        <v>273</v>
      </c>
    </row>
    <row r="11" spans="1:19" ht="21" customHeight="1" x14ac:dyDescent="0.15">
      <c r="A11" s="39" t="str">
        <f t="shared" si="1"/>
        <v>48501005_48501010</v>
      </c>
      <c r="B11" s="47">
        <v>48501005</v>
      </c>
      <c r="C11" s="47">
        <v>48501010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五行封印 兵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</v>
      </c>
      <c r="F11" s="47">
        <v>48501010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47"/>
      <c r="Q11" s="47"/>
      <c r="R11" s="51" t="s">
        <v>270</v>
      </c>
      <c r="S11" s="51" t="s">
        <v>271</v>
      </c>
    </row>
    <row r="12" spans="1:19" ht="21" customHeight="1" x14ac:dyDescent="0.15">
      <c r="A12" s="39" t="str">
        <f t="shared" si="1"/>
        <v>48501005_48501011</v>
      </c>
      <c r="B12" s="47">
        <v>48501005</v>
      </c>
      <c r="C12" s="47">
        <v>48501011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猿王迅瞬分身の術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2" s="47">
        <v>48501011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2" s="47"/>
      <c r="Q12" s="47"/>
      <c r="R12" s="51" t="s">
        <v>274</v>
      </c>
      <c r="S12" s="51" t="s">
        <v>273</v>
      </c>
    </row>
    <row r="13" spans="1:19" ht="21" customHeight="1" x14ac:dyDescent="0.15">
      <c r="A13" s="39" t="str">
        <f t="shared" si="1"/>
        <v>48501005_48501012</v>
      </c>
      <c r="B13" s="47">
        <v>48501005</v>
      </c>
      <c r="C13" s="47">
        <v>48501012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五行封印 兵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</v>
      </c>
      <c r="F13" s="47">
        <v>48501012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47"/>
      <c r="Q13" s="47"/>
      <c r="R13" s="51" t="s">
        <v>274</v>
      </c>
      <c r="S13" s="51" t="s">
        <v>275</v>
      </c>
    </row>
    <row r="14" spans="1:19" ht="21" customHeight="1" x14ac:dyDescent="0.15">
      <c r="A14" s="39" t="str">
        <f t="shared" si="1"/>
        <v>48501005_48501013</v>
      </c>
      <c r="B14" s="47">
        <v>48501005</v>
      </c>
      <c r="C14" s="47">
        <v>48501013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五行封印 闘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ランダムでお邪魔パネルに4個変換</v>
      </c>
      <c r="F14" s="47">
        <v>48501013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4" s="47"/>
      <c r="Q14" s="47"/>
      <c r="R14" s="51" t="s">
        <v>274</v>
      </c>
      <c r="S14" s="51" t="s">
        <v>271</v>
      </c>
    </row>
    <row r="15" spans="1:19" ht="21" customHeight="1" x14ac:dyDescent="0.15">
      <c r="A15" s="39" t="str">
        <f t="shared" si="1"/>
        <v>48501005_48501014</v>
      </c>
      <c r="B15" s="47">
        <v>48501005</v>
      </c>
      <c r="C15" s="47">
        <v>48501014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猿王迅瞬分身の術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5" s="47">
        <v>48501014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5" s="47"/>
      <c r="Q15" s="47"/>
      <c r="R15" s="51" t="s">
        <v>276</v>
      </c>
      <c r="S15" s="51" t="s">
        <v>256</v>
      </c>
    </row>
    <row r="16" spans="1:19" ht="21" customHeight="1" x14ac:dyDescent="0.15">
      <c r="A16" s="39" t="str">
        <f t="shared" si="1"/>
        <v>48501006_48501015</v>
      </c>
      <c r="B16" s="47">
        <v>48501006</v>
      </c>
      <c r="C16" s="47">
        <v>48501015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如意棒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クリティカル!</v>
      </c>
      <c r="F16" s="47">
        <v>48501015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51" t="s">
        <v>277</v>
      </c>
      <c r="S16" s="51" t="s">
        <v>278</v>
      </c>
    </row>
    <row r="17" spans="1:19" ht="21" customHeight="1" x14ac:dyDescent="0.15">
      <c r="A17" s="39" t="str">
        <f t="shared" si="1"/>
        <v>48501006_48501016</v>
      </c>
      <c r="B17" s="47">
        <v>48501006</v>
      </c>
      <c r="C17" s="47">
        <v>48501016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金斗雲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17" s="47">
        <v>48501016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47"/>
      <c r="Q17" s="47"/>
      <c r="R17" s="51" t="s">
        <v>279</v>
      </c>
      <c r="S17" s="51" t="s">
        <v>280</v>
      </c>
    </row>
    <row r="18" spans="1:19" ht="21" customHeight="1" x14ac:dyDescent="0.15">
      <c r="A18" s="39" t="str">
        <f t="shared" si="1"/>
        <v>48501007_48501017</v>
      </c>
      <c r="B18" s="47">
        <v>48501007</v>
      </c>
      <c r="C18" s="47">
        <v>48501017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あたしはもう我慢なんてしない!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ランダムでお邪魔パネルに5個変換+_x000D_4ターン全ユニットにウィルス</v>
      </c>
      <c r="F18" s="47">
        <v>48501017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51" t="s">
        <v>281</v>
      </c>
      <c r="S18" s="51" t="s">
        <v>282</v>
      </c>
    </row>
    <row r="19" spans="1:19" ht="21" customHeight="1" x14ac:dyDescent="0.15">
      <c r="A19" s="39" t="str">
        <f t="shared" si="1"/>
        <v>48501007_48501018</v>
      </c>
      <c r="B19" s="47">
        <v>48501007</v>
      </c>
      <c r="C19" s="47">
        <v>48501018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ガルーダ! またあたしの邪魔をするのね!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ランダムでお邪魔パネルに5個変換+_x000D_4ターン全ユニットにウィルス</v>
      </c>
      <c r="F19" s="47">
        <v>48501018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51" t="s">
        <v>283</v>
      </c>
      <c r="S19" s="51" t="s">
        <v>284</v>
      </c>
    </row>
    <row r="20" spans="1:19" ht="21" customHeight="1" x14ac:dyDescent="0.15">
      <c r="A20" s="39" t="str">
        <f t="shared" si="1"/>
        <v>48501007_48501019</v>
      </c>
      <c r="B20" s="47">
        <v>48501007</v>
      </c>
      <c r="C20" s="47">
        <v>48501019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ガルーダ! またあたしの邪魔をするのね!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ランダムでお邪魔パネルに5個変換+_x000D_4ターン全ユニットにウィルス</v>
      </c>
      <c r="F20" s="47">
        <v>48501019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51" t="s">
        <v>285</v>
      </c>
      <c r="S20" s="51" t="s">
        <v>286</v>
      </c>
    </row>
    <row r="21" spans="1:19" ht="21" customHeight="1" x14ac:dyDescent="0.15">
      <c r="A21" s="39" t="str">
        <f t="shared" si="1"/>
        <v>48501007_48501020</v>
      </c>
      <c r="B21" s="47">
        <v>48501007</v>
      </c>
      <c r="C21" s="47">
        <v>48501020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杖よ! あたしに力を!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2ターンお邪魔パネルを吸収して_x000D_攻撃力特大UP+_x000D_攻撃頻度UP</v>
      </c>
      <c r="F21" s="47">
        <v>48501020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51" t="s">
        <v>287</v>
      </c>
      <c r="S21" s="51" t="s">
        <v>284</v>
      </c>
    </row>
    <row r="22" spans="1:19" ht="21" customHeight="1" x14ac:dyDescent="0.15">
      <c r="A22" s="39" t="str">
        <f t="shared" si="1"/>
        <v>48501007_48501021</v>
      </c>
      <c r="B22" s="47">
        <v>48501007</v>
      </c>
      <c r="C22" s="47">
        <v>48501021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人の子があたしを止められると思ってるの?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22" s="47">
        <v>48501021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51" t="s">
        <v>288</v>
      </c>
      <c r="S22" s="51" t="s">
        <v>273</v>
      </c>
    </row>
    <row r="23" spans="1:19" ht="21" customHeight="1" x14ac:dyDescent="0.15">
      <c r="A23" s="39" t="str">
        <f t="shared" si="1"/>
        <v>48501007_48501022</v>
      </c>
      <c r="B23" s="47">
        <v>48501007</v>
      </c>
      <c r="C23" s="47">
        <v>48501022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このくらいなら耐えられるよね?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4ターン全ユニットの回復力50％DOWN</v>
      </c>
      <c r="F23" s="47">
        <v>48501022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51" t="s">
        <v>289</v>
      </c>
      <c r="S23" s="51" t="s">
        <v>272</v>
      </c>
    </row>
    <row r="24" spans="1:19" ht="21" customHeight="1" x14ac:dyDescent="0.15">
      <c r="A24" s="39" t="str">
        <f t="shared" si="1"/>
        <v>48501007_48501023</v>
      </c>
      <c r="B24" s="47">
        <v>48501007</v>
      </c>
      <c r="C24" s="47">
        <v>48501023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人の子があたしを止められると思ってるの?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24" s="47">
        <v>48501023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7"/>
      <c r="Q24" s="47"/>
      <c r="R24" s="51" t="s">
        <v>289</v>
      </c>
      <c r="S24" s="51" t="s">
        <v>273</v>
      </c>
    </row>
    <row r="25" spans="1:19" ht="21" customHeight="1" x14ac:dyDescent="0.15">
      <c r="A25" s="39" t="str">
        <f t="shared" si="1"/>
        <v>48501008_48501024</v>
      </c>
      <c r="B25" s="47">
        <v>48501008</v>
      </c>
      <c r="C25" s="47">
        <v>48501024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あたしが耐えてきたのはこんなものじゃないわ!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ランダムでお邪魔パネルに3個変換+_x000D_単体攻撃</v>
      </c>
      <c r="F25" s="47">
        <v>48501024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51" t="s">
        <v>289</v>
      </c>
      <c r="S25" s="51" t="s">
        <v>290</v>
      </c>
    </row>
    <row r="26" spans="1:19" ht="21" customHeight="1" x14ac:dyDescent="0.15">
      <c r="A26" s="39" t="str">
        <f t="shared" si="1"/>
        <v>48501008_48501025</v>
      </c>
      <c r="B26" s="47">
        <v>48501008</v>
      </c>
      <c r="C26" s="47">
        <v>48501025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雨って良いと思わない?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ランダムでお邪魔パネルに2個変換+_x000D_単体攻撃</v>
      </c>
      <c r="F26" s="47">
        <v>48501025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6" s="47"/>
      <c r="Q26" s="47"/>
      <c r="R26" s="51" t="s">
        <v>291</v>
      </c>
      <c r="S26" s="51" t="s">
        <v>280</v>
      </c>
    </row>
    <row r="27" spans="1:19" ht="21" customHeight="1" x14ac:dyDescent="0.15">
      <c r="A27" s="39" t="str">
        <f t="shared" si="1"/>
        <v>48501008_48501026</v>
      </c>
      <c r="B27" s="47">
        <v>48501008</v>
      </c>
      <c r="C27" s="47">
        <v>48501026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あたしは雨がだーいすきっ!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ランダムでお邪魔パネルに3個変換+_x000D_2回連続攻撃</v>
      </c>
      <c r="F27" s="47">
        <v>48501026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7" s="47"/>
      <c r="Q27" s="47"/>
      <c r="R27" s="51" t="s">
        <v>292</v>
      </c>
      <c r="S27" s="51" t="s">
        <v>272</v>
      </c>
    </row>
    <row r="28" spans="1:19" ht="21" customHeight="1" x14ac:dyDescent="0.15">
      <c r="A28" s="39" t="str">
        <f t="shared" si="1"/>
        <v>48501008_48501027</v>
      </c>
      <c r="B28" s="47">
        <v>48501008</v>
      </c>
      <c r="C28" s="47">
        <v>48501027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みんな! やっちゃって!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8" s="47">
        <v>48501027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8" s="47"/>
      <c r="Q28" s="47"/>
      <c r="R28" s="51" t="s">
        <v>292</v>
      </c>
      <c r="S28" s="51" t="s">
        <v>273</v>
      </c>
    </row>
    <row r="29" spans="1:19" ht="21" customHeight="1" x14ac:dyDescent="0.15">
      <c r="A29" s="39" t="str">
        <f t="shared" si="1"/>
        <v>48501008_48501028</v>
      </c>
      <c r="B29" s="47">
        <v>48501008</v>
      </c>
      <c r="C29" s="47">
        <v>48501028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ヘビに睨まれたカエルって知ってる?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ランダムでお邪魔パネルに5個変換</v>
      </c>
      <c r="F29" s="47">
        <v>48501028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51" t="s">
        <v>292</v>
      </c>
      <c r="S29" s="51" t="s">
        <v>290</v>
      </c>
    </row>
    <row r="30" spans="1:19" ht="21" customHeight="1" x14ac:dyDescent="0.15">
      <c r="A30" s="39" t="str">
        <f t="shared" si="1"/>
        <v>48501008_48501029</v>
      </c>
      <c r="B30" s="47">
        <v>48501008</v>
      </c>
      <c r="C30" s="47">
        <v>48501029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雨って良いと思わない?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ランダムでお邪魔パネルに2個変換+_x000D_単体攻撃</v>
      </c>
      <c r="F30" s="47">
        <v>48501029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0" s="47"/>
      <c r="Q30" s="47"/>
      <c r="R30" s="51" t="s">
        <v>292</v>
      </c>
      <c r="S30" s="51" t="s">
        <v>293</v>
      </c>
    </row>
    <row r="31" spans="1:19" ht="21" customHeight="1" x14ac:dyDescent="0.15">
      <c r="A31" s="39" t="str">
        <f t="shared" si="1"/>
        <v>48501008_48501030</v>
      </c>
      <c r="B31" s="47">
        <v>48501008</v>
      </c>
      <c r="C31" s="47">
        <v>48501030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あたしは雨がだーいすきっ!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ランダムでお邪魔パネルに3個変換+_x000D_2回連続攻撃</v>
      </c>
      <c r="F31" s="47">
        <v>48501030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1" s="47"/>
      <c r="Q31" s="47"/>
      <c r="R31" s="51" t="s">
        <v>294</v>
      </c>
      <c r="S31" s="51" t="s">
        <v>295</v>
      </c>
    </row>
    <row r="32" spans="1:19" ht="21" customHeight="1" x14ac:dyDescent="0.15">
      <c r="A32" s="39" t="str">
        <f t="shared" si="1"/>
        <v>48501008_48501031</v>
      </c>
      <c r="B32" s="47">
        <v>48501008</v>
      </c>
      <c r="C32" s="47">
        <v>48501031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みんな! やっちゃって!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2" s="47">
        <v>48501031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2" s="47"/>
      <c r="Q32" s="47"/>
      <c r="R32" s="51" t="s">
        <v>296</v>
      </c>
      <c r="S32" s="51" t="s">
        <v>297</v>
      </c>
    </row>
    <row r="33" spans="1:19" ht="21" customHeight="1" x14ac:dyDescent="0.15">
      <c r="A33" s="39" t="str">
        <f t="shared" si="1"/>
        <v>48501008_48501032</v>
      </c>
      <c r="B33" s="47">
        <v>48501008</v>
      </c>
      <c r="C33" s="47">
        <v>48501032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杖よ! あたしに癒しを!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33" s="47">
        <v>48501032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3" s="47"/>
      <c r="Q33" s="47"/>
      <c r="R33" s="51" t="s">
        <v>296</v>
      </c>
      <c r="S33" s="51" t="s">
        <v>298</v>
      </c>
    </row>
    <row r="34" spans="1:19" ht="21" customHeight="1" x14ac:dyDescent="0.15">
      <c r="A34" s="39" t="str">
        <f t="shared" si="1"/>
        <v>48501009_48501033</v>
      </c>
      <c r="B34" s="47">
        <v>48501009</v>
      </c>
      <c r="C34" s="47">
        <v>48501033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あたしが好きな世界を作りたいだけなのに!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ランダムでお邪魔パネルに5個変換+_x000D_2ターン攻撃頻度UP</v>
      </c>
      <c r="F34" s="47">
        <v>48501033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51" t="s">
        <v>296</v>
      </c>
      <c r="S34" s="51" t="s">
        <v>290</v>
      </c>
    </row>
    <row r="35" spans="1:19" ht="21" customHeight="1" x14ac:dyDescent="0.15">
      <c r="A35" s="39" t="str">
        <f t="shared" si="1"/>
        <v>48501009_48501034</v>
      </c>
      <c r="B35" s="47">
        <v>48501009</v>
      </c>
      <c r="C35" s="47">
        <v>48501034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ガルーダ…あなただけは絶対に許さない!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ランダムでお邪魔パネルに5個変換+_x000D_2ターン攻撃頻度UP</v>
      </c>
      <c r="F35" s="47">
        <v>48501034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51" t="s">
        <v>300</v>
      </c>
      <c r="S35" s="51" t="s">
        <v>301</v>
      </c>
    </row>
    <row r="36" spans="1:19" ht="21" customHeight="1" x14ac:dyDescent="0.15">
      <c r="A36" s="39" t="str">
        <f t="shared" si="1"/>
        <v>48501009_48501035</v>
      </c>
      <c r="B36" s="47">
        <v>48501009</v>
      </c>
      <c r="C36" s="47">
        <v>48501035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ガルーダ…あなただけは絶対に許さない!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ランダムでお邪魔パネルに5個変換+_x000D_2ターン攻撃頻度UP</v>
      </c>
      <c r="F36" s="47">
        <v>48501035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51" t="s">
        <v>299</v>
      </c>
      <c r="S36" s="51" t="s">
        <v>302</v>
      </c>
    </row>
    <row r="37" spans="1:19" ht="21" customHeight="1" x14ac:dyDescent="0.15">
      <c r="A37" s="39" t="str">
        <f t="shared" si="1"/>
        <v>48501009_48501036</v>
      </c>
      <c r="B37" s="47">
        <v>48501009</v>
      </c>
      <c r="C37" s="47">
        <v>48501036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みんな! 一緒にいくよ!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ランダムでお邪魔パネルに3個変換+_x000D_全体攻撃</v>
      </c>
      <c r="F37" s="47">
        <v>48501036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7" s="47"/>
      <c r="Q37" s="47"/>
      <c r="R37" s="51" t="s">
        <v>299</v>
      </c>
      <c r="S37" s="51" t="s">
        <v>303</v>
      </c>
    </row>
    <row r="38" spans="1:19" ht="21" customHeight="1" x14ac:dyDescent="0.15">
      <c r="A38" s="39" t="str">
        <f t="shared" si="1"/>
        <v>48501009_48501037</v>
      </c>
      <c r="B38" s="47">
        <v>48501009</v>
      </c>
      <c r="C38" s="47">
        <v>48501037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ゆっくりと…少しずつ…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38" s="47">
        <v>48501037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8" s="47"/>
      <c r="Q38" s="47"/>
      <c r="R38" s="51" t="s">
        <v>299</v>
      </c>
      <c r="S38" s="51" t="s">
        <v>293</v>
      </c>
    </row>
    <row r="39" spans="1:19" ht="21" customHeight="1" x14ac:dyDescent="0.15">
      <c r="A39" s="39" t="str">
        <f t="shared" si="1"/>
        <v>48501009_48501038</v>
      </c>
      <c r="B39" s="47">
        <v>48501009</v>
      </c>
      <c r="C39" s="47">
        <v>48501038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みんな! 思いっきりやっちゃって!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9" s="47">
        <v>48501038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9" s="47"/>
      <c r="Q39" s="47"/>
      <c r="R39" s="51" t="s">
        <v>304</v>
      </c>
      <c r="S39" s="51" t="s">
        <v>305</v>
      </c>
    </row>
    <row r="40" spans="1:19" ht="21" customHeight="1" x14ac:dyDescent="0.15">
      <c r="A40" s="39" t="str">
        <f t="shared" si="1"/>
        <v>48501009_48501039</v>
      </c>
      <c r="B40" s="47">
        <v>48501009</v>
      </c>
      <c r="C40" s="47">
        <v>48501039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これは耐えられないよね?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解除するまで全ユニットの回復力90%DOWN</v>
      </c>
      <c r="F40" s="47">
        <v>48501039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51" t="s">
        <v>306</v>
      </c>
      <c r="S40" s="51" t="s">
        <v>307</v>
      </c>
    </row>
    <row r="41" spans="1:19" ht="21" customHeight="1" x14ac:dyDescent="0.15">
      <c r="A41" s="39" t="str">
        <f t="shared" si="1"/>
        <v>48501009_48501040</v>
      </c>
      <c r="B41" s="47">
        <v>48501009</v>
      </c>
      <c r="C41" s="47">
        <v>48501040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みんな! 一緒にいくよ!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ランダムでお邪魔パネルに4個変換+_x000D_4回連続攻撃</v>
      </c>
      <c r="F41" s="47">
        <v>48501040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1" s="47"/>
      <c r="Q41" s="47"/>
      <c r="R41" s="51" t="s">
        <v>306</v>
      </c>
      <c r="S41" s="51" t="s">
        <v>308</v>
      </c>
    </row>
    <row r="42" spans="1:19" ht="21" customHeight="1" x14ac:dyDescent="0.15">
      <c r="A42" s="39" t="str">
        <f t="shared" ref="A42" si="2">B42&amp;"_"&amp;C42</f>
        <v>48501009_48501041</v>
      </c>
      <c r="B42" s="47">
        <v>48501009</v>
      </c>
      <c r="C42" s="47">
        <v>48501041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杖よ! 薙ぎ払って!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42" s="47">
        <v>48501041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2" s="47"/>
      <c r="Q42" s="47"/>
      <c r="R42" s="51" t="s">
        <v>306</v>
      </c>
      <c r="S42" s="51" t="s">
        <v>308</v>
      </c>
    </row>
    <row r="43" spans="1:19" ht="21" customHeight="1" x14ac:dyDescent="0.15">
      <c r="A43" s="39" t="str">
        <f t="shared" ref="A43:A90" si="3">B43&amp;"_"&amp;C43</f>
        <v>48501009_48501042</v>
      </c>
      <c r="B43" s="47">
        <v>48501009</v>
      </c>
      <c r="C43" s="47">
        <v>48501042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杖よ! あたしに更なる癒しを!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43" s="47">
        <v>48501042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43" s="47"/>
      <c r="Q43" s="47"/>
      <c r="R43" s="51" t="s">
        <v>306</v>
      </c>
      <c r="S43" s="51" t="s">
        <v>308</v>
      </c>
    </row>
    <row r="44" spans="1:19" ht="21" customHeight="1" x14ac:dyDescent="0.15">
      <c r="A44" s="39" t="str">
        <f t="shared" si="3"/>
        <v>48501009_48501043</v>
      </c>
      <c r="B44" s="47">
        <v>48501009</v>
      </c>
      <c r="C44" s="47">
        <v>48501043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きっついの…いくわよ！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ランダムでお邪魔パネルに5個変換+_x000D_4ターン全ユニットにウィルス</v>
      </c>
      <c r="F44" s="47">
        <v>48501043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51" t="s">
        <v>306</v>
      </c>
      <c r="S44" s="51" t="s">
        <v>308</v>
      </c>
    </row>
    <row r="45" spans="1:19" ht="21" customHeight="1" x14ac:dyDescent="0.15">
      <c r="A45" s="39" t="str">
        <f t="shared" si="3"/>
        <v>48501009_48501044</v>
      </c>
      <c r="B45" s="47">
        <v>48501009</v>
      </c>
      <c r="C45" s="47">
        <v>48501044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あたしを……本気にさせたわね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次のターン青パネルを吸収して_x000D_大ダメージの全体攻撃</v>
      </c>
      <c r="F45" s="47">
        <v>48501044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51" t="s">
        <v>306</v>
      </c>
      <c r="S45" s="51" t="s">
        <v>308</v>
      </c>
    </row>
    <row r="46" spans="1:19" ht="21" customHeight="1" x14ac:dyDescent="0.15">
      <c r="A46" s="39" t="str">
        <f t="shared" si="3"/>
        <v>48501009_48501045</v>
      </c>
      <c r="B46" s="47">
        <v>48501009</v>
      </c>
      <c r="C46" s="47">
        <v>48501045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干ばつの恐ろしさを教えてあげる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青パネルを吸収して大ダメージの全体攻撃+_x000D_青パネルドロップ率DOWN</v>
      </c>
      <c r="F46" s="47">
        <v>48501045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51" t="s">
        <v>306</v>
      </c>
      <c r="S46" s="51" t="s">
        <v>308</v>
      </c>
    </row>
    <row r="47" spans="1:19" ht="21" customHeight="1" x14ac:dyDescent="0.15">
      <c r="A47" s="39" t="str">
        <f t="shared" si="3"/>
        <v>48501009_48501046</v>
      </c>
      <c r="B47" s="47">
        <v>48501009</v>
      </c>
      <c r="C47" s="47">
        <v>48501046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雨…好きなんだけどなぁ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あなたは…雨は…きらい?</v>
      </c>
      <c r="F47" s="47">
        <v>48501046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51" t="s">
        <v>306</v>
      </c>
      <c r="S47" s="51" t="s">
        <v>308</v>
      </c>
    </row>
    <row r="48" spans="1:19" ht="21" customHeight="1" x14ac:dyDescent="0.15">
      <c r="A48" s="39" t="str">
        <f t="shared" si="3"/>
        <v>48501009_48501047</v>
      </c>
      <c r="B48" s="47">
        <v>48501009</v>
      </c>
      <c r="C48" s="47">
        <v>48501047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あたしが雨好きなの知ってるでしょ?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うん…ガルーダ…あとはお願いね</v>
      </c>
      <c r="F48" s="47">
        <v>48501047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51" t="s">
        <v>306</v>
      </c>
      <c r="S48" s="51" t="s">
        <v>308</v>
      </c>
    </row>
    <row r="49" spans="1:19" ht="21" customHeight="1" x14ac:dyDescent="0.15">
      <c r="A49" s="39" t="str">
        <f t="shared" si="3"/>
        <v>48501009_48501048</v>
      </c>
      <c r="B49" s="47">
        <v>48501009</v>
      </c>
      <c r="C49" s="47">
        <v>48501048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あたしが雨好きなの知ってるでしょ?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うん…ガルーダ…あとはお願いね</v>
      </c>
      <c r="F49" s="47">
        <v>48501048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51" t="s">
        <v>306</v>
      </c>
      <c r="S49" s="51" t="s">
        <v>308</v>
      </c>
    </row>
    <row r="50" spans="1:19" ht="21" customHeight="1" x14ac:dyDescent="0.15">
      <c r="A50" s="39" t="str">
        <f t="shared" si="3"/>
        <v>48501010_48501049</v>
      </c>
      <c r="B50" s="109">
        <v>48501010</v>
      </c>
      <c r="C50" s="109">
        <v>48501049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稲妻蹴り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クリティカル!</v>
      </c>
      <c r="F50" s="109">
        <v>48501049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51" t="s">
        <v>261</v>
      </c>
      <c r="S50" s="51" t="s">
        <v>256</v>
      </c>
    </row>
    <row r="51" spans="1:19" ht="21" customHeight="1" x14ac:dyDescent="0.15">
      <c r="A51" s="39" t="str">
        <f t="shared" si="3"/>
        <v>48501011_48501050</v>
      </c>
      <c r="B51" s="47">
        <v>48501011</v>
      </c>
      <c r="C51" s="47">
        <v>48501050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スパーク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1" s="47">
        <v>48501050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51" t="s">
        <v>264</v>
      </c>
      <c r="S51" s="51" t="s">
        <v>258</v>
      </c>
    </row>
    <row r="52" spans="1:19" ht="21" customHeight="1" x14ac:dyDescent="0.15">
      <c r="A52" s="39" t="str">
        <f t="shared" si="3"/>
        <v>48501012_48501051</v>
      </c>
      <c r="B52" s="47">
        <v>48501012</v>
      </c>
      <c r="C52" s="47">
        <v>48501051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毒の短刀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52" s="47">
        <v>48501051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51" t="s">
        <v>263</v>
      </c>
      <c r="S52" s="51" t="s">
        <v>260</v>
      </c>
    </row>
    <row r="53" spans="1:19" ht="21" customHeight="1" x14ac:dyDescent="0.15">
      <c r="A53" s="39" t="str">
        <f t="shared" si="3"/>
        <v>48501012_48501052</v>
      </c>
      <c r="B53" s="47">
        <v>48501012</v>
      </c>
      <c r="C53" s="47">
        <v>48501052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咆吼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2ターン全ユニットの回復力20％DOWN</v>
      </c>
      <c r="F53" s="47">
        <v>48501052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51" t="s">
        <v>262</v>
      </c>
      <c r="S53" s="51" t="s">
        <v>259</v>
      </c>
    </row>
    <row r="54" spans="1:19" ht="21" customHeight="1" x14ac:dyDescent="0.15">
      <c r="A54" s="39" t="str">
        <f t="shared" si="3"/>
        <v>48501013_48501053</v>
      </c>
      <c r="B54" s="47">
        <v>48501013</v>
      </c>
      <c r="C54" s="47">
        <v>48501053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野生の本能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攻撃力UP</v>
      </c>
      <c r="F54" s="47">
        <v>48501053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51" t="s">
        <v>265</v>
      </c>
      <c r="S54" s="51" t="s">
        <v>266</v>
      </c>
    </row>
    <row r="55" spans="1:19" ht="21" customHeight="1" x14ac:dyDescent="0.15">
      <c r="A55" s="39" t="str">
        <f t="shared" si="3"/>
        <v>48501013_48501054</v>
      </c>
      <c r="B55" s="47">
        <v>48501013</v>
      </c>
      <c r="C55" s="47">
        <v>48501054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大咆吼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2ターン全ユニットの回復力40％DOWN</v>
      </c>
      <c r="F55" s="47">
        <v>48501054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51" t="s">
        <v>267</v>
      </c>
      <c r="S55" s="51" t="s">
        <v>258</v>
      </c>
    </row>
    <row r="56" spans="1:19" ht="21" customHeight="1" x14ac:dyDescent="0.15">
      <c r="A56" s="39" t="str">
        <f t="shared" si="3"/>
        <v>48501013_48501055</v>
      </c>
      <c r="B56" s="47">
        <v>48501013</v>
      </c>
      <c r="C56" s="47">
        <v>48501055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猛毒の短刀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1ターン全ユニットにウィルス</v>
      </c>
      <c r="F56" s="47">
        <v>48501055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51" t="s">
        <v>268</v>
      </c>
      <c r="S56" s="51" t="s">
        <v>269</v>
      </c>
    </row>
    <row r="57" spans="1:19" ht="21" customHeight="1" x14ac:dyDescent="0.15">
      <c r="A57" s="39" t="str">
        <f t="shared" si="3"/>
        <v>48501014_48501056</v>
      </c>
      <c r="B57" s="47">
        <v>48501014</v>
      </c>
      <c r="C57" s="47">
        <v>48501056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猿王迅瞬堅毛の術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赤パネルを吸収して3ターン防御力UP</v>
      </c>
      <c r="F57" s="47">
        <v>48501056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51" t="s">
        <v>270</v>
      </c>
      <c r="S57" s="51" t="s">
        <v>272</v>
      </c>
    </row>
    <row r="58" spans="1:19" ht="21" customHeight="1" x14ac:dyDescent="0.15">
      <c r="A58" s="39" t="str">
        <f t="shared" si="3"/>
        <v>48501014_48501057</v>
      </c>
      <c r="B58" s="47">
        <v>48501014</v>
      </c>
      <c r="C58" s="47">
        <v>48501057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五行封印 臨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ランダムでお邪魔パネルに1個変換</v>
      </c>
      <c r="F58" s="47">
        <v>48501057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 t="str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8" s="47"/>
      <c r="Q58" s="47"/>
      <c r="R58" s="51" t="s">
        <v>270</v>
      </c>
      <c r="S58" s="51" t="s">
        <v>273</v>
      </c>
    </row>
    <row r="59" spans="1:19" ht="21" customHeight="1" x14ac:dyDescent="0.15">
      <c r="A59" s="39" t="str">
        <f t="shared" si="3"/>
        <v>48501014_48501058</v>
      </c>
      <c r="B59" s="47">
        <v>48501014</v>
      </c>
      <c r="C59" s="47">
        <v>48501058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五行封印 兵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</v>
      </c>
      <c r="F59" s="47">
        <v>48501058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9" s="47"/>
      <c r="Q59" s="47"/>
      <c r="R59" s="51" t="s">
        <v>270</v>
      </c>
      <c r="S59" s="51" t="s">
        <v>271</v>
      </c>
    </row>
    <row r="60" spans="1:19" ht="21" customHeight="1" x14ac:dyDescent="0.15">
      <c r="A60" s="39" t="str">
        <f t="shared" si="3"/>
        <v>48501014_48501059</v>
      </c>
      <c r="B60" s="47">
        <v>48501014</v>
      </c>
      <c r="C60" s="47">
        <v>48501059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猿王迅瞬分身の術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60" s="47">
        <v>48501059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60" s="47"/>
      <c r="Q60" s="47"/>
      <c r="R60" s="51" t="s">
        <v>274</v>
      </c>
      <c r="S60" s="51" t="s">
        <v>273</v>
      </c>
    </row>
    <row r="61" spans="1:19" ht="21" customHeight="1" x14ac:dyDescent="0.15">
      <c r="A61" s="39" t="str">
        <f t="shared" si="3"/>
        <v>48501014_48501060</v>
      </c>
      <c r="B61" s="47">
        <v>48501014</v>
      </c>
      <c r="C61" s="47">
        <v>48501060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五行封印 兵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</v>
      </c>
      <c r="F61" s="47">
        <v>48501060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1" s="47"/>
      <c r="Q61" s="47"/>
      <c r="R61" s="51" t="s">
        <v>274</v>
      </c>
      <c r="S61" s="51" t="s">
        <v>275</v>
      </c>
    </row>
    <row r="62" spans="1:19" ht="21" customHeight="1" x14ac:dyDescent="0.15">
      <c r="A62" s="39" t="str">
        <f t="shared" si="3"/>
        <v>48501014_48501061</v>
      </c>
      <c r="B62" s="47">
        <v>48501014</v>
      </c>
      <c r="C62" s="47">
        <v>48501061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五行封印 闘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</v>
      </c>
      <c r="F62" s="47">
        <v>48501061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2" s="47"/>
      <c r="Q62" s="47"/>
      <c r="R62" s="51" t="s">
        <v>274</v>
      </c>
      <c r="S62" s="51" t="s">
        <v>271</v>
      </c>
    </row>
    <row r="63" spans="1:19" ht="21" customHeight="1" x14ac:dyDescent="0.15">
      <c r="A63" s="39" t="str">
        <f t="shared" si="3"/>
        <v>48501014_48501062</v>
      </c>
      <c r="B63" s="47">
        <v>48501014</v>
      </c>
      <c r="C63" s="47">
        <v>48501062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猿王迅瞬分身の術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63" s="47">
        <v>48501062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 t="str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63" s="48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63" s="47"/>
      <c r="Q63" s="47"/>
      <c r="R63" s="51" t="s">
        <v>276</v>
      </c>
      <c r="S63" s="51" t="s">
        <v>256</v>
      </c>
    </row>
    <row r="64" spans="1:19" ht="21" customHeight="1" x14ac:dyDescent="0.15">
      <c r="A64" s="39" t="str">
        <f t="shared" si="3"/>
        <v>48501015_48501063</v>
      </c>
      <c r="B64" s="47">
        <v>48501015</v>
      </c>
      <c r="C64" s="47">
        <v>48501063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如意棒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クリティカル!</v>
      </c>
      <c r="F64" s="47">
        <v>48501063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51" t="s">
        <v>277</v>
      </c>
      <c r="S64" s="51" t="s">
        <v>278</v>
      </c>
    </row>
    <row r="65" spans="1:19" ht="21" customHeight="1" x14ac:dyDescent="0.15">
      <c r="A65" s="39" t="str">
        <f t="shared" si="3"/>
        <v>48501015_48501064</v>
      </c>
      <c r="B65" s="47">
        <v>48501015</v>
      </c>
      <c r="C65" s="47">
        <v>48501064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金斗雲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65" s="47">
        <v>48501064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5" s="48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5" s="47"/>
      <c r="Q65" s="47"/>
      <c r="R65" s="51" t="s">
        <v>279</v>
      </c>
      <c r="S65" s="51" t="s">
        <v>280</v>
      </c>
    </row>
    <row r="66" spans="1:19" ht="21" customHeight="1" x14ac:dyDescent="0.15">
      <c r="A66" s="39" t="str">
        <f t="shared" si="3"/>
        <v>48501016_48501065</v>
      </c>
      <c r="B66" s="47">
        <v>48501016</v>
      </c>
      <c r="C66" s="47">
        <v>48501065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あたしはもう我慢なんてしない!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ランダムでお邪魔パネルに2個変換+_x000D_2ターン全ユニットにウィルス</v>
      </c>
      <c r="F66" s="47">
        <v>48501065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51" t="s">
        <v>281</v>
      </c>
      <c r="S66" s="51" t="s">
        <v>282</v>
      </c>
    </row>
    <row r="67" spans="1:19" ht="21" customHeight="1" x14ac:dyDescent="0.15">
      <c r="A67" s="39" t="str">
        <f t="shared" si="3"/>
        <v>48501016_48501066</v>
      </c>
      <c r="B67" s="47">
        <v>48501016</v>
      </c>
      <c r="C67" s="47">
        <v>48501066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ガルーダ! またあたしの邪魔をするのね!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ランダムでお邪魔パネルに2個変換+_x000D_2ターン全ユニットにウィルス</v>
      </c>
      <c r="F67" s="47">
        <v>48501066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51" t="s">
        <v>283</v>
      </c>
      <c r="S67" s="51" t="s">
        <v>284</v>
      </c>
    </row>
    <row r="68" spans="1:19" ht="21" customHeight="1" x14ac:dyDescent="0.15">
      <c r="A68" s="39" t="str">
        <f t="shared" si="3"/>
        <v>48501016_48501067</v>
      </c>
      <c r="B68" s="47">
        <v>48501016</v>
      </c>
      <c r="C68" s="47">
        <v>48501067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ガルーダ! またあたしの邪魔をするのね!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ランダムでお邪魔パネルに2個変換+_x000D_2ターン全ユニットにウィルス</v>
      </c>
      <c r="F68" s="47">
        <v>48501067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51" t="s">
        <v>285</v>
      </c>
      <c r="S68" s="51" t="s">
        <v>286</v>
      </c>
    </row>
    <row r="69" spans="1:19" ht="21" customHeight="1" x14ac:dyDescent="0.15">
      <c r="A69" s="39" t="str">
        <f t="shared" si="3"/>
        <v>48501016_48501068</v>
      </c>
      <c r="B69" s="47">
        <v>48501016</v>
      </c>
      <c r="C69" s="47">
        <v>48501068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杖よ! あたしに力を!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2ターンお邪魔パネルを吸収して_x000D_攻撃力特大UP+_x000D_攻撃頻度UP</v>
      </c>
      <c r="F69" s="47">
        <v>48501068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51" t="s">
        <v>287</v>
      </c>
      <c r="S69" s="51" t="s">
        <v>284</v>
      </c>
    </row>
    <row r="70" spans="1:19" ht="21" customHeight="1" x14ac:dyDescent="0.15">
      <c r="A70" s="39" t="str">
        <f t="shared" si="3"/>
        <v>48501016_48501069</v>
      </c>
      <c r="B70" s="47">
        <v>48501016</v>
      </c>
      <c r="C70" s="47">
        <v>48501069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人の子があたしを止められると思ってるの?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70" s="47">
        <v>48501069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 t="str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0" s="47"/>
      <c r="Q70" s="47"/>
      <c r="R70" s="51" t="s">
        <v>288</v>
      </c>
      <c r="S70" s="51" t="s">
        <v>273</v>
      </c>
    </row>
    <row r="71" spans="1:19" ht="21" customHeight="1" x14ac:dyDescent="0.15">
      <c r="A71" s="39" t="str">
        <f t="shared" si="3"/>
        <v>48501016_48501070</v>
      </c>
      <c r="B71" s="47">
        <v>48501016</v>
      </c>
      <c r="C71" s="47">
        <v>48501070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このくらいなら耐えられるよね?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2ターン全ユニットの回復力40％DOWN</v>
      </c>
      <c r="F71" s="47">
        <v>48501070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51" t="s">
        <v>289</v>
      </c>
      <c r="S71" s="51" t="s">
        <v>272</v>
      </c>
    </row>
    <row r="72" spans="1:19" ht="21" customHeight="1" x14ac:dyDescent="0.15">
      <c r="A72" s="39" t="str">
        <f t="shared" si="3"/>
        <v>48501016_48501071</v>
      </c>
      <c r="B72" s="47">
        <v>48501016</v>
      </c>
      <c r="C72" s="47">
        <v>48501071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人の子があたしを止められると思ってるの?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72" s="47">
        <v>48501071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 t="str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2" s="48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2" s="47"/>
      <c r="Q72" s="47"/>
      <c r="R72" s="51" t="s">
        <v>289</v>
      </c>
      <c r="S72" s="51" t="s">
        <v>273</v>
      </c>
    </row>
    <row r="73" spans="1:19" ht="21" customHeight="1" x14ac:dyDescent="0.15">
      <c r="A73" s="39" t="str">
        <f t="shared" si="3"/>
        <v>48501017_48501072</v>
      </c>
      <c r="B73" s="47">
        <v>48501017</v>
      </c>
      <c r="C73" s="47">
        <v>48501072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あたしが耐えてきたのはこんなものじゃないわ!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ランダムでお邪魔パネルに3個変換+_x000D_単体攻撃</v>
      </c>
      <c r="F73" s="47">
        <v>48501072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 t="str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51" t="s">
        <v>289</v>
      </c>
      <c r="S73" s="51" t="s">
        <v>290</v>
      </c>
    </row>
    <row r="74" spans="1:19" ht="21" customHeight="1" x14ac:dyDescent="0.15">
      <c r="A74" s="39" t="str">
        <f t="shared" si="3"/>
        <v>48501017_48501073</v>
      </c>
      <c r="B74" s="47">
        <v>48501017</v>
      </c>
      <c r="C74" s="47">
        <v>48501073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雨って良いと思わない?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ランダムでお邪魔パネルに2個変換+_x000D_単体攻撃</v>
      </c>
      <c r="F74" s="47">
        <v>48501073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 t="str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4" s="48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74" s="47"/>
      <c r="Q74" s="47"/>
      <c r="R74" s="51" t="s">
        <v>291</v>
      </c>
      <c r="S74" s="51" t="s">
        <v>280</v>
      </c>
    </row>
    <row r="75" spans="1:19" ht="21" customHeight="1" x14ac:dyDescent="0.15">
      <c r="A75" s="39" t="str">
        <f t="shared" si="3"/>
        <v>48501017_48501074</v>
      </c>
      <c r="B75" s="47">
        <v>48501017</v>
      </c>
      <c r="C75" s="47">
        <v>48501074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あたしは雨がだーいすきっ!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ランダムでお邪魔パネルに2個変換+_x000D_2回連続攻撃</v>
      </c>
      <c r="F75" s="47">
        <v>48501074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 t="str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5" s="48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75" s="47"/>
      <c r="Q75" s="47"/>
      <c r="R75" s="51" t="s">
        <v>292</v>
      </c>
      <c r="S75" s="51" t="s">
        <v>272</v>
      </c>
    </row>
    <row r="76" spans="1:19" ht="21" customHeight="1" x14ac:dyDescent="0.15">
      <c r="A76" s="39" t="str">
        <f t="shared" si="3"/>
        <v>48501017_48501075</v>
      </c>
      <c r="B76" s="47">
        <v>48501017</v>
      </c>
      <c r="C76" s="47">
        <v>48501075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みんな! やっちゃって!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76" s="47">
        <v>48501075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 t="str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6" s="48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76" s="47"/>
      <c r="Q76" s="47"/>
      <c r="R76" s="51" t="s">
        <v>292</v>
      </c>
      <c r="S76" s="51" t="s">
        <v>273</v>
      </c>
    </row>
    <row r="77" spans="1:19" ht="21" customHeight="1" x14ac:dyDescent="0.15">
      <c r="A77" s="39" t="str">
        <f t="shared" si="3"/>
        <v>48501017_48501076</v>
      </c>
      <c r="B77" s="47">
        <v>48501017</v>
      </c>
      <c r="C77" s="47">
        <v>48501076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ヘビに睨まれたカエルって知ってる?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</v>
      </c>
      <c r="F77" s="47">
        <v>48501076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 t="str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51" t="s">
        <v>292</v>
      </c>
      <c r="S77" s="51" t="s">
        <v>290</v>
      </c>
    </row>
    <row r="78" spans="1:19" ht="21" customHeight="1" x14ac:dyDescent="0.15">
      <c r="A78" s="39" t="str">
        <f t="shared" si="3"/>
        <v>48501017_48501077</v>
      </c>
      <c r="B78" s="47">
        <v>48501017</v>
      </c>
      <c r="C78" s="47">
        <v>48501077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雨って良いと思わない?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ランダムでお邪魔パネルに2個変換+_x000D_単体攻撃</v>
      </c>
      <c r="F78" s="47">
        <v>48501077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 t="str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78" s="48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78" s="47"/>
      <c r="Q78" s="47"/>
      <c r="R78" s="51" t="s">
        <v>292</v>
      </c>
      <c r="S78" s="51" t="s">
        <v>293</v>
      </c>
    </row>
    <row r="79" spans="1:19" ht="21" customHeight="1" x14ac:dyDescent="0.15">
      <c r="A79" s="39" t="str">
        <f t="shared" si="3"/>
        <v>48501017_48501078</v>
      </c>
      <c r="B79" s="47">
        <v>48501017</v>
      </c>
      <c r="C79" s="47">
        <v>48501078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あたしは雨がだーいすきっ!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ランダムでお邪魔パネルに2個変換+_x000D_2回連続攻撃</v>
      </c>
      <c r="F79" s="47">
        <v>48501078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 t="str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79" s="48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79" s="47"/>
      <c r="Q79" s="47"/>
      <c r="R79" s="51" t="s">
        <v>294</v>
      </c>
      <c r="S79" s="51" t="s">
        <v>295</v>
      </c>
    </row>
    <row r="80" spans="1:19" ht="21" customHeight="1" x14ac:dyDescent="0.15">
      <c r="A80" s="39" t="str">
        <f t="shared" si="3"/>
        <v>48501017_48501079</v>
      </c>
      <c r="B80" s="47">
        <v>48501017</v>
      </c>
      <c r="C80" s="47">
        <v>48501079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みんな! やっちゃって!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80" s="47">
        <v>48501079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 t="str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0" s="48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0" s="47"/>
      <c r="Q80" s="47"/>
      <c r="R80" s="51" t="s">
        <v>296</v>
      </c>
      <c r="S80" s="51" t="s">
        <v>297</v>
      </c>
    </row>
    <row r="81" spans="1:19" ht="21" customHeight="1" x14ac:dyDescent="0.15">
      <c r="A81" s="39" t="str">
        <f t="shared" si="3"/>
        <v>48501017_48501080</v>
      </c>
      <c r="B81" s="47">
        <v>48501017</v>
      </c>
      <c r="C81" s="47">
        <v>48501080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杖よ! あたしに癒しを!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81" s="47">
        <v>48501080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 t="str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81" s="48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81" s="47"/>
      <c r="Q81" s="47"/>
      <c r="R81" s="51" t="s">
        <v>296</v>
      </c>
      <c r="S81" s="51" t="s">
        <v>298</v>
      </c>
    </row>
    <row r="82" spans="1:19" ht="21" customHeight="1" x14ac:dyDescent="0.15">
      <c r="A82" s="39" t="str">
        <f t="shared" si="3"/>
        <v>48501018_48501081</v>
      </c>
      <c r="B82" s="47">
        <v>48501018</v>
      </c>
      <c r="C82" s="47">
        <v>48501081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あたしが好きな世界を作りたいだけなのに!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ランダムでお邪魔パネルに3個変換+_x000D_2ターン攻撃頻度UP</v>
      </c>
      <c r="F82" s="47">
        <v>48501081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51" t="s">
        <v>296</v>
      </c>
      <c r="S82" s="51" t="s">
        <v>290</v>
      </c>
    </row>
    <row r="83" spans="1:19" ht="21" customHeight="1" x14ac:dyDescent="0.15">
      <c r="A83" s="39" t="str">
        <f t="shared" si="3"/>
        <v>48501018_48501082</v>
      </c>
      <c r="B83" s="47">
        <v>48501018</v>
      </c>
      <c r="C83" s="47">
        <v>48501082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ガルーダ…あなただけは絶対に許さない!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ランダムでお邪魔パネルに3個変換+_x000D_2ターン攻撃頻度UP</v>
      </c>
      <c r="F83" s="47">
        <v>48501082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51" t="s">
        <v>300</v>
      </c>
      <c r="S83" s="51" t="s">
        <v>301</v>
      </c>
    </row>
    <row r="84" spans="1:19" ht="21" customHeight="1" x14ac:dyDescent="0.15">
      <c r="A84" s="39" t="str">
        <f t="shared" si="3"/>
        <v>48501018_48501083</v>
      </c>
      <c r="B84" s="47">
        <v>48501018</v>
      </c>
      <c r="C84" s="47">
        <v>48501083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ガルーダ…あなただけは絶対に許さない!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ランダムでお邪魔パネルに3個変換+_x000D_2ターン攻撃頻度UP</v>
      </c>
      <c r="F84" s="47">
        <v>48501083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51" t="s">
        <v>299</v>
      </c>
      <c r="S84" s="51" t="s">
        <v>302</v>
      </c>
    </row>
    <row r="85" spans="1:19" ht="21" customHeight="1" x14ac:dyDescent="0.15">
      <c r="A85" s="39" t="str">
        <f t="shared" si="3"/>
        <v>48501018_48501084</v>
      </c>
      <c r="B85" s="47">
        <v>48501018</v>
      </c>
      <c r="C85" s="47">
        <v>48501084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みんな! 一緒にいくよ!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ランダムでお邪魔パネルに2個変換+_x000D_全体攻撃</v>
      </c>
      <c r="F85" s="47">
        <v>48501084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 t="str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5" s="48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85" s="47"/>
      <c r="Q85" s="47"/>
      <c r="R85" s="51" t="s">
        <v>299</v>
      </c>
      <c r="S85" s="51" t="s">
        <v>303</v>
      </c>
    </row>
    <row r="86" spans="1:19" ht="21" customHeight="1" x14ac:dyDescent="0.15">
      <c r="A86" s="39" t="str">
        <f t="shared" si="3"/>
        <v>48501018_48501085</v>
      </c>
      <c r="B86" s="47">
        <v>48501018</v>
      </c>
      <c r="C86" s="47">
        <v>48501085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ゆっくりと…少しずつ…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86" s="47">
        <v>48501085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 t="str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86" s="47"/>
      <c r="Q86" s="47"/>
      <c r="R86" s="51" t="s">
        <v>299</v>
      </c>
      <c r="S86" s="51" t="s">
        <v>293</v>
      </c>
    </row>
    <row r="87" spans="1:19" ht="21" customHeight="1" x14ac:dyDescent="0.15">
      <c r="A87" s="39" t="str">
        <f t="shared" si="3"/>
        <v>48501018_48501086</v>
      </c>
      <c r="B87" s="47">
        <v>48501018</v>
      </c>
      <c r="C87" s="47">
        <v>48501086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みんな! 思いっきりやっちゃって!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87" s="47">
        <v>48501086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 t="str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7" s="48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7" s="47"/>
      <c r="Q87" s="47"/>
      <c r="R87" s="51" t="s">
        <v>304</v>
      </c>
      <c r="S87" s="51" t="s">
        <v>305</v>
      </c>
    </row>
    <row r="88" spans="1:19" ht="21" customHeight="1" x14ac:dyDescent="0.15">
      <c r="A88" s="39" t="str">
        <f t="shared" si="3"/>
        <v>48501018_48501087</v>
      </c>
      <c r="B88" s="47">
        <v>48501018</v>
      </c>
      <c r="C88" s="47">
        <v>48501087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これは耐えられないよね?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解除するまで全ユニットの回復力60%DOWN</v>
      </c>
      <c r="F88" s="47">
        <v>48501087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51" t="s">
        <v>306</v>
      </c>
      <c r="S88" s="51" t="s">
        <v>307</v>
      </c>
    </row>
    <row r="89" spans="1:19" ht="21" customHeight="1" x14ac:dyDescent="0.15">
      <c r="A89" s="39" t="str">
        <f t="shared" si="3"/>
        <v>48501018_48501088</v>
      </c>
      <c r="B89" s="47">
        <v>48501018</v>
      </c>
      <c r="C89" s="47">
        <v>48501088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みんな! 一緒にいくよ!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ランダムでお邪魔パネルに2個変換+_x000D_4回連続攻撃</v>
      </c>
      <c r="F89" s="47">
        <v>48501088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 t="str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89" s="48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89" s="47"/>
      <c r="Q89" s="47"/>
      <c r="R89" s="51" t="s">
        <v>306</v>
      </c>
      <c r="S89" s="51" t="s">
        <v>308</v>
      </c>
    </row>
    <row r="90" spans="1:19" ht="21" customHeight="1" x14ac:dyDescent="0.15">
      <c r="A90" s="39" t="str">
        <f t="shared" si="3"/>
        <v>48501018_48501089</v>
      </c>
      <c r="B90" s="47">
        <v>48501018</v>
      </c>
      <c r="C90" s="47">
        <v>48501089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杖よ! 薙ぎ払って!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90" s="47">
        <v>48501089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 t="str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90" s="48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90" s="47"/>
      <c r="Q90" s="47"/>
      <c r="R90" s="51" t="s">
        <v>306</v>
      </c>
      <c r="S90" s="51" t="s">
        <v>308</v>
      </c>
    </row>
    <row r="91" spans="1:19" ht="21" customHeight="1" x14ac:dyDescent="0.15">
      <c r="A91" s="39" t="str">
        <f t="shared" ref="A91:A97" si="4">B91&amp;"_"&amp;C91</f>
        <v>48501018_48501090</v>
      </c>
      <c r="B91" s="47">
        <v>48501018</v>
      </c>
      <c r="C91" s="47">
        <v>48501090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杖よ! あたしに更なる癒しを!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91" s="47">
        <v>48501090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 t="str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91" s="48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91" s="47"/>
      <c r="Q91" s="47"/>
      <c r="R91" s="51" t="s">
        <v>306</v>
      </c>
      <c r="S91" s="51" t="s">
        <v>308</v>
      </c>
    </row>
    <row r="92" spans="1:19" ht="21" customHeight="1" x14ac:dyDescent="0.15">
      <c r="A92" s="39" t="str">
        <f t="shared" si="4"/>
        <v>48501018_48501091</v>
      </c>
      <c r="B92" s="47">
        <v>48501018</v>
      </c>
      <c r="C92" s="47">
        <v>48501091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きっついの…いくわよ！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ランダムでお邪魔パネルに3個変換+_x000D_3ターン全ユニットにウィルス</v>
      </c>
      <c r="F92" s="47">
        <v>48501091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51" t="s">
        <v>306</v>
      </c>
      <c r="S92" s="51" t="s">
        <v>308</v>
      </c>
    </row>
    <row r="93" spans="1:19" ht="21" customHeight="1" x14ac:dyDescent="0.15">
      <c r="A93" s="39" t="str">
        <f t="shared" si="4"/>
        <v>48501018_48501092</v>
      </c>
      <c r="B93" s="47">
        <v>48501018</v>
      </c>
      <c r="C93" s="47">
        <v>48501092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あたしを……本気にさせたわね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次のターン青パネルを吸収して_x000D_大ダメージの全体攻撃</v>
      </c>
      <c r="F93" s="47">
        <v>48501092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51" t="s">
        <v>306</v>
      </c>
      <c r="S93" s="51" t="s">
        <v>308</v>
      </c>
    </row>
    <row r="94" spans="1:19" ht="21" customHeight="1" x14ac:dyDescent="0.15">
      <c r="A94" s="39" t="str">
        <f t="shared" si="4"/>
        <v>48501018_48501093</v>
      </c>
      <c r="B94" s="47">
        <v>48501018</v>
      </c>
      <c r="C94" s="47">
        <v>48501093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干ばつの恐ろしさを教えてあげる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青パネルを吸収して大ダメージの全体攻撃+_x000D_青パネルドロップ率DOWN</v>
      </c>
      <c r="F94" s="47">
        <v>48501093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51" t="s">
        <v>306</v>
      </c>
      <c r="S94" s="51" t="s">
        <v>308</v>
      </c>
    </row>
    <row r="95" spans="1:19" ht="21" customHeight="1" x14ac:dyDescent="0.15">
      <c r="A95" s="39" t="str">
        <f t="shared" si="4"/>
        <v>48501018_48501094</v>
      </c>
      <c r="B95" s="47">
        <v>48501018</v>
      </c>
      <c r="C95" s="47">
        <v>48501094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雨…好きなんだけどなぁ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あなたは…雨は…きらい?</v>
      </c>
      <c r="F95" s="47">
        <v>48501094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51" t="s">
        <v>306</v>
      </c>
      <c r="S95" s="51" t="s">
        <v>308</v>
      </c>
    </row>
    <row r="96" spans="1:19" ht="21" customHeight="1" x14ac:dyDescent="0.15">
      <c r="A96" s="39" t="str">
        <f t="shared" si="4"/>
        <v>48501018_48501095</v>
      </c>
      <c r="B96" s="47">
        <v>48501018</v>
      </c>
      <c r="C96" s="47">
        <v>48501095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あたしが雨好きなの知ってるでしょ?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うん…ガルーダ…あとはお願いね</v>
      </c>
      <c r="F96" s="47">
        <v>48501095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51" t="s">
        <v>306</v>
      </c>
      <c r="S96" s="51" t="s">
        <v>308</v>
      </c>
    </row>
    <row r="97" spans="1:19" ht="21" customHeight="1" x14ac:dyDescent="0.15">
      <c r="A97" s="39" t="str">
        <f t="shared" si="4"/>
        <v>48501018_48501096</v>
      </c>
      <c r="B97" s="47">
        <v>48501018</v>
      </c>
      <c r="C97" s="47">
        <v>48501096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あたしが雨好きなの知ってるでしょ?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うん…ガルーダ…あとはお願いね</v>
      </c>
      <c r="F97" s="47">
        <v>48501096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51" t="s">
        <v>306</v>
      </c>
      <c r="S97" s="51" t="s">
        <v>308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K23" sqref="K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1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f>floors!$C$2</f>
        <v>48501</v>
      </c>
      <c r="B2" s="57">
        <v>1</v>
      </c>
      <c r="C2" s="70" t="str">
        <f>A2&amp; "_"&amp;B2</f>
        <v>48501_1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40000</v>
      </c>
      <c r="H2" s="57" t="s">
        <v>441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170</v>
      </c>
      <c r="R2" s="57" t="s">
        <v>171</v>
      </c>
    </row>
    <row r="3" spans="1:18" x14ac:dyDescent="0.15">
      <c r="A3" s="57">
        <f>floors!$C$2</f>
        <v>48501</v>
      </c>
      <c r="B3" s="57">
        <v>1</v>
      </c>
      <c r="C3" s="70" t="str">
        <f t="shared" ref="C3:C18" si="0">A3&amp; "_"&amp;B3</f>
        <v>48501_1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442</v>
      </c>
      <c r="G3" s="57">
        <v>30</v>
      </c>
      <c r="H3" s="57" t="s">
        <v>443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170</v>
      </c>
      <c r="R3" s="57" t="s">
        <v>171</v>
      </c>
    </row>
    <row r="4" spans="1:18" x14ac:dyDescent="0.15">
      <c r="A4" s="57">
        <f>floors!$C$2</f>
        <v>48501</v>
      </c>
      <c r="B4" s="57">
        <v>1</v>
      </c>
      <c r="C4" s="70" t="str">
        <f t="shared" si="0"/>
        <v>48501_1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444</v>
      </c>
      <c r="G4" s="57">
        <v>5003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100</v>
      </c>
      <c r="Q4" s="57" t="s">
        <v>170</v>
      </c>
      <c r="R4" s="57" t="s">
        <v>171</v>
      </c>
    </row>
    <row r="5" spans="1:18" x14ac:dyDescent="0.15">
      <c r="A5" s="57">
        <f>floors!$C$2</f>
        <v>48501</v>
      </c>
      <c r="B5" s="57">
        <v>1</v>
      </c>
      <c r="C5" s="70" t="str">
        <f t="shared" si="0"/>
        <v>48501_1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435</v>
      </c>
      <c r="G5" s="57">
        <v>337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28</v>
      </c>
      <c r="Q5" s="57" t="s">
        <v>170</v>
      </c>
      <c r="R5" s="57" t="s">
        <v>171</v>
      </c>
    </row>
    <row r="6" spans="1:18" x14ac:dyDescent="0.15">
      <c r="A6" s="57">
        <f>floors!$C$2</f>
        <v>48501</v>
      </c>
      <c r="B6" s="57">
        <v>1</v>
      </c>
      <c r="C6" s="70" t="str">
        <f t="shared" si="0"/>
        <v>48501_1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445</v>
      </c>
      <c r="G6" s="57">
        <v>338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112</v>
      </c>
      <c r="Q6" s="57" t="s">
        <v>170</v>
      </c>
      <c r="R6" s="57" t="s">
        <v>171</v>
      </c>
    </row>
    <row r="7" spans="1:18" x14ac:dyDescent="0.15">
      <c r="A7" s="57">
        <f>floors!$C$2</f>
        <v>48501</v>
      </c>
      <c r="B7" s="57">
        <v>1</v>
      </c>
      <c r="C7" s="70" t="str">
        <f t="shared" si="0"/>
        <v>48501_1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446</v>
      </c>
      <c r="G7" s="57">
        <v>350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150</v>
      </c>
      <c r="Q7" s="57" t="s">
        <v>170</v>
      </c>
      <c r="R7" s="57" t="s">
        <v>171</v>
      </c>
    </row>
    <row r="8" spans="1:18" x14ac:dyDescent="0.15">
      <c r="A8" s="57">
        <f>floors!$C$2</f>
        <v>48501</v>
      </c>
      <c r="B8" s="57">
        <v>1</v>
      </c>
      <c r="C8" s="70" t="str">
        <f t="shared" si="0"/>
        <v>48501_1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447</v>
      </c>
      <c r="G8" s="57">
        <v>121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100</v>
      </c>
      <c r="Q8" s="57" t="s">
        <v>170</v>
      </c>
      <c r="R8" s="57" t="s">
        <v>171</v>
      </c>
    </row>
    <row r="9" spans="1:18" x14ac:dyDescent="0.15">
      <c r="A9" s="57">
        <f>floors!$C$2</f>
        <v>48501</v>
      </c>
      <c r="B9" s="57">
        <v>1</v>
      </c>
      <c r="C9" s="70" t="str">
        <f t="shared" si="0"/>
        <v>48501_1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448</v>
      </c>
      <c r="G9" s="57">
        <v>122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100</v>
      </c>
      <c r="Q9" s="57" t="s">
        <v>170</v>
      </c>
      <c r="R9" s="57" t="s">
        <v>171</v>
      </c>
    </row>
    <row r="10" spans="1:18" x14ac:dyDescent="0.15">
      <c r="A10" s="57">
        <f>floors!$C$2</f>
        <v>48501</v>
      </c>
      <c r="B10" s="57">
        <v>1</v>
      </c>
      <c r="C10" s="70" t="str">
        <f t="shared" si="0"/>
        <v>48501_1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437</v>
      </c>
      <c r="G10" s="57">
        <v>123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100</v>
      </c>
      <c r="Q10" s="57" t="s">
        <v>170</v>
      </c>
      <c r="R10" s="57" t="s">
        <v>171</v>
      </c>
    </row>
    <row r="11" spans="1:18" x14ac:dyDescent="0.15">
      <c r="A11" s="57">
        <f>floors!$C$2</f>
        <v>48501</v>
      </c>
      <c r="B11" s="57">
        <v>1</v>
      </c>
      <c r="C11" s="70" t="str">
        <f t="shared" si="0"/>
        <v>48501_1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5">
        <v>10</v>
      </c>
      <c r="F11" s="57" t="s">
        <v>439</v>
      </c>
      <c r="G11" s="57">
        <v>125</v>
      </c>
      <c r="H11" s="57">
        <v>1</v>
      </c>
      <c r="I11" s="115">
        <v>1</v>
      </c>
      <c r="J11" s="115">
        <v>1</v>
      </c>
      <c r="K11" s="115">
        <v>0</v>
      </c>
      <c r="L11" s="115">
        <v>0</v>
      </c>
      <c r="M11" s="115">
        <v>0</v>
      </c>
      <c r="N11" s="115">
        <v>0</v>
      </c>
      <c r="O11" s="115">
        <v>1</v>
      </c>
      <c r="P11" s="57">
        <v>10</v>
      </c>
      <c r="Q11" s="57" t="s">
        <v>170</v>
      </c>
      <c r="R11" s="57" t="s">
        <v>171</v>
      </c>
    </row>
    <row r="12" spans="1:18" x14ac:dyDescent="0.15">
      <c r="A12" s="62">
        <f>floors!$C$2</f>
        <v>48501</v>
      </c>
      <c r="B12" s="62">
        <v>2</v>
      </c>
      <c r="C12" s="70" t="str">
        <f t="shared" si="0"/>
        <v>48501_2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62">
        <v>11</v>
      </c>
      <c r="F12" s="62" t="s">
        <v>434</v>
      </c>
      <c r="G12" s="62">
        <v>5003</v>
      </c>
      <c r="H12" s="62">
        <v>1</v>
      </c>
      <c r="I12" s="62">
        <v>1</v>
      </c>
      <c r="J12" s="62">
        <v>1</v>
      </c>
      <c r="K12" s="62">
        <v>0</v>
      </c>
      <c r="L12" s="62">
        <v>0</v>
      </c>
      <c r="M12" s="62">
        <v>0</v>
      </c>
      <c r="N12" s="62">
        <v>0</v>
      </c>
      <c r="O12" s="62">
        <v>1</v>
      </c>
      <c r="P12" s="62">
        <v>500</v>
      </c>
      <c r="Q12" s="57" t="s">
        <v>170</v>
      </c>
      <c r="R12" s="57" t="s">
        <v>171</v>
      </c>
    </row>
    <row r="13" spans="1:18" x14ac:dyDescent="0.15">
      <c r="A13" s="62">
        <f>floors!$C$2</f>
        <v>48501</v>
      </c>
      <c r="B13" s="62">
        <v>2</v>
      </c>
      <c r="C13" s="70" t="str">
        <f t="shared" si="0"/>
        <v>48501_2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62">
        <v>12</v>
      </c>
      <c r="F13" s="62" t="s">
        <v>438</v>
      </c>
      <c r="G13" s="62">
        <v>338</v>
      </c>
      <c r="H13" s="62">
        <v>1</v>
      </c>
      <c r="I13" s="62">
        <v>1</v>
      </c>
      <c r="J13" s="62">
        <v>1</v>
      </c>
      <c r="K13" s="62">
        <v>0</v>
      </c>
      <c r="L13" s="62">
        <v>0</v>
      </c>
      <c r="M13" s="62">
        <v>0</v>
      </c>
      <c r="N13" s="62">
        <v>0</v>
      </c>
      <c r="O13" s="62">
        <v>1</v>
      </c>
      <c r="P13" s="62">
        <v>50</v>
      </c>
      <c r="Q13" s="57" t="s">
        <v>170</v>
      </c>
      <c r="R13" s="57" t="s">
        <v>171</v>
      </c>
    </row>
    <row r="14" spans="1:18" x14ac:dyDescent="0.15">
      <c r="A14" s="62">
        <f>floors!$C$2</f>
        <v>48501</v>
      </c>
      <c r="B14" s="62">
        <v>2</v>
      </c>
      <c r="C14" s="70" t="str">
        <f t="shared" si="0"/>
        <v>48501_2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62">
        <v>13</v>
      </c>
      <c r="F14" s="62" t="s">
        <v>439</v>
      </c>
      <c r="G14" s="62">
        <v>350</v>
      </c>
      <c r="H14" s="62">
        <v>1</v>
      </c>
      <c r="I14" s="62">
        <v>1</v>
      </c>
      <c r="J14" s="62">
        <v>1</v>
      </c>
      <c r="K14" s="62">
        <v>0</v>
      </c>
      <c r="L14" s="62">
        <v>0</v>
      </c>
      <c r="M14" s="62">
        <v>0</v>
      </c>
      <c r="N14" s="62">
        <v>0</v>
      </c>
      <c r="O14" s="62">
        <v>1</v>
      </c>
      <c r="P14" s="62">
        <v>120</v>
      </c>
      <c r="Q14" s="57" t="s">
        <v>170</v>
      </c>
      <c r="R14" s="57" t="s">
        <v>171</v>
      </c>
    </row>
    <row r="15" spans="1:18" x14ac:dyDescent="0.15">
      <c r="A15" s="62">
        <f>floors!$C$2</f>
        <v>48501</v>
      </c>
      <c r="B15" s="62">
        <v>2</v>
      </c>
      <c r="C15" s="70" t="str">
        <f t="shared" si="0"/>
        <v>48501_2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62">
        <v>14</v>
      </c>
      <c r="F15" s="62" t="s">
        <v>440</v>
      </c>
      <c r="G15" s="62">
        <v>607</v>
      </c>
      <c r="H15" s="62">
        <v>1</v>
      </c>
      <c r="I15" s="62">
        <v>1</v>
      </c>
      <c r="J15" s="62">
        <v>1</v>
      </c>
      <c r="K15" s="62">
        <v>0</v>
      </c>
      <c r="L15" s="62">
        <v>0</v>
      </c>
      <c r="M15" s="62">
        <v>0</v>
      </c>
      <c r="N15" s="62">
        <v>0</v>
      </c>
      <c r="O15" s="62">
        <v>1</v>
      </c>
      <c r="P15" s="62">
        <v>100</v>
      </c>
      <c r="Q15" s="57" t="s">
        <v>170</v>
      </c>
      <c r="R15" s="57" t="s">
        <v>171</v>
      </c>
    </row>
    <row r="16" spans="1:18" x14ac:dyDescent="0.15">
      <c r="A16" s="62">
        <f>floors!$C$2</f>
        <v>48501</v>
      </c>
      <c r="B16" s="62">
        <v>2</v>
      </c>
      <c r="C16" s="70" t="str">
        <f t="shared" si="0"/>
        <v>48501_2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62">
        <v>15</v>
      </c>
      <c r="F16" s="62" t="s">
        <v>436</v>
      </c>
      <c r="G16" s="62">
        <v>608</v>
      </c>
      <c r="H16" s="62">
        <v>1</v>
      </c>
      <c r="I16" s="62">
        <v>1</v>
      </c>
      <c r="J16" s="62">
        <v>1</v>
      </c>
      <c r="K16" s="62">
        <v>0</v>
      </c>
      <c r="L16" s="62">
        <v>0</v>
      </c>
      <c r="M16" s="62">
        <v>0</v>
      </c>
      <c r="N16" s="62">
        <v>0</v>
      </c>
      <c r="O16" s="62">
        <v>1</v>
      </c>
      <c r="P16" s="62">
        <v>100</v>
      </c>
      <c r="Q16" s="57" t="s">
        <v>170</v>
      </c>
      <c r="R16" s="57" t="s">
        <v>171</v>
      </c>
    </row>
    <row r="17" spans="1:18" x14ac:dyDescent="0.15">
      <c r="A17" s="62">
        <f>floors!$C$2</f>
        <v>48501</v>
      </c>
      <c r="B17" s="62">
        <v>2</v>
      </c>
      <c r="C17" s="70" t="str">
        <f t="shared" si="0"/>
        <v>48501_2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62">
        <v>16</v>
      </c>
      <c r="F17" s="62" t="s">
        <v>449</v>
      </c>
      <c r="G17" s="62">
        <v>609</v>
      </c>
      <c r="H17" s="62">
        <v>1</v>
      </c>
      <c r="I17" s="62">
        <v>1</v>
      </c>
      <c r="J17" s="62">
        <v>1</v>
      </c>
      <c r="K17" s="62">
        <v>0</v>
      </c>
      <c r="L17" s="62">
        <v>0</v>
      </c>
      <c r="M17" s="62">
        <v>0</v>
      </c>
      <c r="N17" s="62">
        <v>0</v>
      </c>
      <c r="O17" s="62">
        <v>1</v>
      </c>
      <c r="P17" s="62">
        <v>100</v>
      </c>
      <c r="Q17" s="57" t="s">
        <v>170</v>
      </c>
      <c r="R17" s="57" t="s">
        <v>171</v>
      </c>
    </row>
    <row r="18" spans="1:18" x14ac:dyDescent="0.15">
      <c r="A18" s="62">
        <f>floors!$C$2</f>
        <v>48501</v>
      </c>
      <c r="B18" s="62">
        <v>2</v>
      </c>
      <c r="C18" s="70" t="str">
        <f t="shared" si="0"/>
        <v>48501_2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62">
        <v>17</v>
      </c>
      <c r="F18" s="62" t="s">
        <v>450</v>
      </c>
      <c r="G18" s="62">
        <v>125</v>
      </c>
      <c r="H18" s="62">
        <v>1</v>
      </c>
      <c r="I18" s="62">
        <v>1</v>
      </c>
      <c r="J18" s="62">
        <v>1</v>
      </c>
      <c r="K18" s="62">
        <v>0</v>
      </c>
      <c r="L18" s="62">
        <v>0</v>
      </c>
      <c r="M18" s="62">
        <v>0</v>
      </c>
      <c r="N18" s="62">
        <v>0</v>
      </c>
      <c r="O18" s="62">
        <v>1</v>
      </c>
      <c r="P18" s="62">
        <v>30</v>
      </c>
      <c r="Q18" s="57" t="s">
        <v>170</v>
      </c>
      <c r="R18" s="57" t="s">
        <v>171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B8" sqref="B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189</v>
      </c>
      <c r="B1" s="72" t="s">
        <v>190</v>
      </c>
      <c r="C1" s="76" t="s">
        <v>191</v>
      </c>
      <c r="D1" s="76" t="s">
        <v>33</v>
      </c>
      <c r="E1" s="72" t="s">
        <v>192</v>
      </c>
      <c r="F1" s="76" t="s">
        <v>193</v>
      </c>
      <c r="G1" s="76" t="s">
        <v>33</v>
      </c>
      <c r="H1" s="72" t="s">
        <v>194</v>
      </c>
      <c r="I1" s="90" t="s">
        <v>196</v>
      </c>
      <c r="J1" s="78" t="s">
        <v>126</v>
      </c>
      <c r="K1" s="77" t="s">
        <v>187</v>
      </c>
      <c r="L1" s="91" t="s">
        <v>186</v>
      </c>
      <c r="M1" s="79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7"/>
  <sheetViews>
    <sheetView showGridLines="0" workbookViewId="0">
      <pane ySplit="1" topLeftCell="A12" activePane="bottomLeft" state="frozen"/>
      <selection pane="bottomLeft" activeCell="Q20" sqref="Q2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5.6640625" bestFit="1" customWidth="1"/>
    <col min="13" max="13" width="42.6640625" customWidth="1"/>
  </cols>
  <sheetData>
    <row r="1" spans="1:15" x14ac:dyDescent="0.15">
      <c r="A1" s="75" t="s">
        <v>189</v>
      </c>
      <c r="B1" s="72" t="s">
        <v>150</v>
      </c>
      <c r="C1" s="76" t="s">
        <v>191</v>
      </c>
      <c r="D1" s="76" t="s">
        <v>33</v>
      </c>
      <c r="E1" s="72" t="s">
        <v>192</v>
      </c>
      <c r="F1" s="76" t="s">
        <v>18</v>
      </c>
      <c r="G1" s="76" t="s">
        <v>33</v>
      </c>
      <c r="H1" s="72" t="s">
        <v>194</v>
      </c>
      <c r="I1" s="88" t="s">
        <v>195</v>
      </c>
      <c r="J1" s="90" t="s">
        <v>196</v>
      </c>
      <c r="K1" s="78" t="s">
        <v>126</v>
      </c>
      <c r="L1" s="77" t="s">
        <v>187</v>
      </c>
      <c r="M1" s="91" t="s">
        <v>186</v>
      </c>
      <c r="N1" s="79" t="s">
        <v>197</v>
      </c>
    </row>
    <row r="2" spans="1:15" ht="28" x14ac:dyDescent="0.15">
      <c r="A2" s="80" t="s">
        <v>198</v>
      </c>
      <c r="B2" s="81">
        <v>48501</v>
      </c>
      <c r="C2" s="82" t="str">
        <f ca="1">VLOOKUP($B2,OFFSET([2]quests!$A$1,0,0,COUNTA([2]quests!$A:$A),MATCH(C$1,[2]quests!$1:$1,0)-MATCH($B$1,[2]quests!$1:$1,0)+1),MATCH(C$1,[2]quests!$1:$1,0)-MATCH($B$1,[2]quests!$1:$1,0)+1,FALSE)</f>
        <v>ナーガ襲来！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グローバル版降臨1</v>
      </c>
      <c r="E2" s="83">
        <v>2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グローバル版降臨1</v>
      </c>
      <c r="H2" s="84">
        <v>1</v>
      </c>
      <c r="I2" s="89">
        <f>ROW()-1</f>
        <v>1</v>
      </c>
      <c r="J2" s="85" t="str">
        <f>B2&amp;TEXT(I2,"00")</f>
        <v>4850101</v>
      </c>
      <c r="K2" s="83" t="s">
        <v>199</v>
      </c>
      <c r="L2" s="86" t="s">
        <v>200</v>
      </c>
      <c r="M2" s="108" t="s">
        <v>453</v>
      </c>
      <c r="N2" s="57" t="s">
        <v>201</v>
      </c>
      <c r="O2">
        <f>LEN(M2)</f>
        <v>23</v>
      </c>
    </row>
    <row r="3" spans="1:15" ht="28" x14ac:dyDescent="0.15">
      <c r="A3" s="80" t="s">
        <v>198</v>
      </c>
      <c r="B3" s="81">
        <v>48501</v>
      </c>
      <c r="C3" s="82" t="str">
        <f ca="1">VLOOKUP($B3,OFFSET([2]quests!$A$1,0,0,COUNTA([2]quests!$A:$A),MATCH(C$1,[2]quests!$1:$1,0)-MATCH($B$1,[2]quests!$1:$1,0)+1),MATCH(C$1,[2]quests!$1:$1,0)-MATCH($B$1,[2]quests!$1:$1,0)+1,FALSE)</f>
        <v>ナーガ襲来！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グローバル版降臨1</v>
      </c>
      <c r="E3" s="83">
        <v>2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グローバル版降臨1</v>
      </c>
      <c r="H3" s="84">
        <v>2</v>
      </c>
      <c r="I3" s="89">
        <f t="shared" ref="I3:I27" si="0">ROW()-1</f>
        <v>2</v>
      </c>
      <c r="J3" s="85" t="str">
        <f>B3&amp;TEXT(I3,"00")</f>
        <v>4850102</v>
      </c>
      <c r="K3" s="83" t="s">
        <v>199</v>
      </c>
      <c r="L3" s="86" t="s">
        <v>200</v>
      </c>
      <c r="M3" s="108" t="s">
        <v>454</v>
      </c>
      <c r="N3" s="57" t="s">
        <v>201</v>
      </c>
      <c r="O3">
        <f t="shared" ref="O3:O24" si="1">LEN(M3)</f>
        <v>37</v>
      </c>
    </row>
    <row r="4" spans="1:15" ht="28" x14ac:dyDescent="0.15">
      <c r="A4" s="80" t="s">
        <v>198</v>
      </c>
      <c r="B4" s="81">
        <v>48501</v>
      </c>
      <c r="C4" s="82" t="str">
        <f ca="1">VLOOKUP($B4,OFFSET([2]quests!$A$1,0,0,COUNTA([2]quests!$A:$A),MATCH(C$1,[2]quests!$1:$1,0)-MATCH($B$1,[2]quests!$1:$1,0)+1),MATCH(C$1,[2]quests!$1:$1,0)-MATCH($B$1,[2]quests!$1:$1,0)+1,FALSE)</f>
        <v>ナーガ襲来！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グローバル版降臨1</v>
      </c>
      <c r="E4" s="83">
        <v>2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グローバル版降臨1</v>
      </c>
      <c r="H4" s="84">
        <v>2</v>
      </c>
      <c r="I4" s="89">
        <f t="shared" si="0"/>
        <v>3</v>
      </c>
      <c r="J4" s="85" t="str">
        <f t="shared" ref="J4" si="2">B4&amp;TEXT(I4,"00")</f>
        <v>4850103</v>
      </c>
      <c r="K4" s="83" t="s">
        <v>199</v>
      </c>
      <c r="L4" s="86" t="s">
        <v>200</v>
      </c>
      <c r="M4" s="108" t="s">
        <v>455</v>
      </c>
      <c r="N4" s="57" t="s">
        <v>201</v>
      </c>
      <c r="O4">
        <f t="shared" si="1"/>
        <v>36</v>
      </c>
    </row>
    <row r="5" spans="1:15" ht="28" x14ac:dyDescent="0.15">
      <c r="A5" s="80" t="s">
        <v>198</v>
      </c>
      <c r="B5" s="81">
        <v>48501</v>
      </c>
      <c r="C5" s="82" t="str">
        <f ca="1">VLOOKUP($B5,OFFSET([2]quests!$A$1,0,0,COUNTA([2]quests!$A:$A),MATCH(C$1,[2]quests!$1:$1,0)-MATCH($B$1,[2]quests!$1:$1,0)+1),MATCH(C$1,[2]quests!$1:$1,0)-MATCH($B$1,[2]quests!$1:$1,0)+1,FALSE)</f>
        <v>ナーガ襲来！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グローバル版降臨1</v>
      </c>
      <c r="E5" s="83">
        <v>2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グローバル版降臨1</v>
      </c>
      <c r="H5" s="84">
        <v>3</v>
      </c>
      <c r="I5" s="89">
        <f t="shared" si="0"/>
        <v>4</v>
      </c>
      <c r="J5" s="85" t="str">
        <f t="shared" ref="J5:J6" si="3">B5&amp;TEXT(I5,"00")</f>
        <v>4850104</v>
      </c>
      <c r="K5" s="83" t="s">
        <v>199</v>
      </c>
      <c r="L5" s="86" t="s">
        <v>200</v>
      </c>
      <c r="M5" s="108" t="s">
        <v>456</v>
      </c>
      <c r="N5" s="57" t="s">
        <v>201</v>
      </c>
      <c r="O5">
        <f t="shared" si="1"/>
        <v>33</v>
      </c>
    </row>
    <row r="6" spans="1:15" ht="56" x14ac:dyDescent="0.15">
      <c r="A6" s="80" t="s">
        <v>198</v>
      </c>
      <c r="B6" s="81">
        <v>48501</v>
      </c>
      <c r="C6" s="82" t="str">
        <f ca="1">VLOOKUP($B6,OFFSET([2]quests!$A$1,0,0,COUNTA([2]quests!$A:$A),MATCH(C$1,[2]quests!$1:$1,0)-MATCH($B$1,[2]quests!$1:$1,0)+1),MATCH(C$1,[2]quests!$1:$1,0)-MATCH($B$1,[2]quests!$1:$1,0)+1,FALSE)</f>
        <v>ナーガ襲来！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グローバル版降臨1</v>
      </c>
      <c r="E6" s="83">
        <v>2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グローバル版降臨1</v>
      </c>
      <c r="H6" s="84">
        <v>4</v>
      </c>
      <c r="I6" s="89">
        <f t="shared" si="0"/>
        <v>5</v>
      </c>
      <c r="J6" s="85" t="str">
        <f t="shared" si="3"/>
        <v>4850105</v>
      </c>
      <c r="K6" s="83" t="s">
        <v>199</v>
      </c>
      <c r="L6" s="86" t="s">
        <v>200</v>
      </c>
      <c r="M6" s="108" t="s">
        <v>457</v>
      </c>
      <c r="N6" s="57" t="s">
        <v>201</v>
      </c>
      <c r="O6">
        <f t="shared" si="1"/>
        <v>54</v>
      </c>
    </row>
    <row r="7" spans="1:15" ht="42" x14ac:dyDescent="0.15">
      <c r="A7" s="80" t="s">
        <v>198</v>
      </c>
      <c r="B7" s="81">
        <v>48501</v>
      </c>
      <c r="C7" s="82" t="str">
        <f ca="1">VLOOKUP($B7,OFFSET([2]quests!$A$1,0,0,COUNTA([2]quests!$A:$A),MATCH(C$1,[2]quests!$1:$1,0)-MATCH($B$1,[2]quests!$1:$1,0)+1),MATCH(C$1,[2]quests!$1:$1,0)-MATCH($B$1,[2]quests!$1:$1,0)+1,FALSE)</f>
        <v>ナーガ襲来！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グローバル版降臨1</v>
      </c>
      <c r="E7" s="83">
        <v>2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グローバル版降臨1</v>
      </c>
      <c r="H7" s="84">
        <v>4</v>
      </c>
      <c r="I7" s="89">
        <f>ROW()-1</f>
        <v>6</v>
      </c>
      <c r="J7" s="85" t="str">
        <f>B7&amp;TEXT(I7,"00")</f>
        <v>4850106</v>
      </c>
      <c r="K7" s="83" t="s">
        <v>199</v>
      </c>
      <c r="L7" s="86" t="s">
        <v>200</v>
      </c>
      <c r="M7" s="108" t="s">
        <v>458</v>
      </c>
      <c r="N7" s="57" t="s">
        <v>201</v>
      </c>
      <c r="O7">
        <f t="shared" si="1"/>
        <v>44</v>
      </c>
    </row>
    <row r="8" spans="1:15" ht="28" x14ac:dyDescent="0.15">
      <c r="A8" s="80" t="s">
        <v>198</v>
      </c>
      <c r="B8" s="81">
        <v>48501</v>
      </c>
      <c r="C8" s="82" t="str">
        <f ca="1">VLOOKUP($B8,OFFSET([2]quests!$A$1,0,0,COUNTA([2]quests!$A:$A),MATCH(C$1,[2]quests!$1:$1,0)-MATCH($B$1,[2]quests!$1:$1,0)+1),MATCH(C$1,[2]quests!$1:$1,0)-MATCH($B$1,[2]quests!$1:$1,0)+1,FALSE)</f>
        <v>ナーガ襲来！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グローバル版降臨1</v>
      </c>
      <c r="E8" s="83">
        <v>2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グローバル版降臨1</v>
      </c>
      <c r="H8" s="84">
        <v>4</v>
      </c>
      <c r="I8" s="89">
        <f t="shared" si="0"/>
        <v>7</v>
      </c>
      <c r="J8" s="85" t="str">
        <f t="shared" ref="J8" si="4">B8&amp;TEXT(I8,"00")</f>
        <v>4850107</v>
      </c>
      <c r="K8" s="83" t="s">
        <v>199</v>
      </c>
      <c r="L8" s="86" t="s">
        <v>200</v>
      </c>
      <c r="M8" s="108" t="s">
        <v>459</v>
      </c>
      <c r="N8" s="57" t="s">
        <v>201</v>
      </c>
      <c r="O8">
        <f t="shared" si="1"/>
        <v>40</v>
      </c>
    </row>
    <row r="9" spans="1:15" ht="42" x14ac:dyDescent="0.15">
      <c r="A9" s="80" t="s">
        <v>198</v>
      </c>
      <c r="B9" s="81">
        <v>48501</v>
      </c>
      <c r="C9" s="82" t="str">
        <f ca="1">VLOOKUP($B9,OFFSET([2]quests!$A$1,0,0,COUNTA([2]quests!$A:$A),MATCH(C$1,[2]quests!$1:$1,0)-MATCH($B$1,[2]quests!$1:$1,0)+1),MATCH(C$1,[2]quests!$1:$1,0)-MATCH($B$1,[2]quests!$1:$1,0)+1,FALSE)</f>
        <v>ナーガ襲来！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グローバル版降臨1</v>
      </c>
      <c r="E9" s="83">
        <v>2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グローバル版降臨1</v>
      </c>
      <c r="H9" s="84">
        <v>4</v>
      </c>
      <c r="I9" s="89">
        <f t="shared" si="0"/>
        <v>8</v>
      </c>
      <c r="J9" s="85" t="str">
        <f t="shared" ref="J9:J11" si="5">B9&amp;TEXT(I9,"00")</f>
        <v>4850108</v>
      </c>
      <c r="K9" s="83" t="s">
        <v>199</v>
      </c>
      <c r="L9" s="86" t="s">
        <v>200</v>
      </c>
      <c r="M9" s="108" t="s">
        <v>460</v>
      </c>
      <c r="N9" s="57" t="s">
        <v>201</v>
      </c>
      <c r="O9">
        <f t="shared" si="1"/>
        <v>44</v>
      </c>
    </row>
    <row r="10" spans="1:15" ht="28" x14ac:dyDescent="0.15">
      <c r="A10" s="80" t="s">
        <v>198</v>
      </c>
      <c r="B10" s="81">
        <v>48501</v>
      </c>
      <c r="C10" s="82" t="str">
        <f ca="1">VLOOKUP($B10,OFFSET([2]quests!$A$1,0,0,COUNTA([2]quests!$A:$A),MATCH(C$1,[2]quests!$1:$1,0)-MATCH($B$1,[2]quests!$1:$1,0)+1),MATCH(C$1,[2]quests!$1:$1,0)-MATCH($B$1,[2]quests!$1:$1,0)+1,FALSE)</f>
        <v>ナーガ襲来！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グローバル版降臨1</v>
      </c>
      <c r="E10" s="83">
        <v>2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グローバル版降臨1</v>
      </c>
      <c r="H10" s="84">
        <v>4</v>
      </c>
      <c r="I10" s="89">
        <f t="shared" si="0"/>
        <v>9</v>
      </c>
      <c r="J10" s="85" t="str">
        <f t="shared" ref="J10" si="6">B10&amp;TEXT(I10,"00")</f>
        <v>4850109</v>
      </c>
      <c r="K10" s="83" t="s">
        <v>199</v>
      </c>
      <c r="L10" s="86" t="s">
        <v>200</v>
      </c>
      <c r="M10" s="108" t="s">
        <v>461</v>
      </c>
      <c r="N10" s="57" t="s">
        <v>201</v>
      </c>
      <c r="O10">
        <f t="shared" si="1"/>
        <v>41</v>
      </c>
    </row>
    <row r="11" spans="1:15" ht="28" x14ac:dyDescent="0.15">
      <c r="A11" s="80" t="s">
        <v>198</v>
      </c>
      <c r="B11" s="81">
        <v>48501</v>
      </c>
      <c r="C11" s="82" t="str">
        <f ca="1">VLOOKUP($B11,OFFSET([2]quests!$A$1,0,0,COUNTA([2]quests!$A:$A),MATCH(C$1,[2]quests!$1:$1,0)-MATCH($B$1,[2]quests!$1:$1,0)+1),MATCH(C$1,[2]quests!$1:$1,0)-MATCH($B$1,[2]quests!$1:$1,0)+1,FALSE)</f>
        <v>ナーガ襲来！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グローバル版降臨1</v>
      </c>
      <c r="E11" s="83">
        <v>2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グローバル版降臨1</v>
      </c>
      <c r="H11" s="84">
        <v>4</v>
      </c>
      <c r="I11" s="89">
        <f t="shared" si="0"/>
        <v>10</v>
      </c>
      <c r="J11" s="85" t="str">
        <f t="shared" si="5"/>
        <v>4850110</v>
      </c>
      <c r="K11" s="83" t="s">
        <v>199</v>
      </c>
      <c r="L11" s="86" t="s">
        <v>200</v>
      </c>
      <c r="M11" s="108" t="s">
        <v>462</v>
      </c>
      <c r="N11" s="57" t="s">
        <v>201</v>
      </c>
      <c r="O11">
        <f t="shared" si="1"/>
        <v>41</v>
      </c>
    </row>
    <row r="12" spans="1:15" ht="28" x14ac:dyDescent="0.15">
      <c r="A12" s="117" t="s">
        <v>198</v>
      </c>
      <c r="B12" s="118">
        <v>48501</v>
      </c>
      <c r="C12" s="119" t="str">
        <f ca="1">VLOOKUP($B12,OFFSET([2]quests!$A$1,0,0,COUNTA([2]quests!$A:$A),MATCH(C$1,[2]quests!$1:$1,0)-MATCH($B$1,[2]quests!$1:$1,0)+1),MATCH(C$1,[2]quests!$1:$1,0)-MATCH($B$1,[2]quests!$1:$1,0)+1,FALSE)</f>
        <v>ナーガ襲来！</v>
      </c>
      <c r="D12" s="119" t="str">
        <f ca="1">VLOOKUP($B12,OFFSET([2]quests!$A$1,0,0,COUNTA([2]quests!$A:$A),MATCH(D$1,[2]quests!$1:$1,0)-MATCH($B$1,[2]quests!$1:$1,0)+1),MATCH(D$1,[2]quests!$1:$1,0)-MATCH($B$1,[2]quests!$1:$1,0)+1,FALSE)</f>
        <v>グローバル版降臨1</v>
      </c>
      <c r="E12" s="120">
        <v>1</v>
      </c>
      <c r="F12" s="119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【超絶級】ナーガ襲来</v>
      </c>
      <c r="G12" s="119" t="str">
        <f ca="1">VLOOKUP($B12&amp;"_"&amp;$E12,OFFSET([2]stages!$A$1,0,0,COUNTA([2]stages!$A:$A),MATCH(G$1,[2]stages!$2:$2,0)-MATCH("temp_stage",[2]stages!$2:$2,0)+1),MATCH(G$1,[2]stages!$2:$2,0)-MATCH("temp_stage",[2]stages!$2:$2,0)+1,FALSE)</f>
        <v>グローバル版降臨1</v>
      </c>
      <c r="H12" s="119">
        <v>1</v>
      </c>
      <c r="I12" s="89">
        <f>ROW()-1</f>
        <v>11</v>
      </c>
      <c r="J12" s="85" t="str">
        <f>B12&amp;TEXT(I12,"00")</f>
        <v>4850111</v>
      </c>
      <c r="K12" s="120" t="s">
        <v>199</v>
      </c>
      <c r="L12" s="121" t="s">
        <v>200</v>
      </c>
      <c r="M12" s="122" t="s">
        <v>453</v>
      </c>
      <c r="N12" s="123" t="s">
        <v>201</v>
      </c>
      <c r="O12">
        <f t="shared" si="1"/>
        <v>23</v>
      </c>
    </row>
    <row r="13" spans="1:15" ht="28" x14ac:dyDescent="0.15">
      <c r="A13" s="117" t="s">
        <v>198</v>
      </c>
      <c r="B13" s="118">
        <v>48501</v>
      </c>
      <c r="C13" s="119" t="str">
        <f ca="1">VLOOKUP($B13,OFFSET([2]quests!$A$1,0,0,COUNTA([2]quests!$A:$A),MATCH(C$1,[2]quests!$1:$1,0)-MATCH($B$1,[2]quests!$1:$1,0)+1),MATCH(C$1,[2]quests!$1:$1,0)-MATCH($B$1,[2]quests!$1:$1,0)+1,FALSE)</f>
        <v>ナーガ襲来！</v>
      </c>
      <c r="D13" s="119" t="str">
        <f ca="1">VLOOKUP($B13,OFFSET([2]quests!$A$1,0,0,COUNTA([2]quests!$A:$A),MATCH(D$1,[2]quests!$1:$1,0)-MATCH($B$1,[2]quests!$1:$1,0)+1),MATCH(D$1,[2]quests!$1:$1,0)-MATCH($B$1,[2]quests!$1:$1,0)+1,FALSE)</f>
        <v>グローバル版降臨1</v>
      </c>
      <c r="E13" s="120">
        <v>1</v>
      </c>
      <c r="F13" s="119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【超絶級】ナーガ襲来</v>
      </c>
      <c r="G13" s="119" t="str">
        <f ca="1">VLOOKUP($B13&amp;"_"&amp;$E13,OFFSET([2]stages!$A$1,0,0,COUNTA([2]stages!$A:$A),MATCH(G$1,[2]stages!$2:$2,0)-MATCH("temp_stage",[2]stages!$2:$2,0)+1),MATCH(G$1,[2]stages!$2:$2,0)-MATCH("temp_stage",[2]stages!$2:$2,0)+1,FALSE)</f>
        <v>グローバル版降臨1</v>
      </c>
      <c r="H13" s="119">
        <v>2</v>
      </c>
      <c r="I13" s="89">
        <f t="shared" si="0"/>
        <v>12</v>
      </c>
      <c r="J13" s="85" t="str">
        <f>B13&amp;TEXT(I13,"00")</f>
        <v>4850112</v>
      </c>
      <c r="K13" s="120" t="s">
        <v>199</v>
      </c>
      <c r="L13" s="121" t="s">
        <v>200</v>
      </c>
      <c r="M13" s="122" t="s">
        <v>454</v>
      </c>
      <c r="N13" s="123" t="s">
        <v>201</v>
      </c>
      <c r="O13">
        <f t="shared" si="1"/>
        <v>37</v>
      </c>
    </row>
    <row r="14" spans="1:15" ht="28" x14ac:dyDescent="0.15">
      <c r="A14" s="117" t="s">
        <v>198</v>
      </c>
      <c r="B14" s="118">
        <v>48501</v>
      </c>
      <c r="C14" s="119" t="str">
        <f ca="1">VLOOKUP($B14,OFFSET([2]quests!$A$1,0,0,COUNTA([2]quests!$A:$A),MATCH(C$1,[2]quests!$1:$1,0)-MATCH($B$1,[2]quests!$1:$1,0)+1),MATCH(C$1,[2]quests!$1:$1,0)-MATCH($B$1,[2]quests!$1:$1,0)+1,FALSE)</f>
        <v>ナーガ襲来！</v>
      </c>
      <c r="D14" s="119" t="str">
        <f ca="1">VLOOKUP($B14,OFFSET([2]quests!$A$1,0,0,COUNTA([2]quests!$A:$A),MATCH(D$1,[2]quests!$1:$1,0)-MATCH($B$1,[2]quests!$1:$1,0)+1),MATCH(D$1,[2]quests!$1:$1,0)-MATCH($B$1,[2]quests!$1:$1,0)+1,FALSE)</f>
        <v>グローバル版降臨1</v>
      </c>
      <c r="E14" s="120">
        <v>1</v>
      </c>
      <c r="F14" s="119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【超絶級】ナーガ襲来</v>
      </c>
      <c r="G14" s="119" t="str">
        <f ca="1">VLOOKUP($B14&amp;"_"&amp;$E14,OFFSET([2]stages!$A$1,0,0,COUNTA([2]stages!$A:$A),MATCH(G$1,[2]stages!$2:$2,0)-MATCH("temp_stage",[2]stages!$2:$2,0)+1),MATCH(G$1,[2]stages!$2:$2,0)-MATCH("temp_stage",[2]stages!$2:$2,0)+1,FALSE)</f>
        <v>グローバル版降臨1</v>
      </c>
      <c r="H14" s="119">
        <v>2</v>
      </c>
      <c r="I14" s="89">
        <f t="shared" si="0"/>
        <v>13</v>
      </c>
      <c r="J14" s="85" t="str">
        <f t="shared" ref="J14:J16" si="7">B14&amp;TEXT(I14,"00")</f>
        <v>4850113</v>
      </c>
      <c r="K14" s="120" t="s">
        <v>199</v>
      </c>
      <c r="L14" s="121" t="s">
        <v>200</v>
      </c>
      <c r="M14" s="122" t="s">
        <v>455</v>
      </c>
      <c r="N14" s="123" t="s">
        <v>201</v>
      </c>
      <c r="O14">
        <f t="shared" si="1"/>
        <v>36</v>
      </c>
    </row>
    <row r="15" spans="1:15" ht="28" x14ac:dyDescent="0.15">
      <c r="A15" s="117" t="s">
        <v>198</v>
      </c>
      <c r="B15" s="118">
        <v>48501</v>
      </c>
      <c r="C15" s="119" t="str">
        <f ca="1">VLOOKUP($B15,OFFSET([2]quests!$A$1,0,0,COUNTA([2]quests!$A:$A),MATCH(C$1,[2]quests!$1:$1,0)-MATCH($B$1,[2]quests!$1:$1,0)+1),MATCH(C$1,[2]quests!$1:$1,0)-MATCH($B$1,[2]quests!$1:$1,0)+1,FALSE)</f>
        <v>ナーガ襲来！</v>
      </c>
      <c r="D15" s="119" t="str">
        <f ca="1">VLOOKUP($B15,OFFSET([2]quests!$A$1,0,0,COUNTA([2]quests!$A:$A),MATCH(D$1,[2]quests!$1:$1,0)-MATCH($B$1,[2]quests!$1:$1,0)+1),MATCH(D$1,[2]quests!$1:$1,0)-MATCH($B$1,[2]quests!$1:$1,0)+1,FALSE)</f>
        <v>グローバル版降臨1</v>
      </c>
      <c r="E15" s="120">
        <v>1</v>
      </c>
      <c r="F15" s="119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【超絶級】ナーガ襲来</v>
      </c>
      <c r="G15" s="119" t="str">
        <f ca="1">VLOOKUP($B15&amp;"_"&amp;$E15,OFFSET([2]stages!$A$1,0,0,COUNTA([2]stages!$A:$A),MATCH(G$1,[2]stages!$2:$2,0)-MATCH("temp_stage",[2]stages!$2:$2,0)+1),MATCH(G$1,[2]stages!$2:$2,0)-MATCH("temp_stage",[2]stages!$2:$2,0)+1,FALSE)</f>
        <v>グローバル版降臨1</v>
      </c>
      <c r="H15" s="119">
        <v>3</v>
      </c>
      <c r="I15" s="89">
        <f t="shared" si="0"/>
        <v>14</v>
      </c>
      <c r="J15" s="85" t="str">
        <f t="shared" si="7"/>
        <v>4850114</v>
      </c>
      <c r="K15" s="120" t="s">
        <v>199</v>
      </c>
      <c r="L15" s="121" t="s">
        <v>200</v>
      </c>
      <c r="M15" s="122" t="s">
        <v>456</v>
      </c>
      <c r="N15" s="123" t="s">
        <v>201</v>
      </c>
      <c r="O15">
        <f t="shared" si="1"/>
        <v>33</v>
      </c>
    </row>
    <row r="16" spans="1:15" ht="56" x14ac:dyDescent="0.15">
      <c r="A16" s="117" t="s">
        <v>198</v>
      </c>
      <c r="B16" s="118">
        <v>48501</v>
      </c>
      <c r="C16" s="119" t="str">
        <f ca="1">VLOOKUP($B16,OFFSET([2]quests!$A$1,0,0,COUNTA([2]quests!$A:$A),MATCH(C$1,[2]quests!$1:$1,0)-MATCH($B$1,[2]quests!$1:$1,0)+1),MATCH(C$1,[2]quests!$1:$1,0)-MATCH($B$1,[2]quests!$1:$1,0)+1,FALSE)</f>
        <v>ナーガ襲来！</v>
      </c>
      <c r="D16" s="119" t="str">
        <f ca="1">VLOOKUP($B16,OFFSET([2]quests!$A$1,0,0,COUNTA([2]quests!$A:$A),MATCH(D$1,[2]quests!$1:$1,0)-MATCH($B$1,[2]quests!$1:$1,0)+1),MATCH(D$1,[2]quests!$1:$1,0)-MATCH($B$1,[2]quests!$1:$1,0)+1,FALSE)</f>
        <v>グローバル版降臨1</v>
      </c>
      <c r="E16" s="120">
        <v>1</v>
      </c>
      <c r="F16" s="119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【超絶級】ナーガ襲来</v>
      </c>
      <c r="G16" s="119" t="str">
        <f ca="1">VLOOKUP($B16&amp;"_"&amp;$E16,OFFSET([2]stages!$A$1,0,0,COUNTA([2]stages!$A:$A),MATCH(G$1,[2]stages!$2:$2,0)-MATCH("temp_stage",[2]stages!$2:$2,0)+1),MATCH(G$1,[2]stages!$2:$2,0)-MATCH("temp_stage",[2]stages!$2:$2,0)+1,FALSE)</f>
        <v>グローバル版降臨1</v>
      </c>
      <c r="H16" s="119">
        <v>4</v>
      </c>
      <c r="I16" s="89">
        <f t="shared" si="0"/>
        <v>15</v>
      </c>
      <c r="J16" s="85" t="str">
        <f t="shared" si="7"/>
        <v>4850115</v>
      </c>
      <c r="K16" s="120" t="s">
        <v>199</v>
      </c>
      <c r="L16" s="121" t="s">
        <v>200</v>
      </c>
      <c r="M16" s="122" t="s">
        <v>457</v>
      </c>
      <c r="N16" s="123" t="s">
        <v>201</v>
      </c>
      <c r="O16">
        <f t="shared" si="1"/>
        <v>54</v>
      </c>
    </row>
    <row r="17" spans="1:15" ht="42" x14ac:dyDescent="0.15">
      <c r="A17" s="117" t="s">
        <v>198</v>
      </c>
      <c r="B17" s="118">
        <v>48501</v>
      </c>
      <c r="C17" s="119" t="str">
        <f ca="1">VLOOKUP($B17,OFFSET([2]quests!$A$1,0,0,COUNTA([2]quests!$A:$A),MATCH(C$1,[2]quests!$1:$1,0)-MATCH($B$1,[2]quests!$1:$1,0)+1),MATCH(C$1,[2]quests!$1:$1,0)-MATCH($B$1,[2]quests!$1:$1,0)+1,FALSE)</f>
        <v>ナーガ襲来！</v>
      </c>
      <c r="D17" s="119" t="str">
        <f ca="1">VLOOKUP($B17,OFFSET([2]quests!$A$1,0,0,COUNTA([2]quests!$A:$A),MATCH(D$1,[2]quests!$1:$1,0)-MATCH($B$1,[2]quests!$1:$1,0)+1),MATCH(D$1,[2]quests!$1:$1,0)-MATCH($B$1,[2]quests!$1:$1,0)+1,FALSE)</f>
        <v>グローバル版降臨1</v>
      </c>
      <c r="E17" s="120">
        <v>1</v>
      </c>
      <c r="F17" s="119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【超絶級】ナーガ襲来</v>
      </c>
      <c r="G17" s="119" t="str">
        <f ca="1">VLOOKUP($B17&amp;"_"&amp;$E17,OFFSET([2]stages!$A$1,0,0,COUNTA([2]stages!$A:$A),MATCH(G$1,[2]stages!$2:$2,0)-MATCH("temp_stage",[2]stages!$2:$2,0)+1),MATCH(G$1,[2]stages!$2:$2,0)-MATCH("temp_stage",[2]stages!$2:$2,0)+1,FALSE)</f>
        <v>グローバル版降臨1</v>
      </c>
      <c r="H17" s="119">
        <v>4</v>
      </c>
      <c r="I17" s="89">
        <f>ROW()-1</f>
        <v>16</v>
      </c>
      <c r="J17" s="85" t="str">
        <f>B17&amp;TEXT(I17,"00")</f>
        <v>4850116</v>
      </c>
      <c r="K17" s="120" t="s">
        <v>199</v>
      </c>
      <c r="L17" s="121" t="s">
        <v>200</v>
      </c>
      <c r="M17" s="122" t="s">
        <v>458</v>
      </c>
      <c r="N17" s="123" t="s">
        <v>201</v>
      </c>
      <c r="O17">
        <f t="shared" si="1"/>
        <v>44</v>
      </c>
    </row>
    <row r="18" spans="1:15" ht="28" x14ac:dyDescent="0.15">
      <c r="A18" s="117" t="s">
        <v>198</v>
      </c>
      <c r="B18" s="118">
        <v>48501</v>
      </c>
      <c r="C18" s="119" t="str">
        <f ca="1">VLOOKUP($B18,OFFSET([2]quests!$A$1,0,0,COUNTA([2]quests!$A:$A),MATCH(C$1,[2]quests!$1:$1,0)-MATCH($B$1,[2]quests!$1:$1,0)+1),MATCH(C$1,[2]quests!$1:$1,0)-MATCH($B$1,[2]quests!$1:$1,0)+1,FALSE)</f>
        <v>ナーガ襲来！</v>
      </c>
      <c r="D18" s="119" t="str">
        <f ca="1">VLOOKUP($B18,OFFSET([2]quests!$A$1,0,0,COUNTA([2]quests!$A:$A),MATCH(D$1,[2]quests!$1:$1,0)-MATCH($B$1,[2]quests!$1:$1,0)+1),MATCH(D$1,[2]quests!$1:$1,0)-MATCH($B$1,[2]quests!$1:$1,0)+1,FALSE)</f>
        <v>グローバル版降臨1</v>
      </c>
      <c r="E18" s="120">
        <v>1</v>
      </c>
      <c r="F18" s="119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【超絶級】ナーガ襲来</v>
      </c>
      <c r="G18" s="119" t="str">
        <f ca="1">VLOOKUP($B18&amp;"_"&amp;$E18,OFFSET([2]stages!$A$1,0,0,COUNTA([2]stages!$A:$A),MATCH(G$1,[2]stages!$2:$2,0)-MATCH("temp_stage",[2]stages!$2:$2,0)+1),MATCH(G$1,[2]stages!$2:$2,0)-MATCH("temp_stage",[2]stages!$2:$2,0)+1,FALSE)</f>
        <v>グローバル版降臨1</v>
      </c>
      <c r="H18" s="119">
        <v>4</v>
      </c>
      <c r="I18" s="89">
        <f t="shared" si="0"/>
        <v>17</v>
      </c>
      <c r="J18" s="85" t="str">
        <f t="shared" ref="J18:J21" si="8">B18&amp;TEXT(I18,"00")</f>
        <v>4850117</v>
      </c>
      <c r="K18" s="120" t="s">
        <v>199</v>
      </c>
      <c r="L18" s="121" t="s">
        <v>200</v>
      </c>
      <c r="M18" s="122" t="s">
        <v>459</v>
      </c>
      <c r="N18" s="123" t="s">
        <v>201</v>
      </c>
      <c r="O18">
        <f t="shared" si="1"/>
        <v>40</v>
      </c>
    </row>
    <row r="19" spans="1:15" ht="42" x14ac:dyDescent="0.15">
      <c r="A19" s="117" t="s">
        <v>198</v>
      </c>
      <c r="B19" s="118">
        <v>48501</v>
      </c>
      <c r="C19" s="119" t="str">
        <f ca="1">VLOOKUP($B19,OFFSET([2]quests!$A$1,0,0,COUNTA([2]quests!$A:$A),MATCH(C$1,[2]quests!$1:$1,0)-MATCH($B$1,[2]quests!$1:$1,0)+1),MATCH(C$1,[2]quests!$1:$1,0)-MATCH($B$1,[2]quests!$1:$1,0)+1,FALSE)</f>
        <v>ナーガ襲来！</v>
      </c>
      <c r="D19" s="119" t="str">
        <f ca="1">VLOOKUP($B19,OFFSET([2]quests!$A$1,0,0,COUNTA([2]quests!$A:$A),MATCH(D$1,[2]quests!$1:$1,0)-MATCH($B$1,[2]quests!$1:$1,0)+1),MATCH(D$1,[2]quests!$1:$1,0)-MATCH($B$1,[2]quests!$1:$1,0)+1,FALSE)</f>
        <v>グローバル版降臨1</v>
      </c>
      <c r="E19" s="120">
        <v>1</v>
      </c>
      <c r="F19" s="119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【超絶級】ナーガ襲来</v>
      </c>
      <c r="G19" s="119" t="str">
        <f ca="1">VLOOKUP($B19&amp;"_"&amp;$E19,OFFSET([2]stages!$A$1,0,0,COUNTA([2]stages!$A:$A),MATCH(G$1,[2]stages!$2:$2,0)-MATCH("temp_stage",[2]stages!$2:$2,0)+1),MATCH(G$1,[2]stages!$2:$2,0)-MATCH("temp_stage",[2]stages!$2:$2,0)+1,FALSE)</f>
        <v>グローバル版降臨1</v>
      </c>
      <c r="H19" s="119">
        <v>4</v>
      </c>
      <c r="I19" s="89">
        <f t="shared" si="0"/>
        <v>18</v>
      </c>
      <c r="J19" s="85" t="str">
        <f t="shared" si="8"/>
        <v>4850118</v>
      </c>
      <c r="K19" s="120" t="s">
        <v>199</v>
      </c>
      <c r="L19" s="121" t="s">
        <v>200</v>
      </c>
      <c r="M19" s="122" t="s">
        <v>460</v>
      </c>
      <c r="N19" s="123" t="s">
        <v>201</v>
      </c>
      <c r="O19">
        <f t="shared" si="1"/>
        <v>44</v>
      </c>
    </row>
    <row r="20" spans="1:15" ht="28" x14ac:dyDescent="0.15">
      <c r="A20" s="117" t="s">
        <v>198</v>
      </c>
      <c r="B20" s="118">
        <v>48501</v>
      </c>
      <c r="C20" s="119" t="str">
        <f ca="1">VLOOKUP($B20,OFFSET([2]quests!$A$1,0,0,COUNTA([2]quests!$A:$A),MATCH(C$1,[2]quests!$1:$1,0)-MATCH($B$1,[2]quests!$1:$1,0)+1),MATCH(C$1,[2]quests!$1:$1,0)-MATCH($B$1,[2]quests!$1:$1,0)+1,FALSE)</f>
        <v>ナーガ襲来！</v>
      </c>
      <c r="D20" s="119" t="str">
        <f ca="1">VLOOKUP($B20,OFFSET([2]quests!$A$1,0,0,COUNTA([2]quests!$A:$A),MATCH(D$1,[2]quests!$1:$1,0)-MATCH($B$1,[2]quests!$1:$1,0)+1),MATCH(D$1,[2]quests!$1:$1,0)-MATCH($B$1,[2]quests!$1:$1,0)+1,FALSE)</f>
        <v>グローバル版降臨1</v>
      </c>
      <c r="E20" s="120">
        <v>1</v>
      </c>
      <c r="F20" s="119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【超絶級】ナーガ襲来</v>
      </c>
      <c r="G20" s="119" t="str">
        <f ca="1">VLOOKUP($B20&amp;"_"&amp;$E20,OFFSET([2]stages!$A$1,0,0,COUNTA([2]stages!$A:$A),MATCH(G$1,[2]stages!$2:$2,0)-MATCH("temp_stage",[2]stages!$2:$2,0)+1),MATCH(G$1,[2]stages!$2:$2,0)-MATCH("temp_stage",[2]stages!$2:$2,0)+1,FALSE)</f>
        <v>グローバル版降臨1</v>
      </c>
      <c r="H20" s="119">
        <v>4</v>
      </c>
      <c r="I20" s="89">
        <f t="shared" si="0"/>
        <v>19</v>
      </c>
      <c r="J20" s="85" t="str">
        <f t="shared" si="8"/>
        <v>4850119</v>
      </c>
      <c r="K20" s="120" t="s">
        <v>199</v>
      </c>
      <c r="L20" s="121" t="s">
        <v>200</v>
      </c>
      <c r="M20" s="122" t="s">
        <v>461</v>
      </c>
      <c r="N20" s="123" t="s">
        <v>201</v>
      </c>
      <c r="O20">
        <f t="shared" si="1"/>
        <v>41</v>
      </c>
    </row>
    <row r="21" spans="1:15" ht="28" x14ac:dyDescent="0.15">
      <c r="A21" s="117" t="s">
        <v>198</v>
      </c>
      <c r="B21" s="118">
        <v>48501</v>
      </c>
      <c r="C21" s="119" t="str">
        <f ca="1">VLOOKUP($B21,OFFSET([2]quests!$A$1,0,0,COUNTA([2]quests!$A:$A),MATCH(C$1,[2]quests!$1:$1,0)-MATCH($B$1,[2]quests!$1:$1,0)+1),MATCH(C$1,[2]quests!$1:$1,0)-MATCH($B$1,[2]quests!$1:$1,0)+1,FALSE)</f>
        <v>ナーガ襲来！</v>
      </c>
      <c r="D21" s="119" t="str">
        <f ca="1">VLOOKUP($B21,OFFSET([2]quests!$A$1,0,0,COUNTA([2]quests!$A:$A),MATCH(D$1,[2]quests!$1:$1,0)-MATCH($B$1,[2]quests!$1:$1,0)+1),MATCH(D$1,[2]quests!$1:$1,0)-MATCH($B$1,[2]quests!$1:$1,0)+1,FALSE)</f>
        <v>グローバル版降臨1</v>
      </c>
      <c r="E21" s="120">
        <v>1</v>
      </c>
      <c r="F21" s="119" t="str">
        <f ca="1">VLOOKUP($B21&amp;"_"&amp;$E21,OFFSET([2]stages!$A$1,0,0,COUNTA([2]stages!$A:$A),MATCH(F$1,[2]stages!$2:$2,0)-MATCH("temp_stage",[2]stages!$2:$2,0)+1),MATCH(F$1,[2]stages!$2:$2,0)-MATCH("temp_stage",[2]stages!$2:$2,0)+1,FALSE)</f>
        <v>【超絶級】ナーガ襲来</v>
      </c>
      <c r="G21" s="119" t="str">
        <f ca="1">VLOOKUP($B21&amp;"_"&amp;$E21,OFFSET([2]stages!$A$1,0,0,COUNTA([2]stages!$A:$A),MATCH(G$1,[2]stages!$2:$2,0)-MATCH("temp_stage",[2]stages!$2:$2,0)+1),MATCH(G$1,[2]stages!$2:$2,0)-MATCH("temp_stage",[2]stages!$2:$2,0)+1,FALSE)</f>
        <v>グローバル版降臨1</v>
      </c>
      <c r="H21" s="119">
        <v>4</v>
      </c>
      <c r="I21" s="89">
        <f t="shared" si="0"/>
        <v>20</v>
      </c>
      <c r="J21" s="85" t="str">
        <f t="shared" si="8"/>
        <v>4850120</v>
      </c>
      <c r="K21" s="120" t="s">
        <v>199</v>
      </c>
      <c r="L21" s="121" t="s">
        <v>200</v>
      </c>
      <c r="M21" s="122" t="s">
        <v>462</v>
      </c>
      <c r="N21" s="123" t="s">
        <v>201</v>
      </c>
      <c r="O21">
        <f t="shared" si="1"/>
        <v>41</v>
      </c>
    </row>
    <row r="22" spans="1:15" ht="56" x14ac:dyDescent="0.15">
      <c r="A22" s="80" t="s">
        <v>202</v>
      </c>
      <c r="B22" s="81">
        <v>48501</v>
      </c>
      <c r="C22" s="82" t="str">
        <f ca="1">VLOOKUP($B22,OFFSET([2]quests!$A$1,0,0,COUNTA([2]quests!$A:$A),MATCH(C$1,[2]quests!$1:$1,0)-MATCH($B$1,[2]quests!$1:$1,0)+1),MATCH(C$1,[2]quests!$1:$1,0)-MATCH($B$1,[2]quests!$1:$1,0)+1,FALSE)</f>
        <v>ナーガ襲来！</v>
      </c>
      <c r="D22" s="82" t="str">
        <f ca="1">VLOOKUP($B22,OFFSET([2]quests!$A$1,0,0,COUNTA([2]quests!$A:$A),MATCH(D$1,[2]quests!$1:$1,0)-MATCH($B$1,[2]quests!$1:$1,0)+1),MATCH(D$1,[2]quests!$1:$1,0)-MATCH($B$1,[2]quests!$1:$1,0)+1,FALSE)</f>
        <v>グローバル版降臨1</v>
      </c>
      <c r="E22" s="83">
        <v>2</v>
      </c>
      <c r="F22" s="82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22" s="82" t="str">
        <f ca="1">VLOOKUP($B22&amp;"_"&amp;$E22,OFFSET([2]stages!$A$1,0,0,COUNTA([2]stages!$A:$A),MATCH(G$1,[2]stages!$2:$2,0)-MATCH("temp_stage",[2]stages!$2:$2,0)+1),MATCH(G$1,[2]stages!$2:$2,0)-MATCH("temp_stage",[2]stages!$2:$2,0)+1,FALSE)</f>
        <v>グローバル版降臨1</v>
      </c>
      <c r="H22" s="84">
        <v>0</v>
      </c>
      <c r="I22" s="89">
        <f t="shared" si="0"/>
        <v>21</v>
      </c>
      <c r="J22" s="85" t="str">
        <f t="shared" ref="J22" si="9">B22&amp;TEXT(I22,"00")</f>
        <v>4850121</v>
      </c>
      <c r="K22" s="83" t="s">
        <v>199</v>
      </c>
      <c r="L22" s="86" t="s">
        <v>422</v>
      </c>
      <c r="M22" s="108" t="s">
        <v>425</v>
      </c>
      <c r="N22" s="57" t="s">
        <v>201</v>
      </c>
      <c r="O22">
        <f t="shared" si="1"/>
        <v>59</v>
      </c>
    </row>
    <row r="23" spans="1:15" ht="56" x14ac:dyDescent="0.15">
      <c r="A23" s="80" t="s">
        <v>202</v>
      </c>
      <c r="B23" s="81">
        <v>48501</v>
      </c>
      <c r="C23" s="82" t="str">
        <f ca="1">VLOOKUP($B23,OFFSET([2]quests!$A$1,0,0,COUNTA([2]quests!$A:$A),MATCH(C$1,[2]quests!$1:$1,0)-MATCH($B$1,[2]quests!$1:$1,0)+1),MATCH(C$1,[2]quests!$1:$1,0)-MATCH($B$1,[2]quests!$1:$1,0)+1,FALSE)</f>
        <v>ナーガ襲来！</v>
      </c>
      <c r="D23" s="82" t="str">
        <f ca="1">VLOOKUP($B23,OFFSET([2]quests!$A$1,0,0,COUNTA([2]quests!$A:$A),MATCH(D$1,[2]quests!$1:$1,0)-MATCH($B$1,[2]quests!$1:$1,0)+1),MATCH(D$1,[2]quests!$1:$1,0)-MATCH($B$1,[2]quests!$1:$1,0)+1,FALSE)</f>
        <v>グローバル版降臨1</v>
      </c>
      <c r="E23" s="83">
        <v>2</v>
      </c>
      <c r="F23" s="82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23" s="82" t="str">
        <f ca="1">VLOOKUP($B23&amp;"_"&amp;$E23,OFFSET([2]stages!$A$1,0,0,COUNTA([2]stages!$A:$A),MATCH(G$1,[2]stages!$2:$2,0)-MATCH("temp_stage",[2]stages!$2:$2,0)+1),MATCH(G$1,[2]stages!$2:$2,0)-MATCH("temp_stage",[2]stages!$2:$2,0)+1,FALSE)</f>
        <v>グローバル版降臨1</v>
      </c>
      <c r="H23" s="84">
        <v>0</v>
      </c>
      <c r="I23" s="89">
        <f t="shared" si="0"/>
        <v>22</v>
      </c>
      <c r="J23" s="85" t="str">
        <f t="shared" ref="J23:J25" si="10">B23&amp;TEXT(I23,"00")</f>
        <v>4850122</v>
      </c>
      <c r="K23" s="83" t="s">
        <v>199</v>
      </c>
      <c r="L23" s="86" t="s">
        <v>426</v>
      </c>
      <c r="M23" s="108" t="s">
        <v>424</v>
      </c>
      <c r="N23" s="57" t="s">
        <v>201</v>
      </c>
      <c r="O23">
        <f t="shared" si="1"/>
        <v>57</v>
      </c>
    </row>
    <row r="24" spans="1:15" ht="56" x14ac:dyDescent="0.15">
      <c r="A24" s="80" t="s">
        <v>202</v>
      </c>
      <c r="B24" s="81">
        <v>48501</v>
      </c>
      <c r="C24" s="82" t="str">
        <f ca="1">VLOOKUP($B24,OFFSET([2]quests!$A$1,0,0,COUNTA([2]quests!$A:$A),MATCH(C$1,[2]quests!$1:$1,0)-MATCH($B$1,[2]quests!$1:$1,0)+1),MATCH(C$1,[2]quests!$1:$1,0)-MATCH($B$1,[2]quests!$1:$1,0)+1,FALSE)</f>
        <v>ナーガ襲来！</v>
      </c>
      <c r="D24" s="82" t="str">
        <f ca="1">VLOOKUP($B24,OFFSET([2]quests!$A$1,0,0,COUNTA([2]quests!$A:$A),MATCH(D$1,[2]quests!$1:$1,0)-MATCH($B$1,[2]quests!$1:$1,0)+1),MATCH(D$1,[2]quests!$1:$1,0)-MATCH($B$1,[2]quests!$1:$1,0)+1,FALSE)</f>
        <v>グローバル版降臨1</v>
      </c>
      <c r="E24" s="83">
        <v>2</v>
      </c>
      <c r="F24" s="82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24" s="82" t="str">
        <f ca="1">VLOOKUP($B24&amp;"_"&amp;$E24,OFFSET([2]stages!$A$1,0,0,COUNTA([2]stages!$A:$A),MATCH(G$1,[2]stages!$2:$2,0)-MATCH("temp_stage",[2]stages!$2:$2,0)+1),MATCH(G$1,[2]stages!$2:$2,0)-MATCH("temp_stage",[2]stages!$2:$2,0)+1,FALSE)</f>
        <v>グローバル版降臨1</v>
      </c>
      <c r="H24" s="84">
        <v>0</v>
      </c>
      <c r="I24" s="89">
        <f t="shared" si="0"/>
        <v>23</v>
      </c>
      <c r="J24" s="85" t="str">
        <f t="shared" si="10"/>
        <v>4850123</v>
      </c>
      <c r="K24" s="83" t="s">
        <v>199</v>
      </c>
      <c r="L24" s="86" t="s">
        <v>427</v>
      </c>
      <c r="M24" s="108" t="s">
        <v>423</v>
      </c>
      <c r="N24" s="57" t="s">
        <v>201</v>
      </c>
      <c r="O24">
        <f t="shared" si="1"/>
        <v>55</v>
      </c>
    </row>
    <row r="25" spans="1:15" ht="56" x14ac:dyDescent="0.15">
      <c r="A25" s="117" t="s">
        <v>202</v>
      </c>
      <c r="B25" s="118">
        <v>48501</v>
      </c>
      <c r="C25" s="119" t="str">
        <f ca="1">VLOOKUP($B25,OFFSET([2]quests!$A$1,0,0,COUNTA([2]quests!$A:$A),MATCH(C$1,[2]quests!$1:$1,0)-MATCH($B$1,[2]quests!$1:$1,0)+1),MATCH(C$1,[2]quests!$1:$1,0)-MATCH($B$1,[2]quests!$1:$1,0)+1,FALSE)</f>
        <v>ナーガ襲来！</v>
      </c>
      <c r="D25" s="119" t="str">
        <f ca="1">VLOOKUP($B25,OFFSET([2]quests!$A$1,0,0,COUNTA([2]quests!$A:$A),MATCH(D$1,[2]quests!$1:$1,0)-MATCH($B$1,[2]quests!$1:$1,0)+1),MATCH(D$1,[2]quests!$1:$1,0)-MATCH($B$1,[2]quests!$1:$1,0)+1,FALSE)</f>
        <v>グローバル版降臨1</v>
      </c>
      <c r="E25" s="120">
        <v>1</v>
      </c>
      <c r="F25" s="119" t="str">
        <f ca="1">VLOOKUP($B25&amp;"_"&amp;$E25,OFFSET([2]stages!$A$1,0,0,COUNTA([2]stages!$A:$A),MATCH(F$1,[2]stages!$2:$2,0)-MATCH("temp_stage",[2]stages!$2:$2,0)+1),MATCH(F$1,[2]stages!$2:$2,0)-MATCH("temp_stage",[2]stages!$2:$2,0)+1,FALSE)</f>
        <v>【超絶級】ナーガ襲来</v>
      </c>
      <c r="G25" s="119" t="str">
        <f ca="1">VLOOKUP($B25&amp;"_"&amp;$E25,OFFSET([2]stages!$A$1,0,0,COUNTA([2]stages!$A:$A),MATCH(G$1,[2]stages!$2:$2,0)-MATCH("temp_stage",[2]stages!$2:$2,0)+1),MATCH(G$1,[2]stages!$2:$2,0)-MATCH("temp_stage",[2]stages!$2:$2,0)+1,FALSE)</f>
        <v>グローバル版降臨1</v>
      </c>
      <c r="H25" s="119">
        <v>0</v>
      </c>
      <c r="I25" s="89">
        <f t="shared" si="0"/>
        <v>24</v>
      </c>
      <c r="J25" s="85" t="str">
        <f t="shared" si="10"/>
        <v>4850124</v>
      </c>
      <c r="K25" s="120" t="s">
        <v>199</v>
      </c>
      <c r="L25" s="121" t="s">
        <v>428</v>
      </c>
      <c r="M25" s="122" t="s">
        <v>425</v>
      </c>
      <c r="N25" s="123" t="s">
        <v>201</v>
      </c>
      <c r="O25">
        <f>LEN(M25)</f>
        <v>59</v>
      </c>
    </row>
    <row r="26" spans="1:15" ht="56" x14ac:dyDescent="0.15">
      <c r="A26" s="117" t="s">
        <v>202</v>
      </c>
      <c r="B26" s="118">
        <v>48501</v>
      </c>
      <c r="C26" s="119" t="str">
        <f ca="1">VLOOKUP($B26,OFFSET([2]quests!$A$1,0,0,COUNTA([2]quests!$A:$A),MATCH(C$1,[2]quests!$1:$1,0)-MATCH($B$1,[2]quests!$1:$1,0)+1),MATCH(C$1,[2]quests!$1:$1,0)-MATCH($B$1,[2]quests!$1:$1,0)+1,FALSE)</f>
        <v>ナーガ襲来！</v>
      </c>
      <c r="D26" s="119" t="str">
        <f ca="1">VLOOKUP($B26,OFFSET([2]quests!$A$1,0,0,COUNTA([2]quests!$A:$A),MATCH(D$1,[2]quests!$1:$1,0)-MATCH($B$1,[2]quests!$1:$1,0)+1),MATCH(D$1,[2]quests!$1:$1,0)-MATCH($B$1,[2]quests!$1:$1,0)+1,FALSE)</f>
        <v>グローバル版降臨1</v>
      </c>
      <c r="E26" s="120">
        <v>1</v>
      </c>
      <c r="F26" s="119" t="str">
        <f ca="1">VLOOKUP($B26&amp;"_"&amp;$E26,OFFSET([2]stages!$A$1,0,0,COUNTA([2]stages!$A:$A),MATCH(F$1,[2]stages!$2:$2,0)-MATCH("temp_stage",[2]stages!$2:$2,0)+1),MATCH(F$1,[2]stages!$2:$2,0)-MATCH("temp_stage",[2]stages!$2:$2,0)+1,FALSE)</f>
        <v>【超絶級】ナーガ襲来</v>
      </c>
      <c r="G26" s="119" t="str">
        <f ca="1">VLOOKUP($B26&amp;"_"&amp;$E26,OFFSET([2]stages!$A$1,0,0,COUNTA([2]stages!$A:$A),MATCH(G$1,[2]stages!$2:$2,0)-MATCH("temp_stage",[2]stages!$2:$2,0)+1),MATCH(G$1,[2]stages!$2:$2,0)-MATCH("temp_stage",[2]stages!$2:$2,0)+1,FALSE)</f>
        <v>グローバル版降臨1</v>
      </c>
      <c r="H26" s="119">
        <v>0</v>
      </c>
      <c r="I26" s="89">
        <f t="shared" si="0"/>
        <v>25</v>
      </c>
      <c r="J26" s="85" t="str">
        <f t="shared" ref="J26:J27" si="11">B26&amp;TEXT(I26,"00")</f>
        <v>4850125</v>
      </c>
      <c r="K26" s="120" t="s">
        <v>199</v>
      </c>
      <c r="L26" s="121" t="s">
        <v>426</v>
      </c>
      <c r="M26" s="122" t="s">
        <v>424</v>
      </c>
      <c r="N26" s="123" t="s">
        <v>201</v>
      </c>
      <c r="O26">
        <f>LEN(M26)</f>
        <v>57</v>
      </c>
    </row>
    <row r="27" spans="1:15" ht="56" x14ac:dyDescent="0.15">
      <c r="A27" s="117" t="s">
        <v>202</v>
      </c>
      <c r="B27" s="118">
        <v>48501</v>
      </c>
      <c r="C27" s="119" t="str">
        <f ca="1">VLOOKUP($B27,OFFSET([2]quests!$A$1,0,0,COUNTA([2]quests!$A:$A),MATCH(C$1,[2]quests!$1:$1,0)-MATCH($B$1,[2]quests!$1:$1,0)+1),MATCH(C$1,[2]quests!$1:$1,0)-MATCH($B$1,[2]quests!$1:$1,0)+1,FALSE)</f>
        <v>ナーガ襲来！</v>
      </c>
      <c r="D27" s="119" t="str">
        <f ca="1">VLOOKUP($B27,OFFSET([2]quests!$A$1,0,0,COUNTA([2]quests!$A:$A),MATCH(D$1,[2]quests!$1:$1,0)-MATCH($B$1,[2]quests!$1:$1,0)+1),MATCH(D$1,[2]quests!$1:$1,0)-MATCH($B$1,[2]quests!$1:$1,0)+1,FALSE)</f>
        <v>グローバル版降臨1</v>
      </c>
      <c r="E27" s="120">
        <v>1</v>
      </c>
      <c r="F27" s="119" t="str">
        <f ca="1">VLOOKUP($B27&amp;"_"&amp;$E27,OFFSET([2]stages!$A$1,0,0,COUNTA([2]stages!$A:$A),MATCH(F$1,[2]stages!$2:$2,0)-MATCH("temp_stage",[2]stages!$2:$2,0)+1),MATCH(F$1,[2]stages!$2:$2,0)-MATCH("temp_stage",[2]stages!$2:$2,0)+1,FALSE)</f>
        <v>【超絶級】ナーガ襲来</v>
      </c>
      <c r="G27" s="119" t="str">
        <f ca="1">VLOOKUP($B27&amp;"_"&amp;$E27,OFFSET([2]stages!$A$1,0,0,COUNTA([2]stages!$A:$A),MATCH(G$1,[2]stages!$2:$2,0)-MATCH("temp_stage",[2]stages!$2:$2,0)+1),MATCH(G$1,[2]stages!$2:$2,0)-MATCH("temp_stage",[2]stages!$2:$2,0)+1,FALSE)</f>
        <v>グローバル版降臨1</v>
      </c>
      <c r="H27" s="119">
        <v>0</v>
      </c>
      <c r="I27" s="89">
        <f t="shared" si="0"/>
        <v>26</v>
      </c>
      <c r="J27" s="85" t="str">
        <f t="shared" si="11"/>
        <v>4850126</v>
      </c>
      <c r="K27" s="120" t="s">
        <v>199</v>
      </c>
      <c r="L27" s="121" t="s">
        <v>427</v>
      </c>
      <c r="M27" s="122" t="s">
        <v>423</v>
      </c>
      <c r="N27" s="123" t="s">
        <v>201</v>
      </c>
      <c r="O27">
        <f>LEN(M27)</f>
        <v>55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topLeftCell="D1" workbookViewId="0">
      <pane ySplit="1" topLeftCell="A2" activePane="bottomLeft" state="frozen"/>
      <selection pane="bottomLeft" activeCell="N33" sqref="N3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214</v>
      </c>
      <c r="B1" s="94" t="s">
        <v>215</v>
      </c>
      <c r="C1" s="76" t="s">
        <v>216</v>
      </c>
      <c r="D1" s="76" t="s">
        <v>33</v>
      </c>
      <c r="E1" s="94" t="s">
        <v>217</v>
      </c>
      <c r="F1" s="76" t="s">
        <v>218</v>
      </c>
      <c r="G1" s="76" t="s">
        <v>33</v>
      </c>
      <c r="H1" s="94" t="s">
        <v>219</v>
      </c>
      <c r="I1" s="94" t="s">
        <v>220</v>
      </c>
      <c r="J1" s="94" t="s">
        <v>221</v>
      </c>
      <c r="K1" s="72" t="s">
        <v>222</v>
      </c>
      <c r="L1" s="72" t="s">
        <v>223</v>
      </c>
      <c r="M1" s="72" t="s">
        <v>156</v>
      </c>
      <c r="N1" s="76" t="s">
        <v>16</v>
      </c>
      <c r="O1" s="72" t="s">
        <v>224</v>
      </c>
      <c r="P1" s="72" t="s">
        <v>57</v>
      </c>
      <c r="Q1" s="72" t="s">
        <v>225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226</v>
      </c>
      <c r="X1" s="72" t="s">
        <v>227</v>
      </c>
    </row>
    <row r="2" spans="1:24" x14ac:dyDescent="0.15">
      <c r="A2" s="95" t="str">
        <f>B2&amp;"_"&amp;E2&amp;"_"&amp;H2&amp;"_"&amp;I2&amp;"_"&amp;J2</f>
        <v>48501_2_everyone_no_continue_1</v>
      </c>
      <c r="B2" s="81">
        <v>48501</v>
      </c>
      <c r="C2" s="82" t="str">
        <f ca="1">VLOOKUP($B2,OFFSET([2]quests!$A$1,0,0,COUNTA([2]quests!$A:$A),MATCH(C$1,[2]quests!$1:$1,0)-MATCH($B$1,[2]quests!$1:$1,0)+1),MATCH(C$1,[2]quests!$1:$1,0)-MATCH($B$1,[2]quests!$1:$1,0)+1,FALSE)</f>
        <v>ナーガ襲来！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グローバル版降臨1</v>
      </c>
      <c r="E2" s="83">
        <v>2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グローバル版降臨1</v>
      </c>
      <c r="H2" s="84" t="s">
        <v>228</v>
      </c>
      <c r="I2" s="83" t="s">
        <v>232</v>
      </c>
      <c r="J2" s="83">
        <v>1</v>
      </c>
      <c r="K2" s="83">
        <v>1000</v>
      </c>
      <c r="L2" s="83" t="s">
        <v>229</v>
      </c>
      <c r="M2" s="83">
        <v>5003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ナーガ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230</v>
      </c>
      <c r="X2" s="98" t="s">
        <v>231</v>
      </c>
    </row>
    <row r="3" spans="1:24" x14ac:dyDescent="0.15">
      <c r="A3" s="95" t="str">
        <f>B3&amp;"_"&amp;E3&amp;"_"&amp;H3&amp;"_"&amp;I3&amp;"_"&amp;J3</f>
        <v>48501_2_everyone_full_member_2</v>
      </c>
      <c r="B3" s="81">
        <v>48501</v>
      </c>
      <c r="C3" s="82" t="str">
        <f ca="1">VLOOKUP($B3,OFFSET([2]quests!$A$1,0,0,COUNTA([2]quests!$A:$A),MATCH(C$1,[2]quests!$1:$1,0)-MATCH($B$1,[2]quests!$1:$1,0)+1),MATCH(C$1,[2]quests!$1:$1,0)-MATCH($B$1,[2]quests!$1:$1,0)+1,FALSE)</f>
        <v>ナーガ襲来！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グローバル版降臨1</v>
      </c>
      <c r="E3" s="83">
        <v>2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グローバル版降臨1</v>
      </c>
      <c r="H3" s="84" t="s">
        <v>228</v>
      </c>
      <c r="I3" s="83" t="s">
        <v>452</v>
      </c>
      <c r="J3" s="83">
        <v>2</v>
      </c>
      <c r="K3" s="83">
        <v>1000</v>
      </c>
      <c r="L3" s="83" t="s">
        <v>229</v>
      </c>
      <c r="M3" s="83">
        <v>5003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ナーガ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7" t="s">
        <v>230</v>
      </c>
      <c r="X3" s="98" t="s">
        <v>231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2017-01-23T08:00:18Z</dcterms:modified>
</cp:coreProperties>
</file>