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24"/>
  <workbookPr codeName="ThisWorkbook" autoCompressPictures="0"/>
  <bookViews>
    <workbookView xWindow="0" yWindow="0" windowWidth="25600" windowHeight="14340" tabRatio="816" firstSheet="3" activeTab="9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hints_i18n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16" l="1"/>
  <c r="L2" i="19"/>
  <c r="K2" i="19"/>
  <c r="A47" i="9"/>
  <c r="D47" i="9"/>
  <c r="E47" i="9"/>
  <c r="G47" i="9"/>
  <c r="H47" i="9"/>
  <c r="I47" i="9"/>
  <c r="J47" i="9"/>
  <c r="K47" i="9"/>
  <c r="L47" i="9"/>
  <c r="M47" i="9"/>
  <c r="N47" i="9"/>
  <c r="O47" i="9"/>
  <c r="A48" i="9"/>
  <c r="D48" i="9"/>
  <c r="E48" i="9"/>
  <c r="G48" i="9"/>
  <c r="H48" i="9"/>
  <c r="I48" i="9"/>
  <c r="J48" i="9"/>
  <c r="K48" i="9"/>
  <c r="L48" i="9"/>
  <c r="M48" i="9"/>
  <c r="N48" i="9"/>
  <c r="O48" i="9"/>
  <c r="A49" i="9"/>
  <c r="D49" i="9"/>
  <c r="E49" i="9"/>
  <c r="G49" i="9"/>
  <c r="H49" i="9"/>
  <c r="I49" i="9"/>
  <c r="J49" i="9"/>
  <c r="K49" i="9"/>
  <c r="L49" i="9"/>
  <c r="M49" i="9"/>
  <c r="N49" i="9"/>
  <c r="O49" i="9"/>
  <c r="J89" i="11"/>
  <c r="J88" i="11"/>
  <c r="J87" i="11"/>
  <c r="J84" i="11"/>
  <c r="J85" i="11"/>
  <c r="J86" i="11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M84" i="10"/>
  <c r="T84" i="10"/>
  <c r="W84" i="10"/>
  <c r="V84" i="10"/>
  <c r="X84" i="10"/>
  <c r="U84" i="10"/>
  <c r="Y84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L43" i="9"/>
  <c r="A35" i="9"/>
  <c r="D35" i="9"/>
  <c r="E35" i="9"/>
  <c r="G35" i="9"/>
  <c r="H35" i="9"/>
  <c r="I35" i="9"/>
  <c r="J35" i="9"/>
  <c r="K35" i="9"/>
  <c r="L35" i="9"/>
  <c r="M35" i="9"/>
  <c r="N35" i="9"/>
  <c r="O35" i="9"/>
  <c r="A42" i="9"/>
  <c r="D42" i="9"/>
  <c r="E42" i="9"/>
  <c r="G42" i="9"/>
  <c r="H42" i="9"/>
  <c r="I42" i="9"/>
  <c r="J42" i="9"/>
  <c r="K42" i="9"/>
  <c r="L42" i="9"/>
  <c r="M42" i="9"/>
  <c r="N42" i="9"/>
  <c r="O42" i="9"/>
  <c r="A29" i="9"/>
  <c r="D29" i="9"/>
  <c r="E29" i="9"/>
  <c r="G29" i="9"/>
  <c r="H29" i="9"/>
  <c r="I29" i="9"/>
  <c r="J29" i="9"/>
  <c r="K29" i="9"/>
  <c r="L29" i="9"/>
  <c r="M29" i="9"/>
  <c r="N29" i="9"/>
  <c r="O29" i="9"/>
  <c r="E36" i="9"/>
  <c r="D30" i="9"/>
  <c r="AA3" i="1"/>
  <c r="AA4" i="1"/>
  <c r="AA5" i="1"/>
  <c r="D37" i="9"/>
  <c r="A46" i="9"/>
  <c r="D46" i="9"/>
  <c r="E46" i="9"/>
  <c r="G46" i="9"/>
  <c r="H46" i="9"/>
  <c r="I46" i="9"/>
  <c r="J46" i="9"/>
  <c r="K46" i="9"/>
  <c r="L46" i="9"/>
  <c r="M46" i="9"/>
  <c r="N46" i="9"/>
  <c r="O46" i="9"/>
  <c r="J82" i="11"/>
  <c r="J83" i="11"/>
  <c r="G82" i="10"/>
  <c r="H82" i="10"/>
  <c r="I82" i="10"/>
  <c r="J82" i="10"/>
  <c r="K82" i="10"/>
  <c r="L82" i="10"/>
  <c r="M82" i="10"/>
  <c r="N82" i="10"/>
  <c r="O82" i="10"/>
  <c r="P82" i="10"/>
  <c r="Q82" i="10"/>
  <c r="R82" i="10"/>
  <c r="S82" i="10"/>
  <c r="T82" i="10"/>
  <c r="U82" i="10"/>
  <c r="V82" i="10"/>
  <c r="W82" i="10"/>
  <c r="X82" i="10"/>
  <c r="Y82" i="10"/>
  <c r="G83" i="10"/>
  <c r="H83" i="10"/>
  <c r="I83" i="10"/>
  <c r="J83" i="10"/>
  <c r="K83" i="10"/>
  <c r="L83" i="10"/>
  <c r="M83" i="10"/>
  <c r="N83" i="10"/>
  <c r="O83" i="10"/>
  <c r="P83" i="10"/>
  <c r="Q83" i="10"/>
  <c r="R83" i="10"/>
  <c r="S83" i="10"/>
  <c r="T83" i="10"/>
  <c r="U83" i="10"/>
  <c r="V83" i="10"/>
  <c r="W83" i="10"/>
  <c r="X83" i="10"/>
  <c r="Y83" i="10"/>
  <c r="A45" i="9"/>
  <c r="D45" i="9"/>
  <c r="E45" i="9"/>
  <c r="G45" i="9"/>
  <c r="H45" i="9"/>
  <c r="I45" i="9"/>
  <c r="J45" i="9"/>
  <c r="K45" i="9"/>
  <c r="L45" i="9"/>
  <c r="M45" i="9"/>
  <c r="N45" i="9"/>
  <c r="J79" i="11"/>
  <c r="O45" i="9"/>
  <c r="J24" i="11"/>
  <c r="O12" i="9"/>
  <c r="N12" i="9"/>
  <c r="M12" i="9"/>
  <c r="L12" i="9"/>
  <c r="K12" i="9"/>
  <c r="J12" i="9"/>
  <c r="I12" i="9"/>
  <c r="H12" i="9"/>
  <c r="G12" i="9"/>
  <c r="E12" i="9"/>
  <c r="D12" i="9"/>
  <c r="A12" i="9"/>
  <c r="J19" i="11"/>
  <c r="O9" i="9"/>
  <c r="N9" i="9"/>
  <c r="M9" i="9"/>
  <c r="L9" i="9"/>
  <c r="K9" i="9"/>
  <c r="J9" i="9"/>
  <c r="I9" i="9"/>
  <c r="H9" i="9"/>
  <c r="G9" i="9"/>
  <c r="E9" i="9"/>
  <c r="D9" i="9"/>
  <c r="A9" i="9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E8" i="9"/>
  <c r="J28" i="11"/>
  <c r="O14" i="9"/>
  <c r="N14" i="9"/>
  <c r="M14" i="9"/>
  <c r="L14" i="9"/>
  <c r="K14" i="9"/>
  <c r="J14" i="9"/>
  <c r="I14" i="9"/>
  <c r="H14" i="9"/>
  <c r="G14" i="9"/>
  <c r="E14" i="9"/>
  <c r="D14" i="9"/>
  <c r="A14" i="9"/>
  <c r="E6" i="9"/>
  <c r="J49" i="11"/>
  <c r="O26" i="9"/>
  <c r="N26" i="9"/>
  <c r="M26" i="9"/>
  <c r="L26" i="9"/>
  <c r="K26" i="9"/>
  <c r="J26" i="9"/>
  <c r="I26" i="9"/>
  <c r="H26" i="9"/>
  <c r="G26" i="9"/>
  <c r="E26" i="9"/>
  <c r="D26" i="9"/>
  <c r="A26" i="9"/>
  <c r="J48" i="11"/>
  <c r="O25" i="9"/>
  <c r="N25" i="9"/>
  <c r="M25" i="9"/>
  <c r="L25" i="9"/>
  <c r="K25" i="9"/>
  <c r="J25" i="9"/>
  <c r="I25" i="9"/>
  <c r="H25" i="9"/>
  <c r="G25" i="9"/>
  <c r="E25" i="9"/>
  <c r="D25" i="9"/>
  <c r="A25" i="9"/>
  <c r="J47" i="11"/>
  <c r="O24" i="9"/>
  <c r="N24" i="9"/>
  <c r="M24" i="9"/>
  <c r="L24" i="9"/>
  <c r="K24" i="9"/>
  <c r="J24" i="9"/>
  <c r="I24" i="9"/>
  <c r="H24" i="9"/>
  <c r="G24" i="9"/>
  <c r="E24" i="9"/>
  <c r="D24" i="9"/>
  <c r="A24" i="9"/>
  <c r="J46" i="11"/>
  <c r="O23" i="9"/>
  <c r="N23" i="9"/>
  <c r="M23" i="9"/>
  <c r="L23" i="9"/>
  <c r="K23" i="9"/>
  <c r="J23" i="9"/>
  <c r="I23" i="9"/>
  <c r="H23" i="9"/>
  <c r="G23" i="9"/>
  <c r="E23" i="9"/>
  <c r="D23" i="9"/>
  <c r="A23" i="9"/>
  <c r="AD4" i="1"/>
  <c r="AG4" i="1"/>
  <c r="AE4" i="1"/>
  <c r="AC4" i="1"/>
  <c r="V4" i="1"/>
  <c r="Q4" i="1"/>
  <c r="P4" i="1"/>
  <c r="O4" i="1"/>
  <c r="N4" i="1"/>
  <c r="M4" i="1"/>
  <c r="H4" i="1"/>
  <c r="G2" i="2"/>
  <c r="A2" i="2"/>
  <c r="G3" i="2"/>
  <c r="A3" i="2"/>
  <c r="G4" i="2"/>
  <c r="A4" i="2"/>
  <c r="G5" i="2"/>
  <c r="A5" i="2"/>
  <c r="J4" i="1"/>
  <c r="I4" i="1"/>
  <c r="D4" i="1"/>
  <c r="F4" i="1"/>
  <c r="E4" i="1"/>
  <c r="A4" i="1"/>
  <c r="J78" i="11"/>
  <c r="O44" i="9"/>
  <c r="N44" i="9"/>
  <c r="M44" i="9"/>
  <c r="L44" i="9"/>
  <c r="K44" i="9"/>
  <c r="J44" i="9"/>
  <c r="I44" i="9"/>
  <c r="H44" i="9"/>
  <c r="G44" i="9"/>
  <c r="E44" i="9"/>
  <c r="D44" i="9"/>
  <c r="A44" i="9"/>
  <c r="J77" i="11"/>
  <c r="O43" i="9"/>
  <c r="N43" i="9"/>
  <c r="M43" i="9"/>
  <c r="K43" i="9"/>
  <c r="J43" i="9"/>
  <c r="I43" i="9"/>
  <c r="H43" i="9"/>
  <c r="G43" i="9"/>
  <c r="E43" i="9"/>
  <c r="D43" i="9"/>
  <c r="A43" i="9"/>
  <c r="J76" i="11"/>
  <c r="J75" i="11"/>
  <c r="O41" i="9"/>
  <c r="N41" i="9"/>
  <c r="M41" i="9"/>
  <c r="L41" i="9"/>
  <c r="K41" i="9"/>
  <c r="J41" i="9"/>
  <c r="I41" i="9"/>
  <c r="H41" i="9"/>
  <c r="G41" i="9"/>
  <c r="E41" i="9"/>
  <c r="D41" i="9"/>
  <c r="A41" i="9"/>
  <c r="J74" i="11"/>
  <c r="O40" i="9"/>
  <c r="N40" i="9"/>
  <c r="M40" i="9"/>
  <c r="L40" i="9"/>
  <c r="K40" i="9"/>
  <c r="J40" i="9"/>
  <c r="I40" i="9"/>
  <c r="H40" i="9"/>
  <c r="G40" i="9"/>
  <c r="E40" i="9"/>
  <c r="D40" i="9"/>
  <c r="A40" i="9"/>
  <c r="J73" i="11"/>
  <c r="O39" i="9"/>
  <c r="N39" i="9"/>
  <c r="M39" i="9"/>
  <c r="L39" i="9"/>
  <c r="K39" i="9"/>
  <c r="J39" i="9"/>
  <c r="I39" i="9"/>
  <c r="H39" i="9"/>
  <c r="G39" i="9"/>
  <c r="E39" i="9"/>
  <c r="D39" i="9"/>
  <c r="A39" i="9"/>
  <c r="J72" i="11"/>
  <c r="O38" i="9"/>
  <c r="N38" i="9"/>
  <c r="M38" i="9"/>
  <c r="L38" i="9"/>
  <c r="K38" i="9"/>
  <c r="J38" i="9"/>
  <c r="I38" i="9"/>
  <c r="H38" i="9"/>
  <c r="G38" i="9"/>
  <c r="E38" i="9"/>
  <c r="D38" i="9"/>
  <c r="A38" i="9"/>
  <c r="J67" i="11"/>
  <c r="O37" i="9"/>
  <c r="N37" i="9"/>
  <c r="M37" i="9"/>
  <c r="L37" i="9"/>
  <c r="K37" i="9"/>
  <c r="J37" i="9"/>
  <c r="I37" i="9"/>
  <c r="H37" i="9"/>
  <c r="G37" i="9"/>
  <c r="E37" i="9"/>
  <c r="A37" i="9"/>
  <c r="J66" i="11"/>
  <c r="O36" i="9"/>
  <c r="N36" i="9"/>
  <c r="M36" i="9"/>
  <c r="L36" i="9"/>
  <c r="K36" i="9"/>
  <c r="J36" i="9"/>
  <c r="I36" i="9"/>
  <c r="H36" i="9"/>
  <c r="G36" i="9"/>
  <c r="D36" i="9"/>
  <c r="A36" i="9"/>
  <c r="J65" i="11"/>
  <c r="J64" i="11"/>
  <c r="O34" i="9"/>
  <c r="N34" i="9"/>
  <c r="M34" i="9"/>
  <c r="L34" i="9"/>
  <c r="K34" i="9"/>
  <c r="J34" i="9"/>
  <c r="I34" i="9"/>
  <c r="H34" i="9"/>
  <c r="G34" i="9"/>
  <c r="E34" i="9"/>
  <c r="D34" i="9"/>
  <c r="A34" i="9"/>
  <c r="J63" i="11"/>
  <c r="O33" i="9"/>
  <c r="N33" i="9"/>
  <c r="M33" i="9"/>
  <c r="L33" i="9"/>
  <c r="K33" i="9"/>
  <c r="J33" i="9"/>
  <c r="I33" i="9"/>
  <c r="H33" i="9"/>
  <c r="G33" i="9"/>
  <c r="E33" i="9"/>
  <c r="D33" i="9"/>
  <c r="A33" i="9"/>
  <c r="J62" i="11"/>
  <c r="O32" i="9"/>
  <c r="N32" i="9"/>
  <c r="M32" i="9"/>
  <c r="L32" i="9"/>
  <c r="K32" i="9"/>
  <c r="J32" i="9"/>
  <c r="I32" i="9"/>
  <c r="H32" i="9"/>
  <c r="G32" i="9"/>
  <c r="E32" i="9"/>
  <c r="D32" i="9"/>
  <c r="A32" i="9"/>
  <c r="J56" i="11"/>
  <c r="O31" i="9"/>
  <c r="N31" i="9"/>
  <c r="M31" i="9"/>
  <c r="L31" i="9"/>
  <c r="K31" i="9"/>
  <c r="J31" i="9"/>
  <c r="I31" i="9"/>
  <c r="H31" i="9"/>
  <c r="G31" i="9"/>
  <c r="E31" i="9"/>
  <c r="D31" i="9"/>
  <c r="A31" i="9"/>
  <c r="J55" i="11"/>
  <c r="O30" i="9"/>
  <c r="N30" i="9"/>
  <c r="M30" i="9"/>
  <c r="L30" i="9"/>
  <c r="K30" i="9"/>
  <c r="J30" i="9"/>
  <c r="I30" i="9"/>
  <c r="H30" i="9"/>
  <c r="G30" i="9"/>
  <c r="E30" i="9"/>
  <c r="A30" i="9"/>
  <c r="J53" i="11"/>
  <c r="O28" i="9"/>
  <c r="N28" i="9"/>
  <c r="M28" i="9"/>
  <c r="L28" i="9"/>
  <c r="K28" i="9"/>
  <c r="J28" i="9"/>
  <c r="I28" i="9"/>
  <c r="H28" i="9"/>
  <c r="G28" i="9"/>
  <c r="E28" i="9"/>
  <c r="D28" i="9"/>
  <c r="A28" i="9"/>
  <c r="J52" i="11"/>
  <c r="O27" i="9"/>
  <c r="N27" i="9"/>
  <c r="M27" i="9"/>
  <c r="L27" i="9"/>
  <c r="K27" i="9"/>
  <c r="J27" i="9"/>
  <c r="I27" i="9"/>
  <c r="H27" i="9"/>
  <c r="G27" i="9"/>
  <c r="E27" i="9"/>
  <c r="D27" i="9"/>
  <c r="A27" i="9"/>
  <c r="J45" i="11"/>
  <c r="O22" i="9"/>
  <c r="N22" i="9"/>
  <c r="M22" i="9"/>
  <c r="L22" i="9"/>
  <c r="K22" i="9"/>
  <c r="J22" i="9"/>
  <c r="I22" i="9"/>
  <c r="H22" i="9"/>
  <c r="G22" i="9"/>
  <c r="E22" i="9"/>
  <c r="D22" i="9"/>
  <c r="A22" i="9"/>
  <c r="J44" i="11"/>
  <c r="O21" i="9"/>
  <c r="N21" i="9"/>
  <c r="M21" i="9"/>
  <c r="L21" i="9"/>
  <c r="K21" i="9"/>
  <c r="J21" i="9"/>
  <c r="I21" i="9"/>
  <c r="H21" i="9"/>
  <c r="G21" i="9"/>
  <c r="E21" i="9"/>
  <c r="D21" i="9"/>
  <c r="A21" i="9"/>
  <c r="J43" i="11"/>
  <c r="O20" i="9"/>
  <c r="N20" i="9"/>
  <c r="M20" i="9"/>
  <c r="L20" i="9"/>
  <c r="K20" i="9"/>
  <c r="J20" i="9"/>
  <c r="I20" i="9"/>
  <c r="H20" i="9"/>
  <c r="G20" i="9"/>
  <c r="E20" i="9"/>
  <c r="D20" i="9"/>
  <c r="A20" i="9"/>
  <c r="J42" i="11"/>
  <c r="O19" i="9"/>
  <c r="N19" i="9"/>
  <c r="M19" i="9"/>
  <c r="L19" i="9"/>
  <c r="K19" i="9"/>
  <c r="J19" i="9"/>
  <c r="I19" i="9"/>
  <c r="H19" i="9"/>
  <c r="G19" i="9"/>
  <c r="E19" i="9"/>
  <c r="D19" i="9"/>
  <c r="A19" i="9"/>
  <c r="J36" i="11"/>
  <c r="O18" i="9"/>
  <c r="N18" i="9"/>
  <c r="M18" i="9"/>
  <c r="L18" i="9"/>
  <c r="K18" i="9"/>
  <c r="J18" i="9"/>
  <c r="I18" i="9"/>
  <c r="H18" i="9"/>
  <c r="G18" i="9"/>
  <c r="E18" i="9"/>
  <c r="D18" i="9"/>
  <c r="A18" i="9"/>
  <c r="J35" i="11"/>
  <c r="O17" i="9"/>
  <c r="N17" i="9"/>
  <c r="M17" i="9"/>
  <c r="L17" i="9"/>
  <c r="K17" i="9"/>
  <c r="J17" i="9"/>
  <c r="I17" i="9"/>
  <c r="H17" i="9"/>
  <c r="G17" i="9"/>
  <c r="E17" i="9"/>
  <c r="D17" i="9"/>
  <c r="A17" i="9"/>
  <c r="J34" i="11"/>
  <c r="J33" i="11"/>
  <c r="O16" i="9"/>
  <c r="N16" i="9"/>
  <c r="M16" i="9"/>
  <c r="L16" i="9"/>
  <c r="K16" i="9"/>
  <c r="J16" i="9"/>
  <c r="I16" i="9"/>
  <c r="H16" i="9"/>
  <c r="G16" i="9"/>
  <c r="E16" i="9"/>
  <c r="D16" i="9"/>
  <c r="A16" i="9"/>
  <c r="J32" i="11"/>
  <c r="O15" i="9"/>
  <c r="N15" i="9"/>
  <c r="M15" i="9"/>
  <c r="L15" i="9"/>
  <c r="K15" i="9"/>
  <c r="J15" i="9"/>
  <c r="I15" i="9"/>
  <c r="H15" i="9"/>
  <c r="G15" i="9"/>
  <c r="E15" i="9"/>
  <c r="D15" i="9"/>
  <c r="A15" i="9"/>
  <c r="J27" i="11"/>
  <c r="O13" i="9"/>
  <c r="N13" i="9"/>
  <c r="M13" i="9"/>
  <c r="L13" i="9"/>
  <c r="K13" i="9"/>
  <c r="J13" i="9"/>
  <c r="I13" i="9"/>
  <c r="H13" i="9"/>
  <c r="G13" i="9"/>
  <c r="E13" i="9"/>
  <c r="D13" i="9"/>
  <c r="A13" i="9"/>
  <c r="J23" i="11"/>
  <c r="O11" i="9"/>
  <c r="N11" i="9"/>
  <c r="M11" i="9"/>
  <c r="L11" i="9"/>
  <c r="K11" i="9"/>
  <c r="J11" i="9"/>
  <c r="I11" i="9"/>
  <c r="H11" i="9"/>
  <c r="G11" i="9"/>
  <c r="E11" i="9"/>
  <c r="D11" i="9"/>
  <c r="A11" i="9"/>
  <c r="J22" i="11"/>
  <c r="O10" i="9"/>
  <c r="N10" i="9"/>
  <c r="M10" i="9"/>
  <c r="L10" i="9"/>
  <c r="K10" i="9"/>
  <c r="J10" i="9"/>
  <c r="I10" i="9"/>
  <c r="H10" i="9"/>
  <c r="G10" i="9"/>
  <c r="E10" i="9"/>
  <c r="D10" i="9"/>
  <c r="A10" i="9"/>
  <c r="J18" i="11"/>
  <c r="O8" i="9"/>
  <c r="N8" i="9"/>
  <c r="M8" i="9"/>
  <c r="L8" i="9"/>
  <c r="K8" i="9"/>
  <c r="J8" i="9"/>
  <c r="I8" i="9"/>
  <c r="H8" i="9"/>
  <c r="G8" i="9"/>
  <c r="D8" i="9"/>
  <c r="A8" i="9"/>
  <c r="J17" i="11"/>
  <c r="O7" i="9"/>
  <c r="N7" i="9"/>
  <c r="M7" i="9"/>
  <c r="L7" i="9"/>
  <c r="K7" i="9"/>
  <c r="J7" i="9"/>
  <c r="I7" i="9"/>
  <c r="H7" i="9"/>
  <c r="G7" i="9"/>
  <c r="E7" i="9"/>
  <c r="D7" i="9"/>
  <c r="A7" i="9"/>
  <c r="J12" i="11"/>
  <c r="O6" i="9"/>
  <c r="N6" i="9"/>
  <c r="M6" i="9"/>
  <c r="L6" i="9"/>
  <c r="K6" i="9"/>
  <c r="J6" i="9"/>
  <c r="I6" i="9"/>
  <c r="H6" i="9"/>
  <c r="G6" i="9"/>
  <c r="D6" i="9"/>
  <c r="A6" i="9"/>
  <c r="J11" i="11"/>
  <c r="O5" i="9"/>
  <c r="N5" i="9"/>
  <c r="M5" i="9"/>
  <c r="L5" i="9"/>
  <c r="K5" i="9"/>
  <c r="J5" i="9"/>
  <c r="I5" i="9"/>
  <c r="H5" i="9"/>
  <c r="G5" i="9"/>
  <c r="E5" i="9"/>
  <c r="D5" i="9"/>
  <c r="A5" i="9"/>
  <c r="J10" i="11"/>
  <c r="J9" i="11"/>
  <c r="O4" i="9"/>
  <c r="N4" i="9"/>
  <c r="M4" i="9"/>
  <c r="L4" i="9"/>
  <c r="K4" i="9"/>
  <c r="J4" i="9"/>
  <c r="I4" i="9"/>
  <c r="H4" i="9"/>
  <c r="G4" i="9"/>
  <c r="E4" i="9"/>
  <c r="D4" i="9"/>
  <c r="A4" i="9"/>
  <c r="J8" i="11"/>
  <c r="O3" i="9"/>
  <c r="N3" i="9"/>
  <c r="M3" i="9"/>
  <c r="L3" i="9"/>
  <c r="K3" i="9"/>
  <c r="J3" i="9"/>
  <c r="I3" i="9"/>
  <c r="H3" i="9"/>
  <c r="G3" i="9"/>
  <c r="E3" i="9"/>
  <c r="D3" i="9"/>
  <c r="A3" i="9"/>
  <c r="J7" i="11"/>
  <c r="O2" i="9"/>
  <c r="N2" i="9"/>
  <c r="M2" i="9"/>
  <c r="L2" i="9"/>
  <c r="K2" i="9"/>
  <c r="J2" i="9"/>
  <c r="I2" i="9"/>
  <c r="H2" i="9"/>
  <c r="G2" i="9"/>
  <c r="E2" i="9"/>
  <c r="D2" i="9"/>
  <c r="A2" i="9"/>
  <c r="W4" i="7"/>
  <c r="R4" i="7"/>
  <c r="Q4" i="7"/>
  <c r="P4" i="7"/>
  <c r="O4" i="7"/>
  <c r="N4" i="7"/>
  <c r="H4" i="7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J81" i="11"/>
  <c r="J80" i="11"/>
  <c r="J71" i="11"/>
  <c r="J70" i="11"/>
  <c r="J69" i="11"/>
  <c r="J68" i="11"/>
  <c r="J61" i="11"/>
  <c r="J60" i="11"/>
  <c r="J59" i="11"/>
  <c r="J58" i="11"/>
  <c r="J57" i="11"/>
  <c r="J54" i="11"/>
  <c r="J51" i="11"/>
  <c r="J50" i="11"/>
  <c r="J41" i="11"/>
  <c r="J40" i="11"/>
  <c r="J39" i="11"/>
  <c r="J38" i="11"/>
  <c r="J37" i="11"/>
  <c r="J31" i="11"/>
  <c r="J30" i="11"/>
  <c r="J29" i="11"/>
  <c r="J26" i="11"/>
  <c r="J25" i="11"/>
  <c r="J21" i="11"/>
  <c r="J20" i="11"/>
  <c r="J16" i="11"/>
  <c r="J15" i="11"/>
  <c r="J14" i="11"/>
  <c r="J13" i="11"/>
  <c r="J6" i="11"/>
  <c r="J5" i="11"/>
  <c r="J4" i="11"/>
  <c r="J3" i="11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AD6" i="1"/>
  <c r="AG6" i="1"/>
  <c r="AE6" i="1"/>
  <c r="AC6" i="1"/>
  <c r="AA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3" i="1"/>
  <c r="AD3" i="1"/>
  <c r="AG3" i="1"/>
  <c r="AE3" i="1"/>
  <c r="AC3" i="1"/>
  <c r="V3" i="1"/>
  <c r="Q3" i="1"/>
  <c r="P3" i="1"/>
  <c r="O3" i="1"/>
  <c r="N3" i="1"/>
  <c r="M3" i="1"/>
  <c r="H3" i="1"/>
  <c r="J3" i="1"/>
  <c r="I3" i="1"/>
  <c r="D3" i="1"/>
  <c r="F3" i="1"/>
  <c r="E3" i="1"/>
  <c r="A3" i="1"/>
  <c r="AB9" i="1"/>
  <c r="AD9" i="1"/>
  <c r="AG9" i="1"/>
  <c r="AE9" i="1"/>
  <c r="AC9" i="1"/>
  <c r="AA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V8" i="1"/>
  <c r="Q8" i="1"/>
  <c r="P8" i="1"/>
  <c r="O8" i="1"/>
  <c r="N8" i="1"/>
  <c r="M8" i="1"/>
  <c r="H8" i="1"/>
  <c r="J8" i="1"/>
  <c r="I8" i="1"/>
  <c r="D8" i="1"/>
  <c r="F8" i="1"/>
  <c r="E8" i="1"/>
  <c r="A8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5" i="1"/>
  <c r="H5" i="2"/>
  <c r="E5" i="2"/>
  <c r="D5" i="2"/>
  <c r="H2" i="1"/>
  <c r="B5" i="2"/>
  <c r="H4" i="2"/>
  <c r="E4" i="2"/>
  <c r="D4" i="2"/>
  <c r="B4" i="2"/>
  <c r="H3" i="2"/>
  <c r="E3" i="2"/>
  <c r="D3" i="2"/>
  <c r="B3" i="2"/>
  <c r="B2" i="21"/>
  <c r="I2" i="21"/>
  <c r="J2" i="21"/>
  <c r="G2" i="21"/>
  <c r="F2" i="21"/>
  <c r="D2" i="21"/>
  <c r="C2" i="21"/>
  <c r="E13" i="16"/>
  <c r="E12" i="16"/>
  <c r="E10" i="16"/>
  <c r="J2" i="11"/>
  <c r="E9" i="16"/>
  <c r="W2" i="7"/>
  <c r="V2" i="1"/>
  <c r="R2" i="7"/>
  <c r="Q2" i="7"/>
  <c r="P2" i="7"/>
  <c r="O2" i="7"/>
  <c r="N2" i="7"/>
  <c r="AE2" i="1"/>
  <c r="AD2" i="1"/>
  <c r="AC2" i="1"/>
  <c r="AA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2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  <c r="F2" i="19"/>
  <c r="G2" i="19"/>
  <c r="C2" i="19"/>
  <c r="D2" i="19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<sst xmlns="http://schemas.openxmlformats.org/spreadsheetml/2006/main" count="1157" uniqueCount="372">
  <si>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</si>
  <si>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</si>
  <si>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</si>
  <si>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</si>
  <si>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</si>
  <si>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</si>
  <si>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</si>
  <si>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</si>
  <si>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</si>
  <si>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</si>
  <si>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</si>
  <si>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</si>
  <si>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</si>
  <si>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</si>
  <si>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</si>
  <si>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</si>
  <si>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</si>
  <si>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</si>
  <si>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</si>
  <si>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</si>
  <si>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</si>
  <si>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</si>
  <si>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</si>
  <si>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</si>
  <si>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</si>
  <si>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</si>
  <si>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</si>
  <si>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</si>
  <si>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</si>
  <si>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</si>
  <si>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</si>
  <si>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</si>
  <si>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</si>
  <si>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</si>
  <si>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</si>
  <si>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</si>
  <si>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</si>
  <si>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</si>
  <si>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</si>
  <si>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</si>
  <si>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</si>
  <si>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</si>
  <si>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</si>
  <si>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</si>
  <si>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</si>
  <si>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</si>
  <si>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</si>
  <si>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</si>
  <si>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</si>
  <si>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</si>
  <si>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</si>
  <si>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</si>
  <si>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</si>
  <si>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</si>
  <si>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</si>
  <si>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</si>
  <si>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</si>
  <si>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</si>
  <si>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</si>
  <si>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</si>
  <si>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</si>
  <si>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</si>
  <si>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</si>
  <si>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</si>
  <si>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</si>
  <si>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</si>
  <si>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</si>
  <si>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</si>
  <si>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</si>
  <si>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</si>
  <si>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</si>
  <si>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</si>
  <si>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</si>
  <si>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</si>
  <si>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</si>
  <si>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</si>
  <si>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</si>
  <si>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</si>
  <si>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</si>
  <si>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</si>
  <si>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</si>
  <si>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</si>
  <si>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</si>
  <si>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</si>
  <si>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</si>
  <si>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</si>
  <si>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</si>
  <si>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</si>
  <si>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</si>
  <si>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</si>
  <si>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</si>
  <si>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</si>
  <si>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</si>
  <si>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</si>
  <si>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</si>
  <si>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</si>
  <si>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</si>
  <si>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</si>
  <si>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</si>
  <si>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</si>
  <si>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</si>
  <si>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</si>
  <si>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</si>
  <si>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</si>
  <si>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</si>
  <si>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</si>
  <si>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</si>
  <si>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</si>
  <si>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</si>
  <si>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</si>
  <si>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</si>
  <si>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</si>
  <si>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</si>
  <si>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</si>
  <si>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</si>
  <si>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</si>
  <si>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</si>
  <si>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</si>
  <si>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</si>
  <si>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</si>
  <si>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</si>
  <si>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</si>
  <si>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</si>
  <si>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</si>
  <si>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</si>
  <si>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</si>
  <si>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</si>
  <si>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</si>
  <si>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</si>
  <si>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</si>
  <si>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</si>
  <si>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</si>
  <si>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</si>
  <si>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</si>
  <si>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</si>
  <si>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</si>
  <si>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</si>
  <si>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</si>
  <si>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</si>
  <si>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</si>
  <si>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</si>
  <si>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</si>
  <si>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</si>
  <si>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</si>
  <si>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</si>
  <si>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</si>
  <si>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</si>
  <si>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</si>
  <si>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</si>
  <si>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</si>
  <si>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</si>
  <si>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</si>
  <si>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</si>
  <si>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</si>
  <si>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</si>
  <si>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</si>
  <si>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</si>
  <si>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</si>
  <si>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</si>
  <si>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</si>
  <si>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</si>
  <si>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</si>
  <si>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</si>
  <si>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</si>
  <si>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</si>
  <si>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</si>
  <si>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</si>
  <si>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</si>
  <si>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</si>
  <si>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</si>
  <si>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</si>
  <si>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</si>
  <si>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</si>
  <si>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</si>
  <si>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</si>
  <si>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</si>
  <si>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</si>
  <si>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</si>
  <si>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</si>
  <si>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</si>
  <si>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</si>
  <si>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</si>
  <si>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</si>
  <si>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</si>
  <si>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</si>
  <si>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</si>
  <si>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</si>
  <si>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</si>
  <si>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</si>
  <si>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</si>
  <si>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</si>
  <si>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</si>
  <si>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</si>
  <si>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</si>
  <si>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</si>
  <si>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</si>
  <si>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</si>
  <si>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</si>
  <si>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</si>
  <si>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</si>
  <si>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</si>
  <si>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</si>
  <si>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</si>
  <si>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敵が強すぎます</t>
    <rPh sb="0" eb="2">
      <t>テk</t>
    </rPh>
    <rPh sb="2" eb="7">
      <t>ツヨs</t>
    </rPh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</si>
  <si>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</si>
  <si>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</si>
  <si>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</si>
  <si>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</si>
  <si>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</si>
  <si>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old</t>
  </si>
  <si>
    <t>null</t>
    <phoneticPr fontId="5"/>
  </si>
  <si>
    <t>null</t>
    <phoneticPr fontId="5"/>
  </si>
  <si>
    <t>ザコ</t>
    <phoneticPr fontId="5"/>
  </si>
  <si>
    <t>予備</t>
    <rPh sb="0" eb="2">
      <t>ヨb</t>
    </rPh>
    <phoneticPr fontId="5"/>
  </si>
  <si>
    <t>ニーズヘッグ</t>
    <phoneticPr fontId="5"/>
  </si>
  <si>
    <t>ストール1</t>
    <phoneticPr fontId="5"/>
  </si>
  <si>
    <t>ストール2</t>
    <phoneticPr fontId="5"/>
  </si>
  <si>
    <t>ラファエル</t>
    <phoneticPr fontId="5"/>
  </si>
  <si>
    <t>フギムニ1</t>
    <phoneticPr fontId="5"/>
  </si>
  <si>
    <t>フギムニ２</t>
    <phoneticPr fontId="5"/>
  </si>
  <si>
    <t>フギムニ1</t>
    <phoneticPr fontId="5"/>
  </si>
  <si>
    <t>オーディン1</t>
    <phoneticPr fontId="5"/>
  </si>
  <si>
    <t>オーディン2</t>
    <phoneticPr fontId="5"/>
  </si>
  <si>
    <t>状態異常無効</t>
    <rPh sb="0" eb="6">
      <t>jy</t>
    </rPh>
    <phoneticPr fontId="5"/>
  </si>
  <si>
    <t>連続攻撃</t>
    <rPh sb="0" eb="4">
      <t>レンゾk</t>
    </rPh>
    <phoneticPr fontId="5"/>
  </si>
  <si>
    <t>パネル大量変換</t>
    <rPh sb="3" eb="7">
      <t>タイリョウ</t>
    </rPh>
    <phoneticPr fontId="5"/>
  </si>
  <si>
    <t>全体攻撃</t>
    <rPh sb="0" eb="4">
      <t>ゼンタ</t>
    </rPh>
    <phoneticPr fontId="5"/>
  </si>
  <si>
    <t>[effect:nothing]</t>
    <phoneticPr fontId="5"/>
  </si>
  <si>
    <t>状態異常無効＋カウンター</t>
    <rPh sb="0" eb="4">
      <t>jy</t>
    </rPh>
    <rPh sb="4" eb="6">
      <t>ムコ</t>
    </rPh>
    <phoneticPr fontId="5"/>
  </si>
  <si>
    <t>ストール1</t>
    <phoneticPr fontId="5"/>
  </si>
  <si>
    <t>[effect:nothing]</t>
    <phoneticPr fontId="5"/>
  </si>
  <si>
    <t>[effect:nothing]</t>
    <phoneticPr fontId="5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</si>
  <si>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</t>
    <phoneticPr fontId="5"/>
  </si>
  <si>
    <t>緑属性に対して大ダメージの攻撃</t>
    <rPh sb="0" eb="15">
      <t>ミドr</t>
    </rPh>
    <phoneticPr fontId="5"/>
  </si>
  <si>
    <t>味方全体にスキルバインド</t>
    <rPh sb="0" eb="5">
      <t>ミカt</t>
    </rPh>
    <phoneticPr fontId="5"/>
  </si>
  <si>
    <t>ステータスアップを解除</t>
    <rPh sb="9" eb="11">
      <t>カ</t>
    </rPh>
    <phoneticPr fontId="5"/>
  </si>
  <si>
    <t>赤属性に対して大ダメージの攻撃</t>
    <rPh sb="0" eb="1">
      <t>アk</t>
    </rPh>
    <rPh sb="1" eb="15">
      <t>ミドr</t>
    </rPh>
    <phoneticPr fontId="5"/>
  </si>
  <si>
    <t>種族unkownに対して大ダメージの攻撃</t>
    <rPh sb="0" eb="2">
      <t>sy</t>
    </rPh>
    <rPh sb="9" eb="12">
      <t>タイシt</t>
    </rPh>
    <rPh sb="12" eb="18">
      <t>ダ</t>
    </rPh>
    <rPh sb="18" eb="20">
      <t>コウゲk</t>
    </rPh>
    <phoneticPr fontId="5"/>
  </si>
  <si>
    <t>フィーバーゲージ減少＋全体攻撃</t>
    <rPh sb="8" eb="10">
      <t>ゲンショ</t>
    </rPh>
    <rPh sb="11" eb="13">
      <t>ゼン</t>
    </rPh>
    <rPh sb="13" eb="15">
      <t>コウゲk</t>
    </rPh>
    <phoneticPr fontId="5"/>
  </si>
  <si>
    <t>防御力アップ＋力を溜めている</t>
    <rPh sb="0" eb="6">
      <t>ボ</t>
    </rPh>
    <rPh sb="7" eb="9">
      <t>チカr</t>
    </rPh>
    <rPh sb="9" eb="14">
      <t>タm</t>
    </rPh>
    <phoneticPr fontId="5"/>
  </si>
  <si>
    <t>[effect:change_block, new_block:jammer, target:block_heart, count:0, val:0, animation:change_block],[effect:change_block, new_block:time_bomb, target:block_blue, count:0, val:0.3, animation:change_block],[effect:change_block, new_block:block_red, target:block_yellow, count:0, val:0, animation:change_block]</t>
    <phoneticPr fontId="5"/>
  </si>
  <si>
    <t>[effect:rush, count:2, val:0.7]</t>
    <phoneticPr fontId="5"/>
  </si>
  <si>
    <t>[effect:rush, count:3, val:0.4]</t>
    <phoneticPr fontId="5"/>
  </si>
  <si>
    <t>ランダムで威力が変わる攻撃！</t>
    <rPh sb="5" eb="7">
      <t>イリョク</t>
    </rPh>
    <rPh sb="8" eb="9">
      <t>カ</t>
    </rPh>
    <rPh sb="11" eb="13">
      <t>コウゲキ</t>
    </rPh>
    <phoneticPr fontId="5"/>
  </si>
  <si>
    <t>[effect:rush, count:3, val:0.5]</t>
    <phoneticPr fontId="5"/>
  </si>
  <si>
    <t>[effect:rush, count:3, val:0.55]</t>
    <phoneticPr fontId="5"/>
  </si>
  <si>
    <t>[effect:rush, count:3, val:0.6]</t>
    <phoneticPr fontId="5"/>
  </si>
  <si>
    <t>種族アニマルに対して大ダメージの攻撃</t>
    <rPh sb="0" eb="2">
      <t>sy</t>
    </rPh>
    <rPh sb="7" eb="10">
      <t>タイs</t>
    </rPh>
    <rPh sb="10" eb="16">
      <t>ダ</t>
    </rPh>
    <rPh sb="16" eb="18">
      <t>コウゲk</t>
    </rPh>
    <phoneticPr fontId="5"/>
  </si>
  <si>
    <t>レイヴンズトリック</t>
    <phoneticPr fontId="5"/>
  </si>
  <si>
    <t>混沌たる戦場を刮目せよ！</t>
    <rPh sb="0" eb="2">
      <t>コントン</t>
    </rPh>
    <rPh sb="4" eb="6">
      <t>センジョウ</t>
    </rPh>
    <rPh sb="7" eb="9">
      <t>カツモク</t>
    </rPh>
    <phoneticPr fontId="5"/>
  </si>
  <si>
    <t>危険因子はフリーズすべし！</t>
    <rPh sb="0" eb="4">
      <t>キケンインシ</t>
    </rPh>
    <phoneticPr fontId="5"/>
  </si>
  <si>
    <t>無法者はデリートせよ！</t>
    <rPh sb="0" eb="2">
      <t>ムホウ</t>
    </rPh>
    <rPh sb="2" eb="3">
      <t>モノ</t>
    </rPh>
    <phoneticPr fontId="5"/>
  </si>
  <si>
    <t>セキュリティ再構築せよ！</t>
    <rPh sb="6" eb="9">
      <t>サイコウチク</t>
    </rPh>
    <phoneticPr fontId="5"/>
  </si>
  <si>
    <t>レイヴンズトリック</t>
    <phoneticPr fontId="5"/>
  </si>
  <si>
    <t>敵襲である！警戒すべし！</t>
    <rPh sb="0" eb="2">
      <t>テキシュウ</t>
    </rPh>
    <rPh sb="6" eb="8">
      <t>ケイカイ</t>
    </rPh>
    <phoneticPr fontId="5"/>
  </si>
  <si>
    <t>不届き者は排除すべし！</t>
    <rPh sb="0" eb="2">
      <t>フトド</t>
    </rPh>
    <rPh sb="3" eb="4">
      <t>モノ</t>
    </rPh>
    <rPh sb="5" eb="7">
      <t>ハイジョ</t>
    </rPh>
    <phoneticPr fontId="5"/>
  </si>
  <si>
    <t>[effect:hungup, target:unit_machine, turn:4, rate:1, animation:hungup01],[effect:spread, val:0.3]</t>
    <phoneticPr fontId="5"/>
  </si>
  <si>
    <t>種族マシンにスキルバインド</t>
    <rPh sb="0" eb="2">
      <t>sy</t>
    </rPh>
    <phoneticPr fontId="5"/>
  </si>
  <si>
    <t>アンチハート</t>
    <phoneticPr fontId="5"/>
  </si>
  <si>
    <t>ダブルレイヴン</t>
    <phoneticPr fontId="5"/>
  </si>
  <si>
    <t>[effect:suicide, val:1, dead_type:suicide, target:enemy_unknown, animation:enemy_suicide]</t>
    <phoneticPr fontId="5"/>
  </si>
  <si>
    <t>null</t>
    <phoneticPr fontId="5"/>
  </si>
  <si>
    <t>[effect:damage_anti_color, target:unit_all, color:green, val1:1.2, val2:0.2]</t>
    <phoneticPr fontId="5"/>
  </si>
  <si>
    <t>[effect:fix_speed, target:myself, turn:1]</t>
    <phoneticPr fontId="5"/>
  </si>
  <si>
    <t>null</t>
    <phoneticPr fontId="5"/>
  </si>
  <si>
    <t>[effect:change_panel_ratio, turn:-1, block_type:heal, val:0, animation:block_incidence04],[effect:remove_enhancement, target:unit_all, target_effect:enhance, target_type:buff, animation:frozen_wave]</t>
    <phoneticPr fontId="5"/>
  </si>
  <si>
    <t>4ターンの間攻撃頻度アップ</t>
    <rPh sb="5" eb="6">
      <t>ア</t>
    </rPh>
    <rPh sb="6" eb="10">
      <t>コウゲk</t>
    </rPh>
    <phoneticPr fontId="5"/>
  </si>
  <si>
    <t>4ターンの間攻撃力アップ</t>
    <rPh sb="5" eb="6">
      <t>ア</t>
    </rPh>
    <rPh sb="6" eb="9">
      <t>コウゲk</t>
    </rPh>
    <phoneticPr fontId="5"/>
  </si>
  <si>
    <t>[effect:degrade_fever, val:1000, animation:fevergauge_down]</t>
    <phoneticPr fontId="5"/>
  </si>
  <si>
    <t>3ターン青パネルロック</t>
    <rPh sb="4" eb="8">
      <t>アオパネr</t>
    </rPh>
    <phoneticPr fontId="5"/>
  </si>
  <si>
    <t>青属性に対して大ダメージの攻撃</t>
    <rPh sb="0" eb="1">
      <t>ア</t>
    </rPh>
    <rPh sb="1" eb="15">
      <t>ミドr</t>
    </rPh>
    <phoneticPr fontId="5"/>
  </si>
  <si>
    <t>[effect:freq_turn, target:myself, turn:4, val:1, animation:enemy_freq_turn]</t>
    <phoneticPr fontId="5"/>
  </si>
  <si>
    <t>null</t>
    <phoneticPr fontId="5"/>
  </si>
  <si>
    <t>unit</t>
    <phoneticPr fontId="5"/>
  </si>
  <si>
    <t>link</t>
    <phoneticPr fontId="5"/>
  </si>
  <si>
    <t>old</t>
    <phoneticPr fontId="5"/>
  </si>
  <si>
    <t>[effect:nothing]</t>
    <phoneticPr fontId="5"/>
  </si>
  <si>
    <t>5ターンの間ハートパネルが出現しない</t>
    <rPh sb="5" eb="6">
      <t>ア</t>
    </rPh>
    <rPh sb="13" eb="18">
      <t>sy</t>
    </rPh>
    <phoneticPr fontId="5"/>
  </si>
  <si>
    <t>[effect:change_panel_ratio, turn:5, block_type:heal, val:0, animation:block_incidence04]</t>
    <phoneticPr fontId="5"/>
  </si>
  <si>
    <t>[effect:damage_anti_color, target:unit_all, color:blue, val1:0.4, val2:0.2]</t>
    <phoneticPr fontId="5"/>
  </si>
  <si>
    <t>[effect:dis_panel, target:block_blue, turn:3, animation:enemy_dis_blue],[effect:rush, count:4, val:0.3]</t>
    <phoneticPr fontId="5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</si>
  <si>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</t>
    <phoneticPr fontId="5"/>
  </si>
  <si>
    <t>[effect:damage_anti_tribe, target:unit_all, tribe:animal, val1:0.5, val2:0.3]</t>
    <phoneticPr fontId="5"/>
  </si>
  <si>
    <t>[effect:fix_speed, target:myself, turn:2]</t>
    <phoneticPr fontId="5"/>
  </si>
  <si>
    <t>ルートバイオレーション</t>
    <phoneticPr fontId="5"/>
  </si>
  <si>
    <t>ゼンブ…クウ!!</t>
    <phoneticPr fontId="5"/>
  </si>
  <si>
    <t>オトナシクシロ!</t>
    <phoneticPr fontId="5"/>
  </si>
  <si>
    <t>加速する食欲</t>
    <rPh sb="0" eb="2">
      <t>カソク</t>
    </rPh>
    <rPh sb="4" eb="6">
      <t>ショクヨク</t>
    </rPh>
    <phoneticPr fontId="5"/>
  </si>
  <si>
    <t>肥大する暴食</t>
    <rPh sb="0" eb="2">
      <t>ヒダイ</t>
    </rPh>
    <rPh sb="4" eb="6">
      <t>ボウショク</t>
    </rPh>
    <phoneticPr fontId="5"/>
  </si>
  <si>
    <t>システムリペア</t>
    <phoneticPr fontId="5"/>
  </si>
  <si>
    <t>危険因子の隔離を実行</t>
    <rPh sb="0" eb="4">
      <t>キケンインシ</t>
    </rPh>
    <rPh sb="5" eb="7">
      <t>カクリ</t>
    </rPh>
    <rPh sb="8" eb="10">
      <t>ジッコウ</t>
    </rPh>
    <phoneticPr fontId="5"/>
  </si>
  <si>
    <t>ブルーパニッシュメント</t>
    <phoneticPr fontId="5"/>
  </si>
  <si>
    <t>ここまで来たか、待っていたぞ！</t>
    <rPh sb="4" eb="5">
      <t>キ</t>
    </rPh>
    <rPh sb="8" eb="9">
      <t>マ</t>
    </rPh>
    <phoneticPr fontId="5"/>
  </si>
  <si>
    <t>こいつを耐えきれるか？</t>
    <rPh sb="4" eb="5">
      <t>タ</t>
    </rPh>
    <phoneticPr fontId="5"/>
  </si>
  <si>
    <t>期待以上だ、レベルを上げるぞ</t>
    <rPh sb="0" eb="4">
      <t>キタイイジョウ</t>
    </rPh>
    <rPh sb="10" eb="11">
      <t>ア</t>
    </rPh>
    <phoneticPr fontId="5"/>
  </si>
  <si>
    <t>ルーン・エングレイブ</t>
    <phoneticPr fontId="5"/>
  </si>
  <si>
    <t>アンノーン・バスティング</t>
    <phoneticPr fontId="5"/>
  </si>
  <si>
    <t>ルーン・ラストラヴァージ</t>
    <phoneticPr fontId="5"/>
  </si>
  <si>
    <t>セクスタプル・グングニル</t>
    <phoneticPr fontId="5"/>
  </si>
  <si>
    <t>これで決着をつけよう…</t>
    <rPh sb="3" eb="5">
      <t>ケッチャク</t>
    </rPh>
    <phoneticPr fontId="5"/>
  </si>
  <si>
    <t>侵入者を発見</t>
    <rPh sb="0" eb="3">
      <t>シンニュウシャ</t>
    </rPh>
    <rPh sb="4" eb="6">
      <t>ハッケン</t>
    </rPh>
    <phoneticPr fontId="5"/>
  </si>
  <si>
    <t>これより迎撃します</t>
    <rPh sb="4" eb="6">
      <t>ゲイゲキ</t>
    </rPh>
    <phoneticPr fontId="5"/>
  </si>
  <si>
    <t>グングニル起動</t>
    <rPh sb="5" eb="7">
      <t>キドウ</t>
    </rPh>
    <phoneticPr fontId="5"/>
  </si>
  <si>
    <t>グングニル出力上昇</t>
    <rPh sb="5" eb="7">
      <t>シュツリョク</t>
    </rPh>
    <rPh sb="7" eb="9">
      <t>ジョウショウ</t>
    </rPh>
    <phoneticPr fontId="5"/>
  </si>
  <si>
    <t>イグニッション・グングニル</t>
    <phoneticPr fontId="5"/>
  </si>
  <si>
    <t>インパクト・グングニル</t>
    <phoneticPr fontId="5"/>
  </si>
  <si>
    <t>グングニル出力最大</t>
    <rPh sb="5" eb="7">
      <t>シュツリョク</t>
    </rPh>
    <rPh sb="7" eb="9">
      <t>サイダイ</t>
    </rPh>
    <phoneticPr fontId="5"/>
  </si>
  <si>
    <t>ルイネーション・グングニル</t>
    <phoneticPr fontId="5"/>
  </si>
  <si>
    <t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animation:enemy_tolerance],[effect:hungup, target:unit_blue, turn:5, rate:1, animation:hungup01]</t>
    <phoneticPr fontId="5"/>
  </si>
  <si>
    <t>全体攻撃</t>
    <rPh sb="0" eb="2">
      <t>ゼン</t>
    </rPh>
    <rPh sb="2" eb="4">
      <t>コウゲk</t>
    </rPh>
    <phoneticPr fontId="5"/>
  </si>
  <si>
    <t>[effect:remove_enhancement, target:unit_all, target_effect:enhance, target_type:buff, animation:frozen_wave]</t>
    <phoneticPr fontId="5"/>
  </si>
  <si>
    <t>[effect:remove_enhancement, target:unit_all, target_effect:enhance, target_type:buff, animation:frozen_wave],[effect:critical, val:50.0]</t>
    <phoneticPr fontId="5"/>
  </si>
  <si>
    <t>[effect:fix_speed, target:myself, turn:5],[effect:enhance_enemy, target:myself, turn:5, status:defense, val:13000, calc:add, animation:enemy_enhance_defense]</t>
    <phoneticPr fontId="5"/>
  </si>
  <si>
    <t>ジャマヲスルナ…!</t>
    <phoneticPr fontId="5"/>
  </si>
  <si>
    <t>[effect:enhance_enemy, target:myself, turn:4, status:attack, val:1.2, calc:mul, animation:enemy_enhance_attack]</t>
    <phoneticPr fontId="5"/>
  </si>
  <si>
    <t>仲間を吸収してパワーアップ</t>
    <rPh sb="0" eb="2">
      <t>ナk</t>
    </rPh>
    <rPh sb="3" eb="7">
      <t>キュウシュ</t>
    </rPh>
    <phoneticPr fontId="5"/>
  </si>
  <si>
    <t>逃走</t>
    <rPh sb="0" eb="2">
      <t>ト</t>
    </rPh>
    <phoneticPr fontId="5"/>
  </si>
  <si>
    <t>逃げ出した！</t>
    <rPh sb="0" eb="5">
      <t>ニg</t>
    </rPh>
    <phoneticPr fontId="5"/>
  </si>
  <si>
    <t>[effect:hungup, target:unit_all, turn:3, rate:1, animation:hungup01],[effect:fix_speed, target:myself, turn:3]</t>
    <phoneticPr fontId="5"/>
  </si>
  <si>
    <t>[effect:suicide, val:1, dead_type:escape, target:myself]</t>
    <phoneticPr fontId="5"/>
  </si>
  <si>
    <t>[effect:suicide, val:1, dead_type:escape, target:myself]</t>
    <phoneticPr fontId="5"/>
  </si>
  <si>
    <t>警戒態勢</t>
    <rPh sb="0" eb="4">
      <t>ケ</t>
    </rPh>
    <phoneticPr fontId="5"/>
  </si>
  <si>
    <t>警戒態勢</t>
    <phoneticPr fontId="5"/>
  </si>
  <si>
    <t>仕切り直しだ</t>
    <rPh sb="0" eb="2">
      <t>シキ</t>
    </rPh>
    <rPh sb="3" eb="4">
      <t>ナオ</t>
    </rPh>
    <phoneticPr fontId="5"/>
  </si>
  <si>
    <t>null</t>
    <phoneticPr fontId="5"/>
  </si>
  <si>
    <t>null</t>
    <phoneticPr fontId="5"/>
  </si>
  <si>
    <t>逃げ出した！</t>
    <rPh sb="0" eb="1">
      <t>ニ</t>
    </rPh>
    <rPh sb="2" eb="5">
      <t>ダ</t>
    </rPh>
    <phoneticPr fontId="5"/>
  </si>
  <si>
    <t>[effect:suicide, val:1, dead_type:escape, target:myself]</t>
    <phoneticPr fontId="5"/>
  </si>
  <si>
    <t>回復</t>
    <rPh sb="0" eb="2">
      <t>カ</t>
    </rPh>
    <phoneticPr fontId="5"/>
  </si>
  <si>
    <t>[effect:heal, target:enemy_all, val:0.25, animation:enemy_heal],[effect:fix_speed, target:myself, turn:2]</t>
    <phoneticPr fontId="5"/>
  </si>
  <si>
    <t>[effect:heal, target:enemy_all, val:0.25, animation:enemy_heal]</t>
    <phoneticPr fontId="5"/>
  </si>
  <si>
    <t>開幕フィーバーゲージ0に</t>
    <rPh sb="0" eb="2">
      <t>カイマk</t>
    </rPh>
    <phoneticPr fontId="5"/>
  </si>
  <si>
    <t>迎撃に失敗！</t>
    <rPh sb="0" eb="2">
      <t>ゲイゲキ</t>
    </rPh>
    <rPh sb="3" eb="5">
      <t>シッパイ</t>
    </rPh>
    <phoneticPr fontId="5"/>
  </si>
  <si>
    <t>警戒レベルを上昇！</t>
    <rPh sb="0" eb="2">
      <t>ケイカイ</t>
    </rPh>
    <rPh sb="6" eb="8">
      <t>ジョウショウ</t>
    </rPh>
    <phoneticPr fontId="5"/>
  </si>
  <si>
    <t>防御系スキル解除＋強力な一撃！</t>
  </si>
  <si>
    <t>防御系スキル解除＋強力な一撃！</t>
    <rPh sb="9" eb="12">
      <t>キョウリョk</t>
    </rPh>
    <rPh sb="12" eb="14">
      <t>イチゲk</t>
    </rPh>
    <phoneticPr fontId="5"/>
  </si>
  <si>
    <t>嫌な予感がする・・・</t>
    <rPh sb="0" eb="1">
      <t>イヤ</t>
    </rPh>
    <rPh sb="2" eb="7">
      <t>ヨカン</t>
    </rPh>
    <phoneticPr fontId="5"/>
  </si>
  <si>
    <t>力を溜め始めた・・・</t>
    <rPh sb="0" eb="7">
      <t>チカr</t>
    </rPh>
    <phoneticPr fontId="5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</si>
  <si>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animation:enemy_tolerance],[effect:enemy_counter, target:myself, invoke_condition:unit_all, counter_target:attacker, turn:5, val:0.5, animation:enemy_counter][effect:fix_speed, target:myself, turn:3]</t>
    <phoneticPr fontId="5"/>
  </si>
  <si>
    <t>[effect:damage_anti_color, target:unit_all, color:red, val1:0.6, val2:0.28]</t>
    <phoneticPr fontId="5"/>
  </si>
  <si>
    <t>それは”鍵”か？…道理でな</t>
    <phoneticPr fontId="5"/>
  </si>
  <si>
    <t>[effect:kamikaze, val:0.35]</t>
    <phoneticPr fontId="5"/>
  </si>
  <si>
    <t>[effect:spread, val:0.3]</t>
    <phoneticPr fontId="5"/>
  </si>
  <si>
    <t>[effect:damage_anti_tribe, target:unit_all, tribe:unknown, val1:0.85, val2:0.24]</t>
    <phoneticPr fontId="5"/>
  </si>
  <si>
    <t xml:space="preserve">[effect:tolerance, target:myself, turn:-1, tolerance_effect:hungup, count:-1],[effect:tolerance, target:myself, turn:-1, tolerance_effect:virus, count:-1],[effect:tolerance, target:myself, turn:-1, tolerance_effect:sleep, count:-1, animation:enemy_tolerance],[effect:change_panel_ratio, turn:-1, block_type:heal, val:0],[effect:break_enchance_enemy, val:0.001, lowest_val:0, count :-1, status:attack, turn:-1, block:block_heart, target:myself, calc:mul, animation:enemy_enhance_attack]    </t>
    <phoneticPr fontId="5"/>
  </si>
  <si>
    <t>[effect:degrade_fever, val:1000, animation:fevergauge_down],[effect:spread, val:0.23]</t>
    <phoneticPr fontId="5"/>
  </si>
  <si>
    <t>[effect:rush, count:6, val:0.16]</t>
    <phoneticPr fontId="5"/>
  </si>
  <si>
    <t>ステータスアップを解除＋激烈ダメージ！！</t>
    <rPh sb="9" eb="11">
      <t>カイジョ</t>
    </rPh>
    <rPh sb="12" eb="14">
      <t>ゲk</t>
    </rPh>
    <phoneticPr fontId="5"/>
  </si>
  <si>
    <t>オーディン3</t>
  </si>
  <si>
    <t>オーディン3</t>
    <phoneticPr fontId="5"/>
  </si>
  <si>
    <t>終焉のルーン</t>
    <rPh sb="0" eb="3">
      <t>sy</t>
    </rPh>
    <phoneticPr fontId="5"/>
  </si>
  <si>
    <t>アンチ・ラグナロク</t>
    <phoneticPr fontId="5"/>
  </si>
  <si>
    <t>[effect:remove_enhancement, target:unit_all, target_effect:enhance, target_type:buff, status:defense, animation:frozen_wave],[effect:remove_enhancement, target:unit_all, target_effect:reduction, target_type:buff],[effect:critical, val:2.1]</t>
    <phoneticPr fontId="5"/>
  </si>
  <si>
    <t>[effect:remove_enhancement, target:unit_all, target_effect:enhance, target_type:buff, status:defense, animation:frozen_wave],[effect:remove_enhancement, target:unit_all, target_effect:reduction, target_type:buff],[effect:critical, val:2.2]</t>
    <phoneticPr fontId="5"/>
  </si>
  <si>
    <t>[effect:remove_enhancement, target:unit_all, target_effect:enhance, target_type:buff, status:defense, animation:frozen_wave],[effect:remove_enhancement, target:unit_all, target_effect:reduction, target_type:buff],[effect:critical, val:2.3]</t>
    <phoneticPr fontId="5"/>
  </si>
  <si>
    <t>全力を出そう</t>
    <rPh sb="0" eb="2">
      <t>ゼンリョク</t>
    </rPh>
    <rPh sb="3" eb="4">
      <t>ダ</t>
    </rPh>
    <phoneticPr fontId="5"/>
  </si>
  <si>
    <t>ラストスパートだ</t>
    <phoneticPr fontId="5"/>
  </si>
  <si>
    <t>お前になら任せられるもしれない</t>
    <rPh sb="1" eb="3">
      <t>マ</t>
    </rPh>
    <rPh sb="5" eb="10">
      <t>マカセラr</t>
    </rPh>
    <phoneticPr fontId="5"/>
  </si>
  <si>
    <t>[effect:enhance_enemy, target:myself, turn:-1, status:attack, val:0.23, calc:mul, animation:enemy_enhance_attack],[effect:spread, val:0.45]</t>
    <phoneticPr fontId="5"/>
  </si>
  <si>
    <t>ステータスアップ解除+ハートパネルが出現しない</t>
    <rPh sb="8" eb="10">
      <t>jy</t>
    </rPh>
    <phoneticPr fontId="5"/>
  </si>
  <si>
    <t>ハートパネルを吸収して攻撃力アップ
＋ハートパネルが出現しない</t>
    <rPh sb="7" eb="9">
      <t>キュ</t>
    </rPh>
    <rPh sb="11" eb="17">
      <t>コウゲk</t>
    </rPh>
    <phoneticPr fontId="5"/>
  </si>
  <si>
    <t>攻撃頻度アップ＋状態異常無効
＋青属性にスキルバインド</t>
    <rPh sb="8" eb="14">
      <t>jy</t>
    </rPh>
    <rPh sb="16" eb="17">
      <t>ア</t>
    </rPh>
    <rPh sb="17" eb="19">
      <t>ゾクセ</t>
    </rPh>
    <phoneticPr fontId="5"/>
  </si>
  <si>
    <t>HPを全て消費して、大ダメージ！</t>
    <rPh sb="3" eb="5">
      <t>スベt</t>
    </rPh>
    <rPh sb="5" eb="9">
      <t>ショウh</t>
    </rPh>
    <rPh sb="10" eb="15">
      <t>ダイd</t>
    </rPh>
    <phoneticPr fontId="5"/>
  </si>
  <si>
    <t>オーディン事件の真相</t>
    <phoneticPr fontId="5"/>
  </si>
  <si>
    <t>女王の圧政を問題に思ったオーディンは自ら
女王勢力を内側から抑え込もうと考え
単身で女王勢力に参加していた
君の力を認めたオーディンは女王事件の事を
君に託し、再びALICEの守護に就いた</t>
    <phoneticPr fontId="5"/>
  </si>
  <si>
    <t>old</t>
    <phoneticPr fontId="5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</si>
  <si>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animation:enemy_tolerance],[effect:enemy_counter, target:myself, invoke_condition:unit_all, counter_target:attacker, turn:5, val:0.5, animation:enemy_counter][effect:fix_speed, target:myself, turn:3]</t>
    <phoneticPr fontId="5"/>
  </si>
  <si>
    <t>old</t>
    <phoneticPr fontId="7"/>
  </si>
  <si>
    <t>麒麟を手懐けただけはある…</t>
    <rPh sb="0" eb="2">
      <t>キリン</t>
    </rPh>
    <rPh sb="3" eb="6">
      <t>テナズケル</t>
    </rPh>
    <phoneticPr fontId="5"/>
  </si>
  <si>
    <t>stage_hints_complete</t>
    <phoneticPr fontId="5"/>
  </si>
  <si>
    <t>skip</t>
    <phoneticPr fontId="7"/>
  </si>
  <si>
    <t>stage_hints_i18n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</si>
</sst>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036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38" fontId="16" fillId="0" borderId="7" xfId="628" applyFont="1" applyFill="1" applyBorder="1" applyAlignment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26" fillId="0" borderId="0" xfId="0" applyFont="1"/>
    <xf numFmtId="0" fontId="4" fillId="13" borderId="6" xfId="0" applyFont="1" applyFill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0" fillId="0" borderId="0" xfId="0" applyFill="1"/>
    <xf numFmtId="0" fontId="11" fillId="0" borderId="7" xfId="0" applyFont="1" applyBorder="1" applyAlignment="1">
      <alignment horizontal="left" vertical="center" wrapText="1"/>
    </xf>
    <xf numFmtId="176" fontId="11" fillId="0" borderId="23" xfId="0" applyNumberFormat="1" applyFont="1" applyBorder="1" applyAlignment="1">
      <alignment horizontal="center" vertical="center"/>
    </xf>
    <xf numFmtId="38" fontId="16" fillId="14" borderId="7" xfId="628" applyFont="1" applyFill="1" applyBorder="1" applyAlignment="1">
      <alignment wrapText="1"/>
    </xf>
  </cellXfs>
  <cellStyles count="1036">
    <cellStyle name="" xfId="629"/>
    <cellStyle name="_" xfId="630"/>
    <cellStyle name="__" xfId="631"/>
    <cellStyle name="__÷" xfId="632"/>
    <cellStyle name="«¢" xfId="633"/>
    <cellStyle name="`FbN Z" xfId="634"/>
    <cellStyle name="^Cg" xfId="635"/>
    <cellStyle name="©oµ 1" xfId="636"/>
    <cellStyle name="©oµ 2" xfId="637"/>
    <cellStyle name="©oµ 3" xfId="638"/>
    <cellStyle name="©oµ 4" xfId="639"/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à¾¶" xfId="658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Ç¢" xfId="665"/>
    <cellStyle name="Ê" xfId="666"/>
    <cellStyle name="Excel Built-in Normal" xfId="428"/>
    <cellStyle name="N Z" xfId="667"/>
    <cellStyle name="o_" xfId="668"/>
    <cellStyle name="oÍ" xfId="669"/>
    <cellStyle name="üÍ" xfId="670"/>
    <cellStyle name="v" xfId="671"/>
    <cellStyle name="vZ" xfId="672"/>
    <cellStyle name="x¶" xfId="673"/>
    <cellStyle name="x÷" xfId="674"/>
    <cellStyle name="ýo_ 1" xfId="67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桁区切り 2" xfId="429"/>
    <cellStyle name="桁区切り 2 2" xfId="628"/>
    <cellStyle name="青字強調" xfId="430"/>
    <cellStyle name="赤字強調" xfId="431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無題1" xfId="43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  <sheetName val="quest_schedules"/>
      <sheetName val="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12001</v>
          </cell>
        </row>
        <row r="77">
          <cell r="A77">
            <v>12002</v>
          </cell>
        </row>
        <row r="78">
          <cell r="A78">
            <v>12003</v>
          </cell>
        </row>
        <row r="79">
          <cell r="A79">
            <v>12004</v>
          </cell>
        </row>
        <row r="80">
          <cell r="A80">
            <v>13001</v>
          </cell>
        </row>
        <row r="81">
          <cell r="A81">
            <v>14001</v>
          </cell>
        </row>
        <row r="82">
          <cell r="A82">
            <v>14002</v>
          </cell>
        </row>
        <row r="83">
          <cell r="A83">
            <v>14003</v>
          </cell>
        </row>
        <row r="84">
          <cell r="A84">
            <v>14004</v>
          </cell>
        </row>
        <row r="85">
          <cell r="A85">
            <v>14005</v>
          </cell>
        </row>
        <row r="86">
          <cell r="A86">
            <v>14006</v>
          </cell>
        </row>
        <row r="87">
          <cell r="A87">
            <v>20001</v>
          </cell>
        </row>
        <row r="88">
          <cell r="A88">
            <v>20002</v>
          </cell>
        </row>
        <row r="89">
          <cell r="A89">
            <v>20003</v>
          </cell>
        </row>
        <row r="90">
          <cell r="A90">
            <v>20004</v>
          </cell>
        </row>
        <row r="91">
          <cell r="A91">
            <v>20005</v>
          </cell>
        </row>
        <row r="92">
          <cell r="A92">
            <v>20006</v>
          </cell>
        </row>
        <row r="93">
          <cell r="A93">
            <v>20007</v>
          </cell>
        </row>
        <row r="94">
          <cell r="A94">
            <v>20008</v>
          </cell>
        </row>
        <row r="95">
          <cell r="A95">
            <v>20009</v>
          </cell>
        </row>
        <row r="96">
          <cell r="A96">
            <v>20010</v>
          </cell>
        </row>
        <row r="97">
          <cell r="A97">
            <v>20011</v>
          </cell>
        </row>
        <row r="98">
          <cell r="A98">
            <v>20012</v>
          </cell>
        </row>
        <row r="99">
          <cell r="A99">
            <v>30001</v>
          </cell>
        </row>
        <row r="100">
          <cell r="A100">
            <v>30002</v>
          </cell>
        </row>
        <row r="101">
          <cell r="A101">
            <v>30003</v>
          </cell>
        </row>
        <row r="102">
          <cell r="A102">
            <v>30004</v>
          </cell>
        </row>
        <row r="103">
          <cell r="A103">
            <v>30005</v>
          </cell>
        </row>
        <row r="104">
          <cell r="A104">
            <v>30006</v>
          </cell>
        </row>
        <row r="105">
          <cell r="A105">
            <v>30007</v>
          </cell>
        </row>
        <row r="106">
          <cell r="A106">
            <v>30008</v>
          </cell>
        </row>
        <row r="107">
          <cell r="A107">
            <v>30009</v>
          </cell>
        </row>
        <row r="108">
          <cell r="A108">
            <v>30010</v>
          </cell>
        </row>
        <row r="109">
          <cell r="A109">
            <v>30011</v>
          </cell>
        </row>
        <row r="110">
          <cell r="A110">
            <v>30012</v>
          </cell>
        </row>
        <row r="111">
          <cell r="A111">
            <v>30013</v>
          </cell>
        </row>
        <row r="112">
          <cell r="A112">
            <v>30014</v>
          </cell>
        </row>
        <row r="113">
          <cell r="A113">
            <v>30015</v>
          </cell>
        </row>
        <row r="114">
          <cell r="A114">
            <v>30016</v>
          </cell>
        </row>
        <row r="115">
          <cell r="A115">
            <v>30017</v>
          </cell>
        </row>
        <row r="116">
          <cell r="A116">
            <v>30018</v>
          </cell>
        </row>
        <row r="117">
          <cell r="A117">
            <v>30019</v>
          </cell>
        </row>
        <row r="118">
          <cell r="A118">
            <v>30020</v>
          </cell>
        </row>
        <row r="119">
          <cell r="A119">
            <v>30021</v>
          </cell>
        </row>
        <row r="120">
          <cell r="A120">
            <v>30022</v>
          </cell>
        </row>
        <row r="121">
          <cell r="A121">
            <v>30023</v>
          </cell>
        </row>
        <row r="122">
          <cell r="A122">
            <v>30024</v>
          </cell>
        </row>
        <row r="123">
          <cell r="A123">
            <v>30025</v>
          </cell>
        </row>
        <row r="124">
          <cell r="A124">
            <v>30026</v>
          </cell>
        </row>
        <row r="125">
          <cell r="A125">
            <v>30027</v>
          </cell>
        </row>
        <row r="126">
          <cell r="A126">
            <v>39001</v>
          </cell>
        </row>
        <row r="127">
          <cell r="A127">
            <v>40001</v>
          </cell>
        </row>
        <row r="128">
          <cell r="A128">
            <v>40002</v>
          </cell>
        </row>
        <row r="129">
          <cell r="A129">
            <v>40003</v>
          </cell>
        </row>
        <row r="130">
          <cell r="A130">
            <v>40004</v>
          </cell>
        </row>
        <row r="131">
          <cell r="A131">
            <v>40005</v>
          </cell>
        </row>
        <row r="132">
          <cell r="A132">
            <v>40006</v>
          </cell>
        </row>
        <row r="133">
          <cell r="A133">
            <v>40007</v>
          </cell>
        </row>
        <row r="134">
          <cell r="A134">
            <v>40008</v>
          </cell>
        </row>
        <row r="135">
          <cell r="A135">
            <v>40009</v>
          </cell>
        </row>
        <row r="136">
          <cell r="A136">
            <v>40010</v>
          </cell>
        </row>
        <row r="137">
          <cell r="A137">
            <v>49001</v>
          </cell>
        </row>
        <row r="138">
          <cell r="A138">
            <v>50001</v>
          </cell>
        </row>
        <row r="139">
          <cell r="A139">
            <v>50002</v>
          </cell>
        </row>
        <row r="140">
          <cell r="A140">
            <v>65535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1520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1640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1780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1990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2500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1540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1660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1800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2010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2520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1610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1730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1870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2080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2590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1740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1860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2000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2210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2720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1900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2020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2160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2370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3500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3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11002_1</v>
          </cell>
          <cell r="B199">
            <v>3</v>
          </cell>
          <cell r="C199">
            <v>11002</v>
          </cell>
          <cell r="D199" t="str">
            <v>【火曜限定】 赤の素材</v>
          </cell>
          <cell r="E199" t="str">
            <v>火曜クエスト</v>
          </cell>
          <cell r="F199">
            <v>1</v>
          </cell>
          <cell r="G199" t="str">
            <v>ja</v>
          </cell>
          <cell r="H199" t="str">
            <v xml:space="preserve">【初級】火のチェシャ猫 </v>
          </cell>
          <cell r="I199" t="str">
            <v>初級</v>
          </cell>
          <cell r="J199">
            <v>101</v>
          </cell>
          <cell r="K199">
            <v>8</v>
          </cell>
          <cell r="L199">
            <v>240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102</v>
          </cell>
          <cell r="AD199">
            <v>6</v>
          </cell>
          <cell r="AE199" t="str">
            <v>everyone</v>
          </cell>
        </row>
        <row r="200">
          <cell r="A200" t="str">
            <v>11002_2</v>
          </cell>
          <cell r="B200">
            <v>3</v>
          </cell>
          <cell r="C200">
            <v>11002</v>
          </cell>
          <cell r="D200" t="str">
            <v>【火曜限定】 赤の素材</v>
          </cell>
          <cell r="E200" t="str">
            <v>火曜クエスト</v>
          </cell>
          <cell r="F200">
            <v>2</v>
          </cell>
          <cell r="G200" t="str">
            <v>ja</v>
          </cell>
          <cell r="H200" t="str">
            <v xml:space="preserve">【中級】火のウサギ </v>
          </cell>
          <cell r="I200" t="str">
            <v>中級</v>
          </cell>
          <cell r="J200">
            <v>102</v>
          </cell>
          <cell r="K200">
            <v>15</v>
          </cell>
          <cell r="L200">
            <v>525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102</v>
          </cell>
          <cell r="AD200">
            <v>6</v>
          </cell>
          <cell r="AE200" t="str">
            <v>everyone</v>
          </cell>
        </row>
        <row r="201">
          <cell r="A201" t="str">
            <v>11002_3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3</v>
          </cell>
          <cell r="G201" t="str">
            <v>ja</v>
          </cell>
          <cell r="H201" t="str">
            <v xml:space="preserve">【上級】火のイモムシ </v>
          </cell>
          <cell r="I201" t="str">
            <v>上級</v>
          </cell>
          <cell r="J201">
            <v>103</v>
          </cell>
          <cell r="K201">
            <v>20</v>
          </cell>
          <cell r="L201">
            <v>860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11003_1</v>
          </cell>
          <cell r="B202">
            <v>3</v>
          </cell>
          <cell r="C202">
            <v>11003</v>
          </cell>
          <cell r="D202" t="str">
            <v>【水曜限定】 青の素材</v>
          </cell>
          <cell r="E202" t="str">
            <v>水曜クエスト</v>
          </cell>
          <cell r="F202">
            <v>1</v>
          </cell>
          <cell r="G202" t="str">
            <v>ja</v>
          </cell>
          <cell r="H202" t="str">
            <v>【初級】水のチェシャ猫</v>
          </cell>
          <cell r="I202" t="str">
            <v>初級</v>
          </cell>
          <cell r="J202">
            <v>109</v>
          </cell>
          <cell r="K202">
            <v>8</v>
          </cell>
          <cell r="L202">
            <v>240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103</v>
          </cell>
          <cell r="AD202">
            <v>6</v>
          </cell>
          <cell r="AE202" t="str">
            <v>everyone</v>
          </cell>
        </row>
        <row r="203">
          <cell r="A203" t="str">
            <v>11003_2</v>
          </cell>
          <cell r="B203">
            <v>3</v>
          </cell>
          <cell r="C203">
            <v>11003</v>
          </cell>
          <cell r="D203" t="str">
            <v>【水曜限定】 青の素材</v>
          </cell>
          <cell r="E203" t="str">
            <v>水曜クエスト</v>
          </cell>
          <cell r="F203">
            <v>2</v>
          </cell>
          <cell r="G203" t="str">
            <v>ja</v>
          </cell>
          <cell r="H203" t="str">
            <v xml:space="preserve">【中級】水のウサギ </v>
          </cell>
          <cell r="I203" t="str">
            <v>中級</v>
          </cell>
          <cell r="J203">
            <v>110</v>
          </cell>
          <cell r="K203">
            <v>15</v>
          </cell>
          <cell r="L203">
            <v>525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103</v>
          </cell>
          <cell r="AD203">
            <v>6</v>
          </cell>
          <cell r="AE203" t="str">
            <v>everyone</v>
          </cell>
        </row>
        <row r="204">
          <cell r="A204" t="str">
            <v>11003_3</v>
          </cell>
          <cell r="B204">
            <v>3</v>
          </cell>
          <cell r="C204">
            <v>11003</v>
          </cell>
          <cell r="D204" t="str">
            <v>【水曜限定】 青の素材</v>
          </cell>
          <cell r="E204" t="str">
            <v>水曜クエスト</v>
          </cell>
          <cell r="F204">
            <v>3</v>
          </cell>
          <cell r="G204" t="str">
            <v>ja</v>
          </cell>
          <cell r="H204" t="str">
            <v>【上級】水のイモムシ</v>
          </cell>
          <cell r="I204" t="str">
            <v>上級</v>
          </cell>
          <cell r="J204">
            <v>111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103</v>
          </cell>
          <cell r="AD204">
            <v>6</v>
          </cell>
          <cell r="AE204" t="str">
            <v>everyone</v>
          </cell>
        </row>
        <row r="205">
          <cell r="A205" t="str">
            <v>11004_1</v>
          </cell>
          <cell r="B205">
            <v>3</v>
          </cell>
          <cell r="C205">
            <v>11004</v>
          </cell>
          <cell r="D205" t="str">
            <v>【木曜限定】 緑の素材</v>
          </cell>
          <cell r="E205" t="str">
            <v>木曜クエスト</v>
          </cell>
          <cell r="F205">
            <v>1</v>
          </cell>
          <cell r="G205" t="str">
            <v>ja</v>
          </cell>
          <cell r="H205" t="str">
            <v xml:space="preserve">【初級】樹のチェシャ猫 </v>
          </cell>
          <cell r="I205" t="str">
            <v>初級</v>
          </cell>
          <cell r="J205">
            <v>105</v>
          </cell>
          <cell r="K205">
            <v>8</v>
          </cell>
          <cell r="L205">
            <v>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104</v>
          </cell>
          <cell r="AD205">
            <v>6</v>
          </cell>
          <cell r="AE205" t="str">
            <v>everyone</v>
          </cell>
        </row>
        <row r="206">
          <cell r="A206" t="str">
            <v>11004_2</v>
          </cell>
          <cell r="B206">
            <v>3</v>
          </cell>
          <cell r="C206">
            <v>11004</v>
          </cell>
          <cell r="D206" t="str">
            <v>【木曜限定】 緑の素材</v>
          </cell>
          <cell r="E206" t="str">
            <v>木曜クエスト</v>
          </cell>
          <cell r="F206">
            <v>2</v>
          </cell>
          <cell r="G206" t="str">
            <v>ja</v>
          </cell>
          <cell r="H206" t="str">
            <v>【中級】樹のウサギ</v>
          </cell>
          <cell r="I206" t="str">
            <v>中級</v>
          </cell>
          <cell r="J206">
            <v>106</v>
          </cell>
          <cell r="K206">
            <v>15</v>
          </cell>
          <cell r="L206">
            <v>525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104</v>
          </cell>
          <cell r="AD206">
            <v>6</v>
          </cell>
          <cell r="AE206" t="str">
            <v>everyone</v>
          </cell>
        </row>
        <row r="207">
          <cell r="A207" t="str">
            <v>11004_3</v>
          </cell>
          <cell r="B207">
            <v>3</v>
          </cell>
          <cell r="C207">
            <v>11004</v>
          </cell>
          <cell r="D207" t="str">
            <v>【木曜限定】 緑の素材</v>
          </cell>
          <cell r="E207" t="str">
            <v>木曜クエスト</v>
          </cell>
          <cell r="F207">
            <v>3</v>
          </cell>
          <cell r="G207" t="str">
            <v>ja</v>
          </cell>
          <cell r="H207" t="str">
            <v xml:space="preserve">【上級】樹のイモムシ </v>
          </cell>
          <cell r="I207" t="str">
            <v>上級</v>
          </cell>
          <cell r="J207">
            <v>107</v>
          </cell>
          <cell r="K207">
            <v>20</v>
          </cell>
          <cell r="L207">
            <v>860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104</v>
          </cell>
          <cell r="AD207">
            <v>6</v>
          </cell>
          <cell r="AE207" t="str">
            <v>everyone</v>
          </cell>
        </row>
        <row r="208">
          <cell r="A208" t="str">
            <v>11005_1</v>
          </cell>
          <cell r="B208">
            <v>3</v>
          </cell>
          <cell r="C208">
            <v>11005</v>
          </cell>
          <cell r="D208" t="str">
            <v>【金曜限定】 帽子屋を追え！</v>
          </cell>
          <cell r="E208" t="str">
            <v>金曜クエスト</v>
          </cell>
          <cell r="F208">
            <v>1</v>
          </cell>
          <cell r="G208" t="str">
            <v>ja</v>
          </cell>
          <cell r="H208" t="str">
            <v xml:space="preserve">【超級】火の帽子屋 </v>
          </cell>
          <cell r="I208" t="str">
            <v>赤R5</v>
          </cell>
          <cell r="J208">
            <v>104</v>
          </cell>
          <cell r="K208">
            <v>30</v>
          </cell>
          <cell r="L208">
            <v>1400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102</v>
          </cell>
          <cell r="AD208">
            <v>6</v>
          </cell>
          <cell r="AE208" t="str">
            <v>everyone</v>
          </cell>
        </row>
        <row r="209">
          <cell r="A209" t="str">
            <v>11005_2</v>
          </cell>
          <cell r="B209">
            <v>3</v>
          </cell>
          <cell r="C209">
            <v>11005</v>
          </cell>
          <cell r="D209" t="str">
            <v>【金曜限定】 帽子屋を追え！</v>
          </cell>
          <cell r="E209" t="str">
            <v>金曜クエスト</v>
          </cell>
          <cell r="F209">
            <v>2</v>
          </cell>
          <cell r="G209" t="str">
            <v>ja</v>
          </cell>
          <cell r="H209" t="str">
            <v xml:space="preserve">【超級】樹の帽子屋 </v>
          </cell>
          <cell r="I209" t="str">
            <v>緑R5</v>
          </cell>
          <cell r="J209">
            <v>108</v>
          </cell>
          <cell r="K209">
            <v>30</v>
          </cell>
          <cell r="L209">
            <v>1400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104</v>
          </cell>
          <cell r="AD209">
            <v>6</v>
          </cell>
          <cell r="AE209" t="str">
            <v>everyone</v>
          </cell>
        </row>
        <row r="210">
          <cell r="A210" t="str">
            <v>11005_3</v>
          </cell>
          <cell r="B210">
            <v>3</v>
          </cell>
          <cell r="C210">
            <v>11005</v>
          </cell>
          <cell r="D210" t="str">
            <v>【金曜限定】 帽子屋を追え！</v>
          </cell>
          <cell r="E210" t="str">
            <v>金曜クエスト</v>
          </cell>
          <cell r="F210">
            <v>3</v>
          </cell>
          <cell r="G210" t="str">
            <v>ja</v>
          </cell>
          <cell r="H210" t="str">
            <v xml:space="preserve">【超級】水の帽子屋 </v>
          </cell>
          <cell r="I210" t="str">
            <v>青R5</v>
          </cell>
          <cell r="J210">
            <v>112</v>
          </cell>
          <cell r="K210">
            <v>30</v>
          </cell>
          <cell r="L210">
            <v>1400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11005_4</v>
          </cell>
          <cell r="B211">
            <v>3</v>
          </cell>
          <cell r="C211">
            <v>11005</v>
          </cell>
          <cell r="D211" t="str">
            <v>【金曜限定】 帽子屋を追え！</v>
          </cell>
          <cell r="E211" t="str">
            <v>金曜クエスト</v>
          </cell>
          <cell r="F211">
            <v>4</v>
          </cell>
          <cell r="G211" t="str">
            <v>ja</v>
          </cell>
          <cell r="H211" t="str">
            <v>【超級】雷の帽子屋</v>
          </cell>
          <cell r="I211" t="str">
            <v>黄R5</v>
          </cell>
          <cell r="J211">
            <v>116</v>
          </cell>
          <cell r="K211">
            <v>30</v>
          </cell>
          <cell r="L211">
            <v>1400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101</v>
          </cell>
          <cell r="AD211">
            <v>6</v>
          </cell>
          <cell r="AE211" t="str">
            <v>everyone</v>
          </cell>
        </row>
        <row r="212">
          <cell r="A212" t="str">
            <v>11006_1</v>
          </cell>
          <cell r="B212">
            <v>3</v>
          </cell>
          <cell r="C212">
            <v>11006</v>
          </cell>
          <cell r="D212" t="str">
            <v>【土日限定】 ゴールドカジノ</v>
          </cell>
          <cell r="E212" t="str">
            <v>土日クエスト</v>
          </cell>
          <cell r="F212">
            <v>1</v>
          </cell>
          <cell r="G212" t="str">
            <v>ja</v>
          </cell>
          <cell r="H212" t="str">
            <v>【初級】ゴールドカジノ</v>
          </cell>
          <cell r="I212" t="str">
            <v>初級</v>
          </cell>
          <cell r="J212">
            <v>117</v>
          </cell>
          <cell r="K212">
            <v>8</v>
          </cell>
          <cell r="L212">
            <v>140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105</v>
          </cell>
          <cell r="AD212">
            <v>6</v>
          </cell>
          <cell r="AE212" t="str">
            <v>everyone</v>
          </cell>
        </row>
        <row r="213">
          <cell r="A213" t="str">
            <v>11006_2</v>
          </cell>
          <cell r="B213">
            <v>3</v>
          </cell>
          <cell r="C213">
            <v>11006</v>
          </cell>
          <cell r="D213" t="str">
            <v>【土日限定】 ゴールドカジノ</v>
          </cell>
          <cell r="E213" t="str">
            <v>土日クエスト</v>
          </cell>
          <cell r="F213">
            <v>2</v>
          </cell>
          <cell r="G213" t="str">
            <v>ja</v>
          </cell>
          <cell r="H213" t="str">
            <v xml:space="preserve">【中級】ゴールドカジノ </v>
          </cell>
          <cell r="I213" t="str">
            <v>中級</v>
          </cell>
          <cell r="J213">
            <v>118</v>
          </cell>
          <cell r="K213">
            <v>15</v>
          </cell>
          <cell r="L213">
            <v>350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105</v>
          </cell>
          <cell r="AD213">
            <v>6</v>
          </cell>
          <cell r="AE213" t="str">
            <v>everyone</v>
          </cell>
        </row>
        <row r="214">
          <cell r="A214" t="str">
            <v>11006_3</v>
          </cell>
          <cell r="B214">
            <v>3</v>
          </cell>
          <cell r="C214">
            <v>11006</v>
          </cell>
          <cell r="D214" t="str">
            <v>【土日限定】 ゴールドカジノ</v>
          </cell>
          <cell r="E214" t="str">
            <v>土日クエスト</v>
          </cell>
          <cell r="F214">
            <v>3</v>
          </cell>
          <cell r="G214" t="str">
            <v>ja</v>
          </cell>
          <cell r="H214" t="str">
            <v xml:space="preserve">【上級】ゴールドカジノ </v>
          </cell>
          <cell r="I214" t="str">
            <v>上級</v>
          </cell>
          <cell r="J214">
            <v>119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105</v>
          </cell>
          <cell r="AD214">
            <v>6</v>
          </cell>
          <cell r="AE214" t="str">
            <v>everyone</v>
          </cell>
        </row>
        <row r="215">
          <cell r="A215" t="str">
            <v>11101_1</v>
          </cell>
          <cell r="B215">
            <v>3</v>
          </cell>
          <cell r="C215">
            <v>11101</v>
          </cell>
          <cell r="D215" t="str">
            <v>【マルチ専用】 黄の素材</v>
          </cell>
          <cell r="E215" t="str">
            <v>月曜クエスト</v>
          </cell>
          <cell r="F215">
            <v>1</v>
          </cell>
          <cell r="G215" t="str">
            <v>ja</v>
          </cell>
          <cell r="H215" t="str">
            <v>【初級】雷のチェシャ猫</v>
          </cell>
          <cell r="I215" t="str">
            <v>初級</v>
          </cell>
          <cell r="J215">
            <v>113</v>
          </cell>
          <cell r="K215">
            <v>8</v>
          </cell>
          <cell r="L215">
            <v>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101</v>
          </cell>
          <cell r="AD215">
            <v>6</v>
          </cell>
          <cell r="AE215" t="str">
            <v>multionly</v>
          </cell>
        </row>
        <row r="216">
          <cell r="A216" t="str">
            <v>11101_2</v>
          </cell>
          <cell r="B216">
            <v>3</v>
          </cell>
          <cell r="C216">
            <v>11101</v>
          </cell>
          <cell r="D216" t="str">
            <v>【マルチ専用】 黄の素材</v>
          </cell>
          <cell r="E216" t="str">
            <v>月曜クエスト</v>
          </cell>
          <cell r="F216">
            <v>2</v>
          </cell>
          <cell r="G216" t="str">
            <v>ja</v>
          </cell>
          <cell r="H216" t="str">
            <v xml:space="preserve">【中級】雷のウサギ </v>
          </cell>
          <cell r="I216" t="str">
            <v>中級</v>
          </cell>
          <cell r="J216">
            <v>114</v>
          </cell>
          <cell r="K216">
            <v>15</v>
          </cell>
          <cell r="L216">
            <v>525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101</v>
          </cell>
          <cell r="AD216">
            <v>6</v>
          </cell>
          <cell r="AE216" t="str">
            <v>multionly</v>
          </cell>
        </row>
        <row r="217">
          <cell r="A217" t="str">
            <v>11101_3</v>
          </cell>
          <cell r="B217">
            <v>3</v>
          </cell>
          <cell r="C217">
            <v>11101</v>
          </cell>
          <cell r="D217" t="str">
            <v>【マルチ専用】 黄の素材</v>
          </cell>
          <cell r="E217" t="str">
            <v>月曜クエスト</v>
          </cell>
          <cell r="F217">
            <v>3</v>
          </cell>
          <cell r="G217" t="str">
            <v>ja</v>
          </cell>
          <cell r="H217" t="str">
            <v>【上級】雷のイモムシ</v>
          </cell>
          <cell r="I217" t="str">
            <v>上級</v>
          </cell>
          <cell r="J217">
            <v>115</v>
          </cell>
          <cell r="K217">
            <v>20</v>
          </cell>
          <cell r="L217">
            <v>860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101</v>
          </cell>
          <cell r="AD217">
            <v>6</v>
          </cell>
          <cell r="AE217" t="str">
            <v>multionly</v>
          </cell>
        </row>
        <row r="218">
          <cell r="A218" t="str">
            <v>11102_1</v>
          </cell>
          <cell r="B218">
            <v>3</v>
          </cell>
          <cell r="C218">
            <v>11102</v>
          </cell>
          <cell r="D218" t="str">
            <v>【マルチ専用】 赤の素材</v>
          </cell>
          <cell r="E218" t="str">
            <v>火曜クエスト</v>
          </cell>
          <cell r="F218">
            <v>1</v>
          </cell>
          <cell r="G218" t="str">
            <v>ja</v>
          </cell>
          <cell r="H218" t="str">
            <v xml:space="preserve">【初級】火のチェシャ猫 </v>
          </cell>
          <cell r="I218" t="str">
            <v>初級</v>
          </cell>
          <cell r="J218">
            <v>101</v>
          </cell>
          <cell r="K218">
            <v>8</v>
          </cell>
          <cell r="L218">
            <v>240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102</v>
          </cell>
          <cell r="AD218">
            <v>6</v>
          </cell>
          <cell r="AE218" t="str">
            <v>multionly</v>
          </cell>
        </row>
        <row r="219">
          <cell r="A219" t="str">
            <v>11102_2</v>
          </cell>
          <cell r="B219">
            <v>3</v>
          </cell>
          <cell r="C219">
            <v>11102</v>
          </cell>
          <cell r="D219" t="str">
            <v>【マルチ専用】 赤の素材</v>
          </cell>
          <cell r="E219" t="str">
            <v>火曜クエスト</v>
          </cell>
          <cell r="F219">
            <v>2</v>
          </cell>
          <cell r="G219" t="str">
            <v>ja</v>
          </cell>
          <cell r="H219" t="str">
            <v xml:space="preserve">【中級】火のウサギ </v>
          </cell>
          <cell r="I219" t="str">
            <v>中級</v>
          </cell>
          <cell r="J219">
            <v>102</v>
          </cell>
          <cell r="K219">
            <v>15</v>
          </cell>
          <cell r="L219">
            <v>525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102</v>
          </cell>
          <cell r="AD219">
            <v>6</v>
          </cell>
          <cell r="AE219" t="str">
            <v>multionly</v>
          </cell>
        </row>
        <row r="220">
          <cell r="A220" t="str">
            <v>11102_3</v>
          </cell>
          <cell r="B220">
            <v>3</v>
          </cell>
          <cell r="C220">
            <v>11102</v>
          </cell>
          <cell r="D220" t="str">
            <v>【マルチ専用】 赤の素材</v>
          </cell>
          <cell r="E220" t="str">
            <v>火曜クエスト</v>
          </cell>
          <cell r="F220">
            <v>3</v>
          </cell>
          <cell r="G220" t="str">
            <v>ja</v>
          </cell>
          <cell r="H220" t="str">
            <v xml:space="preserve">【上級】火のイモムシ </v>
          </cell>
          <cell r="I220" t="str">
            <v>上級</v>
          </cell>
          <cell r="J220">
            <v>103</v>
          </cell>
          <cell r="K220">
            <v>20</v>
          </cell>
          <cell r="L220">
            <v>860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1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102</v>
          </cell>
          <cell r="AD220">
            <v>6</v>
          </cell>
          <cell r="AE220" t="str">
            <v>multionly</v>
          </cell>
        </row>
        <row r="221">
          <cell r="A221" t="str">
            <v>11103_1</v>
          </cell>
          <cell r="B221">
            <v>3</v>
          </cell>
          <cell r="C221">
            <v>11103</v>
          </cell>
          <cell r="D221" t="str">
            <v>【マルチ専用】 青の素材</v>
          </cell>
          <cell r="E221" t="str">
            <v>水曜クエスト</v>
          </cell>
          <cell r="F221">
            <v>1</v>
          </cell>
          <cell r="G221" t="str">
            <v>ja</v>
          </cell>
          <cell r="H221" t="str">
            <v>【初級】水のチェシャ猫</v>
          </cell>
          <cell r="I221" t="str">
            <v>初級</v>
          </cell>
          <cell r="J221">
            <v>109</v>
          </cell>
          <cell r="K221">
            <v>8</v>
          </cell>
          <cell r="L221">
            <v>240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1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103</v>
          </cell>
          <cell r="AD221">
            <v>6</v>
          </cell>
          <cell r="AE221" t="str">
            <v>multionly</v>
          </cell>
        </row>
        <row r="222">
          <cell r="A222" t="str">
            <v>11103_2</v>
          </cell>
          <cell r="B222">
            <v>3</v>
          </cell>
          <cell r="C222">
            <v>11103</v>
          </cell>
          <cell r="D222" t="str">
            <v>【マルチ専用】 青の素材</v>
          </cell>
          <cell r="E222" t="str">
            <v>水曜クエスト</v>
          </cell>
          <cell r="F222">
            <v>2</v>
          </cell>
          <cell r="G222" t="str">
            <v>ja</v>
          </cell>
          <cell r="H222" t="str">
            <v xml:space="preserve">【中級】水のウサギ </v>
          </cell>
          <cell r="I222" t="str">
            <v>中級</v>
          </cell>
          <cell r="J222">
            <v>110</v>
          </cell>
          <cell r="K222">
            <v>15</v>
          </cell>
          <cell r="L222">
            <v>525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1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103</v>
          </cell>
          <cell r="AD222">
            <v>6</v>
          </cell>
          <cell r="AE222" t="str">
            <v>multionly</v>
          </cell>
        </row>
        <row r="223">
          <cell r="A223" t="str">
            <v>11103_3</v>
          </cell>
          <cell r="B223">
            <v>3</v>
          </cell>
          <cell r="C223">
            <v>11103</v>
          </cell>
          <cell r="D223" t="str">
            <v>【マルチ専用】 青の素材</v>
          </cell>
          <cell r="E223" t="str">
            <v>水曜クエスト</v>
          </cell>
          <cell r="F223">
            <v>3</v>
          </cell>
          <cell r="G223" t="str">
            <v>ja</v>
          </cell>
          <cell r="H223" t="str">
            <v xml:space="preserve">【上級】水のイモムシ </v>
          </cell>
          <cell r="I223" t="str">
            <v>上級</v>
          </cell>
          <cell r="J223">
            <v>111</v>
          </cell>
          <cell r="K223">
            <v>20</v>
          </cell>
          <cell r="L223">
            <v>860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103</v>
          </cell>
          <cell r="AD223">
            <v>6</v>
          </cell>
          <cell r="AE223" t="str">
            <v>multionly</v>
          </cell>
        </row>
        <row r="224">
          <cell r="A224" t="str">
            <v>11104_1</v>
          </cell>
          <cell r="B224">
            <v>3</v>
          </cell>
          <cell r="C224">
            <v>11104</v>
          </cell>
          <cell r="D224" t="str">
            <v>【マルチ専用】 緑の素材</v>
          </cell>
          <cell r="E224" t="str">
            <v>木曜クエスト</v>
          </cell>
          <cell r="F224">
            <v>1</v>
          </cell>
          <cell r="G224" t="str">
            <v>ja</v>
          </cell>
          <cell r="H224" t="str">
            <v xml:space="preserve">【初級】樹のチェシャ猫 </v>
          </cell>
          <cell r="I224" t="str">
            <v>初級</v>
          </cell>
          <cell r="J224">
            <v>105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multionly</v>
          </cell>
        </row>
        <row r="225">
          <cell r="A225" t="str">
            <v>11104_2</v>
          </cell>
          <cell r="B225">
            <v>3</v>
          </cell>
          <cell r="C225">
            <v>11104</v>
          </cell>
          <cell r="D225" t="str">
            <v>【マルチ専用】 緑の素材</v>
          </cell>
          <cell r="E225" t="str">
            <v>木曜クエスト</v>
          </cell>
          <cell r="F225">
            <v>2</v>
          </cell>
          <cell r="G225" t="str">
            <v>ja</v>
          </cell>
          <cell r="H225" t="str">
            <v xml:space="preserve">【中級】樹のウサギ 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104</v>
          </cell>
          <cell r="AD225">
            <v>6</v>
          </cell>
          <cell r="AE225" t="str">
            <v>multionly</v>
          </cell>
        </row>
        <row r="226">
          <cell r="A226" t="str">
            <v>11104_3</v>
          </cell>
          <cell r="B226">
            <v>3</v>
          </cell>
          <cell r="C226">
            <v>11104</v>
          </cell>
          <cell r="D226" t="str">
            <v>【マルチ専用】 緑の素材</v>
          </cell>
          <cell r="E226" t="str">
            <v>木曜クエスト</v>
          </cell>
          <cell r="F226">
            <v>3</v>
          </cell>
          <cell r="G226" t="str">
            <v>ja</v>
          </cell>
          <cell r="H226" t="str">
            <v>【上級】樹のイモムシ</v>
          </cell>
          <cell r="I226" t="str">
            <v>上級</v>
          </cell>
          <cell r="J226">
            <v>107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multionly</v>
          </cell>
        </row>
        <row r="227">
          <cell r="A227" t="str">
            <v>11105_1</v>
          </cell>
          <cell r="B227">
            <v>3</v>
          </cell>
          <cell r="C227">
            <v>11105</v>
          </cell>
          <cell r="D227" t="str">
            <v>【マルチ専用】 帽子屋を追え！</v>
          </cell>
          <cell r="E227" t="str">
            <v>金曜クエスト</v>
          </cell>
          <cell r="F227">
            <v>1</v>
          </cell>
          <cell r="G227" t="str">
            <v>ja</v>
          </cell>
          <cell r="H227" t="str">
            <v xml:space="preserve">【超級】火の帽子屋 </v>
          </cell>
          <cell r="I227" t="str">
            <v>赤R5</v>
          </cell>
          <cell r="J227">
            <v>104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multionly</v>
          </cell>
        </row>
        <row r="228">
          <cell r="A228" t="str">
            <v>11105_2</v>
          </cell>
          <cell r="B228">
            <v>3</v>
          </cell>
          <cell r="C228">
            <v>11105</v>
          </cell>
          <cell r="D228" t="str">
            <v>【マルチ専用】 帽子屋を追え！</v>
          </cell>
          <cell r="E228" t="str">
            <v>金曜クエスト</v>
          </cell>
          <cell r="F228">
            <v>2</v>
          </cell>
          <cell r="G228" t="str">
            <v>ja</v>
          </cell>
          <cell r="H228" t="str">
            <v>【超級】樹の帽子屋</v>
          </cell>
          <cell r="I228" t="str">
            <v>緑R5</v>
          </cell>
          <cell r="J228">
            <v>108</v>
          </cell>
          <cell r="K228">
            <v>30</v>
          </cell>
          <cell r="L228">
            <v>1400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multionly</v>
          </cell>
        </row>
        <row r="229">
          <cell r="A229" t="str">
            <v>11105_3</v>
          </cell>
          <cell r="B229">
            <v>3</v>
          </cell>
          <cell r="C229">
            <v>11105</v>
          </cell>
          <cell r="D229" t="str">
            <v>【マルチ専用】 帽子屋を追え！</v>
          </cell>
          <cell r="E229" t="str">
            <v>金曜クエスト</v>
          </cell>
          <cell r="F229">
            <v>3</v>
          </cell>
          <cell r="G229" t="str">
            <v>ja</v>
          </cell>
          <cell r="H229" t="str">
            <v xml:space="preserve">【超級】水の帽子屋 </v>
          </cell>
          <cell r="I229" t="str">
            <v>青R5</v>
          </cell>
          <cell r="J229">
            <v>112</v>
          </cell>
          <cell r="K229">
            <v>30</v>
          </cell>
          <cell r="L229">
            <v>1400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multionly</v>
          </cell>
        </row>
        <row r="230">
          <cell r="A230" t="str">
            <v>11105_4</v>
          </cell>
          <cell r="B230">
            <v>3</v>
          </cell>
          <cell r="C230">
            <v>11105</v>
          </cell>
          <cell r="D230" t="str">
            <v>【マルチ専用】 帽子屋を追え！</v>
          </cell>
          <cell r="E230" t="str">
            <v>金曜クエスト</v>
          </cell>
          <cell r="F230">
            <v>4</v>
          </cell>
          <cell r="G230" t="str">
            <v>ja</v>
          </cell>
          <cell r="H230" t="str">
            <v xml:space="preserve">【超級】雷の帽子屋 </v>
          </cell>
          <cell r="I230" t="str">
            <v>黄R5</v>
          </cell>
          <cell r="J230">
            <v>116</v>
          </cell>
          <cell r="K230">
            <v>30</v>
          </cell>
          <cell r="L230">
            <v>1400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multionly</v>
          </cell>
        </row>
        <row r="231">
          <cell r="A231" t="str">
            <v>11106_1</v>
          </cell>
          <cell r="B231">
            <v>0</v>
          </cell>
          <cell r="C231">
            <v>11106</v>
          </cell>
          <cell r="D231" t="str">
            <v>【キャンペーン限定】 ゴールドカジノ</v>
          </cell>
          <cell r="E231" t="str">
            <v>土日クエスト1</v>
          </cell>
          <cell r="F231">
            <v>1</v>
          </cell>
          <cell r="G231" t="str">
            <v>ja</v>
          </cell>
          <cell r="H231" t="str">
            <v xml:space="preserve">【初級】ゴールドカジノ </v>
          </cell>
          <cell r="I231" t="str">
            <v>初級</v>
          </cell>
          <cell r="J231">
            <v>117</v>
          </cell>
          <cell r="K231">
            <v>8</v>
          </cell>
          <cell r="L231">
            <v>140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105</v>
          </cell>
          <cell r="AD231">
            <v>6</v>
          </cell>
          <cell r="AE231" t="str">
            <v>everyone</v>
          </cell>
        </row>
        <row r="232">
          <cell r="A232" t="str">
            <v>11106_2</v>
          </cell>
          <cell r="B232">
            <v>0</v>
          </cell>
          <cell r="C232">
            <v>11106</v>
          </cell>
          <cell r="D232" t="str">
            <v>【キャンペーン限定】 ゴールドカジノ</v>
          </cell>
          <cell r="E232" t="str">
            <v>土日クエスト1</v>
          </cell>
          <cell r="F232">
            <v>2</v>
          </cell>
          <cell r="G232" t="str">
            <v>ja</v>
          </cell>
          <cell r="H232" t="str">
            <v xml:space="preserve">【中級】ゴールドカジノ </v>
          </cell>
          <cell r="I232" t="str">
            <v>中級</v>
          </cell>
          <cell r="J232">
            <v>118</v>
          </cell>
          <cell r="K232">
            <v>15</v>
          </cell>
          <cell r="L232">
            <v>350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105</v>
          </cell>
          <cell r="AD232">
            <v>6</v>
          </cell>
          <cell r="AE232" t="str">
            <v>everyone</v>
          </cell>
        </row>
        <row r="233">
          <cell r="A233" t="str">
            <v>11106_3</v>
          </cell>
          <cell r="B233">
            <v>0</v>
          </cell>
          <cell r="C233">
            <v>11106</v>
          </cell>
          <cell r="D233" t="str">
            <v>【キャンペーン限定】 ゴールドカジノ</v>
          </cell>
          <cell r="E233" t="str">
            <v>土日クエスト1</v>
          </cell>
          <cell r="F233">
            <v>3</v>
          </cell>
          <cell r="G233" t="str">
            <v>ja</v>
          </cell>
          <cell r="H233" t="str">
            <v xml:space="preserve">【上級】ゴールドカジノ </v>
          </cell>
          <cell r="I233" t="str">
            <v>上級</v>
          </cell>
          <cell r="J233">
            <v>119</v>
          </cell>
          <cell r="K233">
            <v>20</v>
          </cell>
          <cell r="L233">
            <v>860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105</v>
          </cell>
          <cell r="AD233">
            <v>6</v>
          </cell>
          <cell r="AE233" t="str">
            <v>everyone</v>
          </cell>
        </row>
        <row r="234">
          <cell r="A234" t="str">
            <v>11206_1</v>
          </cell>
          <cell r="B234">
            <v>0</v>
          </cell>
          <cell r="C234">
            <v>11206</v>
          </cell>
          <cell r="D234" t="str">
            <v>【キャンペーン限定】 ゴールドカジノ</v>
          </cell>
          <cell r="E234" t="str">
            <v>土日クエスト2</v>
          </cell>
          <cell r="F234">
            <v>1</v>
          </cell>
          <cell r="G234" t="str">
            <v>ja</v>
          </cell>
          <cell r="H234" t="str">
            <v>【初級】ゴールドカジノ</v>
          </cell>
          <cell r="I234" t="str">
            <v>初級</v>
          </cell>
          <cell r="J234">
            <v>117</v>
          </cell>
          <cell r="K234">
            <v>8</v>
          </cell>
          <cell r="L234">
            <v>140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everyone</v>
          </cell>
        </row>
        <row r="235">
          <cell r="A235" t="str">
            <v>11206_2</v>
          </cell>
          <cell r="B235">
            <v>0</v>
          </cell>
          <cell r="C235">
            <v>11206</v>
          </cell>
          <cell r="D235" t="str">
            <v>【キャンペーン限定】 ゴールドカジノ</v>
          </cell>
          <cell r="E235" t="str">
            <v>土日クエスト2</v>
          </cell>
          <cell r="F235">
            <v>2</v>
          </cell>
          <cell r="G235" t="str">
            <v>ja</v>
          </cell>
          <cell r="H235" t="str">
            <v xml:space="preserve">【中級】ゴールドカジノ </v>
          </cell>
          <cell r="I235" t="str">
            <v>中級</v>
          </cell>
          <cell r="J235">
            <v>118</v>
          </cell>
          <cell r="K235">
            <v>15</v>
          </cell>
          <cell r="L235">
            <v>350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105</v>
          </cell>
          <cell r="AD235">
            <v>6</v>
          </cell>
          <cell r="AE235" t="str">
            <v>everyone</v>
          </cell>
        </row>
        <row r="236">
          <cell r="A236" t="str">
            <v>11206_3</v>
          </cell>
          <cell r="B236">
            <v>0</v>
          </cell>
          <cell r="C236">
            <v>11206</v>
          </cell>
          <cell r="D236" t="str">
            <v>【キャンペーン限定】 ゴールドカジノ</v>
          </cell>
          <cell r="E236" t="str">
            <v>土日クエスト2</v>
          </cell>
          <cell r="F236">
            <v>3</v>
          </cell>
          <cell r="G236" t="str">
            <v>ja</v>
          </cell>
          <cell r="H236" t="str">
            <v xml:space="preserve">【上級】ゴールドカジノ </v>
          </cell>
          <cell r="I236" t="str">
            <v>上級</v>
          </cell>
          <cell r="J236">
            <v>119</v>
          </cell>
          <cell r="K236">
            <v>20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11016_1</v>
          </cell>
          <cell r="B237">
            <v>3</v>
          </cell>
          <cell r="C237">
            <v>11016</v>
          </cell>
          <cell r="D237" t="str">
            <v>【マルチ専用1/2】 ゴールドカジノ</v>
          </cell>
          <cell r="E237" t="str">
            <v>土日クエスト1</v>
          </cell>
          <cell r="F237">
            <v>1</v>
          </cell>
          <cell r="G237" t="str">
            <v>ja</v>
          </cell>
          <cell r="H237" t="str">
            <v xml:space="preserve">【上級】ゴールドカジノ </v>
          </cell>
          <cell r="I237" t="str">
            <v>上級</v>
          </cell>
          <cell r="J237">
            <v>119</v>
          </cell>
          <cell r="K237">
            <v>10</v>
          </cell>
          <cell r="L237">
            <v>860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105</v>
          </cell>
          <cell r="AD237">
            <v>6</v>
          </cell>
          <cell r="AE237" t="str">
            <v>multionly</v>
          </cell>
        </row>
        <row r="238">
          <cell r="A238" t="str">
            <v>11207_1</v>
          </cell>
          <cell r="B238">
            <v>3</v>
          </cell>
          <cell r="C238">
            <v>11207</v>
          </cell>
          <cell r="D238" t="str">
            <v>果実達の大宴会</v>
          </cell>
          <cell r="E238">
            <v>0</v>
          </cell>
          <cell r="F238">
            <v>1</v>
          </cell>
          <cell r="G238" t="str">
            <v>ja</v>
          </cell>
          <cell r="H238" t="str">
            <v>【上級】果実達の大宴会</v>
          </cell>
          <cell r="I238" t="str">
            <v>ボーナス</v>
          </cell>
          <cell r="J238" t="str">
            <v>NULL</v>
          </cell>
          <cell r="K238">
            <v>20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21</v>
          </cell>
          <cell r="AD238">
            <v>6</v>
          </cell>
          <cell r="AE238" t="str">
            <v>singleonly</v>
          </cell>
        </row>
        <row r="239">
          <cell r="A239" t="str">
            <v>11207_2</v>
          </cell>
          <cell r="B239">
            <v>3</v>
          </cell>
          <cell r="C239">
            <v>11207</v>
          </cell>
          <cell r="D239" t="str">
            <v>果実達の大宴会</v>
          </cell>
          <cell r="E239">
            <v>0</v>
          </cell>
          <cell r="F239">
            <v>2</v>
          </cell>
          <cell r="G239" t="str">
            <v>ja</v>
          </cell>
          <cell r="H239" t="str">
            <v>【超級】果実達の大宴会</v>
          </cell>
          <cell r="I239" t="str">
            <v>ボーナス</v>
          </cell>
          <cell r="J239">
            <v>125</v>
          </cell>
          <cell r="K239">
            <v>40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21</v>
          </cell>
          <cell r="AD239">
            <v>6</v>
          </cell>
          <cell r="AE239" t="str">
            <v>singleonly</v>
          </cell>
        </row>
        <row r="240">
          <cell r="A240" t="str">
            <v>11208_1</v>
          </cell>
          <cell r="B240">
            <v>0</v>
          </cell>
          <cell r="C240">
            <v>11208</v>
          </cell>
          <cell r="D240" t="str">
            <v>果実達の大宴会</v>
          </cell>
          <cell r="E240">
            <v>0</v>
          </cell>
          <cell r="F240">
            <v>1</v>
          </cell>
          <cell r="G240" t="str">
            <v>ja</v>
          </cell>
          <cell r="H240" t="str">
            <v>【上級】果実達の大宴会</v>
          </cell>
          <cell r="I240" t="str">
            <v>ボーナス</v>
          </cell>
          <cell r="J240" t="str">
            <v>NULL</v>
          </cell>
          <cell r="K240">
            <v>20</v>
          </cell>
          <cell r="L240">
            <v>525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21</v>
          </cell>
          <cell r="AD240">
            <v>6</v>
          </cell>
          <cell r="AE240" t="str">
            <v>singleonly</v>
          </cell>
        </row>
        <row r="241">
          <cell r="A241" t="str">
            <v>11208_2</v>
          </cell>
          <cell r="B241">
            <v>0</v>
          </cell>
          <cell r="C241">
            <v>11208</v>
          </cell>
          <cell r="D241" t="str">
            <v>果実達の大宴会</v>
          </cell>
          <cell r="E241">
            <v>0</v>
          </cell>
          <cell r="F241">
            <v>2</v>
          </cell>
          <cell r="G241" t="str">
            <v>ja</v>
          </cell>
          <cell r="H241" t="str">
            <v>【超級】果実達の大宴会</v>
          </cell>
          <cell r="I241" t="str">
            <v>ボーナス</v>
          </cell>
          <cell r="J241">
            <v>125</v>
          </cell>
          <cell r="K241">
            <v>40</v>
          </cell>
          <cell r="L241">
            <v>860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21</v>
          </cell>
          <cell r="AD241">
            <v>6</v>
          </cell>
          <cell r="AE241" t="str">
            <v>singleonly</v>
          </cell>
        </row>
        <row r="242">
          <cell r="A242" t="str">
            <v>11209_1</v>
          </cell>
          <cell r="B242">
            <v>3</v>
          </cell>
          <cell r="C242">
            <v>11209</v>
          </cell>
          <cell r="D242" t="str">
            <v>スタートダッシュキャンペーンクエスト</v>
          </cell>
          <cell r="E242" t="str">
            <v>スタートダッシュキャンペーンクエスト</v>
          </cell>
          <cell r="F242">
            <v>1</v>
          </cell>
          <cell r="G242" t="str">
            <v>ja</v>
          </cell>
          <cell r="H242" t="str">
            <v>【初級】メタルダックを捕獲せよ！</v>
          </cell>
          <cell r="I242" t="str">
            <v>経験値ゲリラ</v>
          </cell>
          <cell r="J242">
            <v>334</v>
          </cell>
          <cell r="K242">
            <v>8</v>
          </cell>
          <cell r="L242">
            <v>140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201</v>
          </cell>
          <cell r="AD242">
            <v>6</v>
          </cell>
          <cell r="AE242" t="str">
            <v>everyone</v>
          </cell>
        </row>
        <row r="243">
          <cell r="A243" t="str">
            <v>11209_2</v>
          </cell>
          <cell r="B243">
            <v>3</v>
          </cell>
          <cell r="C243">
            <v>11209</v>
          </cell>
          <cell r="D243" t="str">
            <v>スタートダッシュキャンペーンクエスト</v>
          </cell>
          <cell r="E243" t="str">
            <v>スタートダッシュキャンペーンクエスト</v>
          </cell>
          <cell r="F243">
            <v>2</v>
          </cell>
          <cell r="G243" t="str">
            <v>ja</v>
          </cell>
          <cell r="H243" t="str">
            <v xml:space="preserve">【初級】ゴールドカジノ </v>
          </cell>
          <cell r="I243" t="str">
            <v>初級</v>
          </cell>
          <cell r="J243">
            <v>117</v>
          </cell>
          <cell r="K243">
            <v>8</v>
          </cell>
          <cell r="L243">
            <v>140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105</v>
          </cell>
          <cell r="AD243">
            <v>6</v>
          </cell>
          <cell r="AE243" t="str">
            <v>everyone</v>
          </cell>
        </row>
        <row r="244">
          <cell r="A244" t="str">
            <v>11210_1</v>
          </cell>
          <cell r="B244">
            <v>0</v>
          </cell>
          <cell r="C244">
            <v>11210</v>
          </cell>
          <cell r="D244" t="str">
            <v>100万DL記念★育成ブースト！</v>
          </cell>
          <cell r="E244" t="str">
            <v>ゲリラ【超級】</v>
          </cell>
          <cell r="F244">
            <v>1</v>
          </cell>
          <cell r="G244" t="str">
            <v>ja</v>
          </cell>
          <cell r="H244" t="str">
            <v>【超級】雷のジェントルを追え！</v>
          </cell>
          <cell r="I244" t="str">
            <v>超級ゲリラ</v>
          </cell>
          <cell r="J244">
            <v>347</v>
          </cell>
          <cell r="K244">
            <v>40</v>
          </cell>
          <cell r="L244">
            <v>500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12</v>
          </cell>
          <cell r="AD244">
            <v>6</v>
          </cell>
          <cell r="AE244" t="str">
            <v>singleonly</v>
          </cell>
        </row>
        <row r="245">
          <cell r="A245" t="str">
            <v>11210_2</v>
          </cell>
          <cell r="B245">
            <v>0</v>
          </cell>
          <cell r="C245">
            <v>11210</v>
          </cell>
          <cell r="D245" t="str">
            <v>100万DL記念★育成ブースト！</v>
          </cell>
          <cell r="E245" t="str">
            <v>ゲリラ【超級】</v>
          </cell>
          <cell r="F245">
            <v>2</v>
          </cell>
          <cell r="G245" t="str">
            <v>ja</v>
          </cell>
          <cell r="H245" t="str">
            <v>【超級】水のジェントルを追え！</v>
          </cell>
          <cell r="I245" t="str">
            <v>超級ゲリラ</v>
          </cell>
          <cell r="J245">
            <v>343</v>
          </cell>
          <cell r="K245">
            <v>40</v>
          </cell>
          <cell r="L245">
            <v>500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5</v>
          </cell>
          <cell r="AD245">
            <v>6</v>
          </cell>
          <cell r="AE245" t="str">
            <v>singleonly</v>
          </cell>
        </row>
        <row r="246">
          <cell r="A246" t="str">
            <v>11210_3</v>
          </cell>
          <cell r="B246">
            <v>0</v>
          </cell>
          <cell r="C246">
            <v>11210</v>
          </cell>
          <cell r="D246" t="str">
            <v>100万DL記念★育成ブースト！</v>
          </cell>
          <cell r="E246" t="str">
            <v>ゲリラ【超級】</v>
          </cell>
          <cell r="F246">
            <v>3</v>
          </cell>
          <cell r="G246" t="str">
            <v>ja</v>
          </cell>
          <cell r="H246" t="str">
            <v>【超級】森のジェントルを追え！</v>
          </cell>
          <cell r="I246" t="str">
            <v>超級ゲリラ</v>
          </cell>
          <cell r="J246">
            <v>339</v>
          </cell>
          <cell r="K246">
            <v>40</v>
          </cell>
          <cell r="L246">
            <v>500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7</v>
          </cell>
          <cell r="AD246">
            <v>6</v>
          </cell>
          <cell r="AE246" t="str">
            <v>singleonly</v>
          </cell>
        </row>
        <row r="247">
          <cell r="A247" t="str">
            <v>11210_4</v>
          </cell>
          <cell r="B247">
            <v>0</v>
          </cell>
          <cell r="C247">
            <v>11210</v>
          </cell>
          <cell r="D247" t="str">
            <v>100万DL記念★育成ブースト！</v>
          </cell>
          <cell r="E247" t="str">
            <v>ゲリラ【超級】</v>
          </cell>
          <cell r="F247">
            <v>4</v>
          </cell>
          <cell r="G247" t="str">
            <v>ja</v>
          </cell>
          <cell r="H247" t="str">
            <v>【超級】炎のジェントルを追え！</v>
          </cell>
          <cell r="I247" t="str">
            <v>超級ゲリラ</v>
          </cell>
          <cell r="J247">
            <v>335</v>
          </cell>
          <cell r="K247">
            <v>40</v>
          </cell>
          <cell r="L247">
            <v>500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</v>
          </cell>
          <cell r="AD247">
            <v>6</v>
          </cell>
          <cell r="AE247" t="str">
            <v>singleonly</v>
          </cell>
        </row>
        <row r="248">
          <cell r="A248" t="str">
            <v>11211_1</v>
          </cell>
          <cell r="B248">
            <v>0</v>
          </cell>
          <cell r="C248">
            <v>11211</v>
          </cell>
          <cell r="D248" t="str">
            <v>※欠番</v>
          </cell>
          <cell r="E248" t="str">
            <v>【超級】ゲリラ※欠番</v>
          </cell>
          <cell r="F248">
            <v>1</v>
          </cell>
          <cell r="G248" t="str">
            <v>ja</v>
          </cell>
          <cell r="H248" t="str">
            <v>【超級】雷のジェントルを追え！</v>
          </cell>
          <cell r="I248" t="str">
            <v>超級ゲリラ ※一時利用</v>
          </cell>
          <cell r="J248">
            <v>347</v>
          </cell>
          <cell r="K248">
            <v>40</v>
          </cell>
          <cell r="L248">
            <v>500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12</v>
          </cell>
          <cell r="AD248">
            <v>6</v>
          </cell>
          <cell r="AE248" t="str">
            <v>singleonly</v>
          </cell>
        </row>
        <row r="249">
          <cell r="A249" t="str">
            <v>11211_2</v>
          </cell>
          <cell r="B249">
            <v>0</v>
          </cell>
          <cell r="C249">
            <v>11211</v>
          </cell>
          <cell r="D249" t="str">
            <v>※欠番</v>
          </cell>
          <cell r="E249" t="str">
            <v>【超級】ゲリラ※欠番</v>
          </cell>
          <cell r="F249">
            <v>2</v>
          </cell>
          <cell r="G249" t="str">
            <v>ja</v>
          </cell>
          <cell r="H249" t="str">
            <v>【超級】水のジェントルを追え！</v>
          </cell>
          <cell r="I249" t="str">
            <v>超級ゲリラ ※一時利用</v>
          </cell>
          <cell r="J249">
            <v>343</v>
          </cell>
          <cell r="K249">
            <v>40</v>
          </cell>
          <cell r="L249">
            <v>500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5</v>
          </cell>
          <cell r="AD249">
            <v>6</v>
          </cell>
          <cell r="AE249" t="str">
            <v>singleonly</v>
          </cell>
        </row>
        <row r="250">
          <cell r="A250" t="str">
            <v>11211_3</v>
          </cell>
          <cell r="B250">
            <v>0</v>
          </cell>
          <cell r="C250">
            <v>11211</v>
          </cell>
          <cell r="D250" t="str">
            <v>※欠番</v>
          </cell>
          <cell r="E250" t="str">
            <v>【超級】ゲリラ※欠番</v>
          </cell>
          <cell r="F250">
            <v>3</v>
          </cell>
          <cell r="G250" t="str">
            <v>ja</v>
          </cell>
          <cell r="H250" t="str">
            <v>【超級】森のジェントルを追え！</v>
          </cell>
          <cell r="I250" t="str">
            <v>超級ゲリラ ※一時利用</v>
          </cell>
          <cell r="J250">
            <v>339</v>
          </cell>
          <cell r="K250">
            <v>40</v>
          </cell>
          <cell r="L250">
            <v>500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7</v>
          </cell>
          <cell r="AD250">
            <v>6</v>
          </cell>
          <cell r="AE250" t="str">
            <v>singleonly</v>
          </cell>
        </row>
        <row r="251">
          <cell r="A251" t="str">
            <v>11211_4</v>
          </cell>
          <cell r="B251">
            <v>0</v>
          </cell>
          <cell r="C251">
            <v>11211</v>
          </cell>
          <cell r="D251" t="str">
            <v>※欠番</v>
          </cell>
          <cell r="E251" t="str">
            <v>【超級】ゲリラ※欠番</v>
          </cell>
          <cell r="F251">
            <v>4</v>
          </cell>
          <cell r="G251" t="str">
            <v>ja</v>
          </cell>
          <cell r="H251" t="str">
            <v>【超級】炎のジェントルを追え！</v>
          </cell>
          <cell r="I251" t="str">
            <v>超級ゲリラ ※一時利用</v>
          </cell>
          <cell r="J251">
            <v>335</v>
          </cell>
          <cell r="K251">
            <v>40</v>
          </cell>
          <cell r="L251">
            <v>500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</v>
          </cell>
          <cell r="AD251">
            <v>6</v>
          </cell>
          <cell r="AE251" t="str">
            <v>singleonly</v>
          </cell>
        </row>
        <row r="252">
          <cell r="A252" t="str">
            <v>11212_1</v>
          </cell>
          <cell r="B252">
            <v>0</v>
          </cell>
          <cell r="C252">
            <v>11212</v>
          </cell>
          <cell r="D252" t="str">
            <v>100万DL記念★特別クエスト</v>
          </cell>
          <cell r="E252" t="str">
            <v>100万DL記念★特別クエスト</v>
          </cell>
          <cell r="F252">
            <v>1</v>
          </cell>
          <cell r="G252" t="str">
            <v>ja</v>
          </cell>
          <cell r="H252" t="str">
            <v>ミリオンダックより愛をこめて</v>
          </cell>
          <cell r="I252" t="str">
            <v>100万DL記念限定クエスト</v>
          </cell>
          <cell r="J252">
            <v>97</v>
          </cell>
          <cell r="K252">
            <v>1</v>
          </cell>
          <cell r="L252">
            <v>100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once</v>
          </cell>
          <cell r="AC252">
            <v>1</v>
          </cell>
          <cell r="AD252">
            <v>6</v>
          </cell>
          <cell r="AE252" t="str">
            <v>singleonly</v>
          </cell>
        </row>
        <row r="253">
          <cell r="A253" t="str">
            <v>11213_1</v>
          </cell>
          <cell r="B253">
            <v>0</v>
          </cell>
          <cell r="C253">
            <v>11213</v>
          </cell>
          <cell r="D253" t="str">
            <v>クエスト名</v>
          </cell>
          <cell r="E253" t="str">
            <v>【超級】カジノ</v>
          </cell>
          <cell r="F253">
            <v>1</v>
          </cell>
          <cell r="G253" t="str">
            <v>ja</v>
          </cell>
          <cell r="H253" t="str">
            <v xml:space="preserve">【超級】ゴールドカジノ </v>
          </cell>
          <cell r="I253" t="str">
            <v>超級カジノ</v>
          </cell>
          <cell r="J253">
            <v>119</v>
          </cell>
          <cell r="K253">
            <v>30</v>
          </cell>
          <cell r="L253">
            <v>777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105</v>
          </cell>
          <cell r="AD253">
            <v>6</v>
          </cell>
          <cell r="AE253" t="str">
            <v>everyone</v>
          </cell>
        </row>
        <row r="254">
          <cell r="A254" t="str">
            <v>11214_1</v>
          </cell>
          <cell r="B254">
            <v>0</v>
          </cell>
          <cell r="C254">
            <v>11214</v>
          </cell>
          <cell r="D254" t="str">
            <v>プロメテウスの恋</v>
          </cell>
          <cell r="E254" t="str">
            <v>2015年クリスマスクエスト</v>
          </cell>
          <cell r="F254">
            <v>1</v>
          </cell>
          <cell r="G254" t="str">
            <v>ja</v>
          </cell>
          <cell r="H254" t="str">
            <v>【ストーリー前編】勢いまかせ</v>
          </cell>
          <cell r="I254" t="str">
            <v>2015年クリスマスクエスト</v>
          </cell>
          <cell r="J254">
            <v>202</v>
          </cell>
          <cell r="K254">
            <v>1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character</v>
          </cell>
          <cell r="T254" t="str">
            <v>520,521,522,523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</v>
          </cell>
          <cell r="AD254">
            <v>6</v>
          </cell>
          <cell r="AE254" t="str">
            <v>singleonly</v>
          </cell>
        </row>
        <row r="255">
          <cell r="A255" t="str">
            <v>11214_2</v>
          </cell>
          <cell r="B255">
            <v>0</v>
          </cell>
          <cell r="C255">
            <v>11214</v>
          </cell>
          <cell r="D255" t="str">
            <v>プロメテウスの恋</v>
          </cell>
          <cell r="E255" t="str">
            <v>2015年クリスマスクエスト</v>
          </cell>
          <cell r="F255">
            <v>2</v>
          </cell>
          <cell r="G255" t="str">
            <v>ja</v>
          </cell>
          <cell r="H255" t="str">
            <v>【ストーリー中編】恋の奥義</v>
          </cell>
          <cell r="I255" t="str">
            <v>2015年クリスマスクエスト</v>
          </cell>
          <cell r="J255">
            <v>202</v>
          </cell>
          <cell r="K255">
            <v>1</v>
          </cell>
          <cell r="L255">
            <v>1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>
            <v>11214</v>
          </cell>
          <cell r="V255">
            <v>1</v>
          </cell>
          <cell r="W255" t="str">
            <v>【ストーリー前編】勢いまかせ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105</v>
          </cell>
          <cell r="AD255">
            <v>6</v>
          </cell>
          <cell r="AE255" t="str">
            <v>singleonly</v>
          </cell>
        </row>
        <row r="256">
          <cell r="A256" t="str">
            <v>11214_3</v>
          </cell>
          <cell r="B256">
            <v>0</v>
          </cell>
          <cell r="C256">
            <v>11214</v>
          </cell>
          <cell r="D256" t="str">
            <v>プロメテウスの恋</v>
          </cell>
          <cell r="E256" t="str">
            <v>2015年クリスマスクエスト</v>
          </cell>
          <cell r="F256">
            <v>3</v>
          </cell>
          <cell r="G256" t="str">
            <v>ja</v>
          </cell>
          <cell r="H256" t="str">
            <v>【ストーリー後編】フィーバーの力</v>
          </cell>
          <cell r="I256" t="str">
            <v>2015年クリスマスクエスト</v>
          </cell>
          <cell r="J256">
            <v>202</v>
          </cell>
          <cell r="K256">
            <v>1</v>
          </cell>
          <cell r="L256">
            <v>2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character</v>
          </cell>
          <cell r="T256" t="str">
            <v>520,521,522,523</v>
          </cell>
          <cell r="U256">
            <v>11214</v>
          </cell>
          <cell r="V256">
            <v>1</v>
          </cell>
          <cell r="W256" t="str">
            <v>【ストーリー前編】勢いまかせ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105</v>
          </cell>
          <cell r="AD256">
            <v>6</v>
          </cell>
          <cell r="AE256" t="str">
            <v>singleonly</v>
          </cell>
        </row>
        <row r="257">
          <cell r="A257" t="str">
            <v>11215_1</v>
          </cell>
          <cell r="B257">
            <v>0</v>
          </cell>
          <cell r="C257">
            <v>11215</v>
          </cell>
          <cell r="D257" t="str">
            <v>【マルチ】サンタダックを捕獲せよ！</v>
          </cell>
          <cell r="E257" t="str">
            <v>2015年クリスマスゲリラクエスト</v>
          </cell>
          <cell r="F257">
            <v>1</v>
          </cell>
          <cell r="G257" t="str">
            <v>ja</v>
          </cell>
          <cell r="H257" t="str">
            <v>【上級】サンタダックを捕獲せよ！</v>
          </cell>
          <cell r="I257" t="str">
            <v>2015年クリスマスゲリラクエスト</v>
          </cell>
          <cell r="J257">
            <v>520</v>
          </cell>
          <cell r="K257">
            <v>10</v>
          </cell>
          <cell r="L257">
            <v>350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105</v>
          </cell>
          <cell r="AD257">
            <v>6</v>
          </cell>
          <cell r="AE257" t="str">
            <v>multionly</v>
          </cell>
        </row>
        <row r="258">
          <cell r="A258" t="str">
            <v>11216_1</v>
          </cell>
          <cell r="B258">
            <v>0</v>
          </cell>
          <cell r="C258">
            <v>11216</v>
          </cell>
          <cell r="D258" t="str">
            <v>年越し★特別クエスト</v>
          </cell>
          <cell r="E258" t="str">
            <v>2015年年越しクエスト</v>
          </cell>
          <cell r="F258">
            <v>1</v>
          </cell>
          <cell r="G258" t="str">
            <v>ja</v>
          </cell>
          <cell r="H258" t="str">
            <v>【上級】年を越える宴（ハートなし）</v>
          </cell>
          <cell r="I258" t="str">
            <v>2015年年忘れクエスト</v>
          </cell>
          <cell r="J258">
            <v>377</v>
          </cell>
          <cell r="K258">
            <v>10</v>
          </cell>
          <cell r="L258">
            <v>350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0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901</v>
          </cell>
          <cell r="AD258">
            <v>6</v>
          </cell>
          <cell r="AE258" t="str">
            <v>multionly</v>
          </cell>
        </row>
        <row r="259">
          <cell r="A259" t="str">
            <v>11217_1</v>
          </cell>
          <cell r="B259">
            <v>0</v>
          </cell>
          <cell r="C259">
            <v>11217</v>
          </cell>
          <cell r="D259" t="str">
            <v>年明け★特別クエスト</v>
          </cell>
          <cell r="E259" t="str">
            <v>2016年あけおめクエスト</v>
          </cell>
          <cell r="F259">
            <v>1</v>
          </cell>
          <cell r="G259" t="str">
            <v>ja</v>
          </cell>
          <cell r="H259" t="str">
            <v>あけおめダックのお年玉</v>
          </cell>
          <cell r="I259" t="str">
            <v>2016年あけおめクエスト</v>
          </cell>
          <cell r="J259">
            <v>524</v>
          </cell>
          <cell r="K259">
            <v>1</v>
          </cell>
          <cell r="L259">
            <v>2016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0</v>
          </cell>
          <cell r="R259">
            <v>3</v>
          </cell>
          <cell r="S259" t="str">
            <v>polygon</v>
          </cell>
          <cell r="T259">
            <v>1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once</v>
          </cell>
          <cell r="AC259">
            <v>2</v>
          </cell>
          <cell r="AD259">
            <v>6</v>
          </cell>
          <cell r="AE259" t="str">
            <v>singleonly</v>
          </cell>
        </row>
        <row r="260">
          <cell r="A260" t="str">
            <v>11218_1</v>
          </cell>
          <cell r="B260">
            <v>3</v>
          </cell>
          <cell r="C260">
            <v>11218</v>
          </cell>
          <cell r="D260" t="str">
            <v>バレンタイン★特別クエスト</v>
          </cell>
          <cell r="E260" t="str">
            <v>2016年バレンタインクエスト</v>
          </cell>
          <cell r="F260">
            <v>1</v>
          </cell>
          <cell r="G260" t="str">
            <v>ja</v>
          </cell>
          <cell r="H260" t="str">
            <v>【ストーリー】バレンタイン狂想曲</v>
          </cell>
          <cell r="I260" t="str">
            <v>ストーリー</v>
          </cell>
          <cell r="J260">
            <v>572</v>
          </cell>
          <cell r="K260">
            <v>1</v>
          </cell>
          <cell r="L260">
            <v>214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polygon</v>
          </cell>
          <cell r="T260">
            <v>1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once</v>
          </cell>
          <cell r="AC260">
            <v>1</v>
          </cell>
          <cell r="AD260">
            <v>6</v>
          </cell>
          <cell r="AE260" t="str">
            <v>singleonly</v>
          </cell>
        </row>
        <row r="261">
          <cell r="A261" t="str">
            <v>11219_1</v>
          </cell>
          <cell r="B261">
            <v>1</v>
          </cell>
          <cell r="C261">
            <v>11219</v>
          </cell>
          <cell r="D261" t="str">
            <v>200万DL記念★特別クエスト</v>
          </cell>
          <cell r="E261" t="str">
            <v>200万DL記念★特別クエスト</v>
          </cell>
          <cell r="F261">
            <v>1</v>
          </cell>
          <cell r="G261" t="str">
            <v>ja</v>
          </cell>
          <cell r="H261" t="str">
            <v>ミリオンダックより愛をこめて 2</v>
          </cell>
          <cell r="I261" t="str">
            <v>200万DL記念限定クエスト</v>
          </cell>
          <cell r="J261">
            <v>97</v>
          </cell>
          <cell r="K261">
            <v>1</v>
          </cell>
          <cell r="L261">
            <v>100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once</v>
          </cell>
          <cell r="AC261">
            <v>1</v>
          </cell>
          <cell r="AD261">
            <v>6</v>
          </cell>
          <cell r="AE261" t="str">
            <v>singleonly</v>
          </cell>
        </row>
        <row r="262">
          <cell r="A262" t="str">
            <v>12001_1</v>
          </cell>
          <cell r="B262">
            <v>3</v>
          </cell>
          <cell r="C262">
            <v>12001</v>
          </cell>
          <cell r="D262" t="str">
            <v>【緊急！！】 アヒル捕獲作戦</v>
          </cell>
          <cell r="E262" t="str">
            <v>ゲリラクエスト</v>
          </cell>
          <cell r="F262">
            <v>1</v>
          </cell>
          <cell r="G262" t="str">
            <v>ja</v>
          </cell>
          <cell r="H262" t="str">
            <v xml:space="preserve">【初級】メタルダックを捕獲せよ！ </v>
          </cell>
          <cell r="I262" t="str">
            <v>経験値ゲリラ</v>
          </cell>
          <cell r="J262">
            <v>334</v>
          </cell>
          <cell r="K262">
            <v>8</v>
          </cell>
          <cell r="L262">
            <v>140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201</v>
          </cell>
          <cell r="AD262">
            <v>6</v>
          </cell>
          <cell r="AE262" t="str">
            <v>everyone</v>
          </cell>
        </row>
        <row r="263">
          <cell r="A263" t="str">
            <v>12001_2</v>
          </cell>
          <cell r="B263">
            <v>3</v>
          </cell>
          <cell r="C263">
            <v>12001</v>
          </cell>
          <cell r="D263" t="str">
            <v>【緊急！！】 アヒル捕獲作戦</v>
          </cell>
          <cell r="E263" t="str">
            <v>ゲリラクエスト</v>
          </cell>
          <cell r="F263">
            <v>2</v>
          </cell>
          <cell r="G263" t="str">
            <v>ja</v>
          </cell>
          <cell r="H263" t="str">
            <v xml:space="preserve">【上級】メタルダックを捕獲せよ！ </v>
          </cell>
          <cell r="I263" t="str">
            <v>経験値ゲリラ</v>
          </cell>
          <cell r="J263">
            <v>334</v>
          </cell>
          <cell r="K263">
            <v>20</v>
          </cell>
          <cell r="L263">
            <v>350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201</v>
          </cell>
          <cell r="AD263">
            <v>6</v>
          </cell>
          <cell r="AE263" t="str">
            <v>everyone</v>
          </cell>
        </row>
        <row r="264">
          <cell r="A264" t="str">
            <v>12001_3</v>
          </cell>
          <cell r="B264">
            <v>0</v>
          </cell>
          <cell r="C264">
            <v>12001</v>
          </cell>
          <cell r="D264" t="str">
            <v>【緊急！！】 アヒル捕獲作戦</v>
          </cell>
          <cell r="E264" t="str">
            <v>ゲリラクエスト</v>
          </cell>
          <cell r="F264">
            <v>3</v>
          </cell>
          <cell r="G264" t="str">
            <v>ja</v>
          </cell>
          <cell r="H264" t="str">
            <v>★100DL記念 マルチ専用★_x000D_【上級】メタルダックを捕獲せよ！</v>
          </cell>
          <cell r="I264" t="str">
            <v>経験値ゲリラ</v>
          </cell>
          <cell r="J264">
            <v>334</v>
          </cell>
          <cell r="K264">
            <v>10</v>
          </cell>
          <cell r="L264">
            <v>350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201</v>
          </cell>
          <cell r="AD264">
            <v>6</v>
          </cell>
          <cell r="AE264" t="str">
            <v>multionly</v>
          </cell>
        </row>
        <row r="265">
          <cell r="A265" t="str">
            <v>12002_3</v>
          </cell>
          <cell r="B265">
            <v>0</v>
          </cell>
          <cell r="C265">
            <v>12002</v>
          </cell>
          <cell r="D265" t="str">
            <v>【マルチ専用1/2】 アヒル捕獲作戦</v>
          </cell>
          <cell r="E265" t="str">
            <v>ゲリラクエスト</v>
          </cell>
          <cell r="F265">
            <v>3</v>
          </cell>
          <cell r="G265" t="str">
            <v>ja</v>
          </cell>
          <cell r="H265" t="str">
            <v xml:space="preserve">【初級】メタルダックを捕獲せよ！ </v>
          </cell>
          <cell r="I265" t="str">
            <v>経験値ゲリラ</v>
          </cell>
          <cell r="J265">
            <v>334</v>
          </cell>
          <cell r="K265">
            <v>8</v>
          </cell>
          <cell r="L265">
            <v>140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201</v>
          </cell>
          <cell r="AD265">
            <v>6</v>
          </cell>
          <cell r="AE265" t="str">
            <v>everyone</v>
          </cell>
        </row>
        <row r="266">
          <cell r="A266" t="str">
            <v>12002_2</v>
          </cell>
          <cell r="B266">
            <v>0</v>
          </cell>
          <cell r="C266">
            <v>12002</v>
          </cell>
          <cell r="D266" t="str">
            <v>【マルチ専用1/2】 アヒル捕獲作戦</v>
          </cell>
          <cell r="E266" t="str">
            <v>ゲリラクエスト</v>
          </cell>
          <cell r="F266">
            <v>2</v>
          </cell>
          <cell r="G266" t="str">
            <v>ja</v>
          </cell>
          <cell r="H266" t="str">
            <v xml:space="preserve">【上級】メタルダックを捕獲せよ！ </v>
          </cell>
          <cell r="I266" t="str">
            <v>経験値ゲリラ</v>
          </cell>
          <cell r="J266">
            <v>334</v>
          </cell>
          <cell r="K266">
            <v>20</v>
          </cell>
          <cell r="L266">
            <v>350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201</v>
          </cell>
          <cell r="AD266">
            <v>6</v>
          </cell>
          <cell r="AE266" t="str">
            <v>everyone</v>
          </cell>
        </row>
        <row r="267">
          <cell r="A267" t="str">
            <v>12002_1</v>
          </cell>
          <cell r="B267">
            <v>3</v>
          </cell>
          <cell r="C267">
            <v>12002</v>
          </cell>
          <cell r="D267" t="str">
            <v>【マルチ専用1/2】 アヒル捕獲作戦</v>
          </cell>
          <cell r="E267" t="str">
            <v>ゲリラクエスト</v>
          </cell>
          <cell r="F267">
            <v>1</v>
          </cell>
          <cell r="G267" t="str">
            <v>ja</v>
          </cell>
          <cell r="H267" t="str">
            <v>【上級】メタルダックを捕獲せよ！</v>
          </cell>
          <cell r="I267" t="str">
            <v>経験値ゲリラ</v>
          </cell>
          <cell r="J267">
            <v>334</v>
          </cell>
          <cell r="K267">
            <v>10</v>
          </cell>
          <cell r="L267">
            <v>350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1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201</v>
          </cell>
          <cell r="AD267">
            <v>6</v>
          </cell>
          <cell r="AE267" t="str">
            <v>multionly</v>
          </cell>
        </row>
        <row r="268">
          <cell r="A268" t="str">
            <v>12003_1</v>
          </cell>
          <cell r="B268">
            <v>3</v>
          </cell>
          <cell r="C268">
            <v>12003</v>
          </cell>
          <cell r="D268" t="str">
            <v>【超緊急！！】メタルジェントルを追え</v>
          </cell>
          <cell r="E268" t="str">
            <v>ゲリラ【超級】</v>
          </cell>
          <cell r="F268">
            <v>1</v>
          </cell>
          <cell r="G268" t="str">
            <v>ja</v>
          </cell>
          <cell r="H268" t="str">
            <v>【超級】雷のジェントルを追え！</v>
          </cell>
          <cell r="I268" t="str">
            <v>超級ゲリラ</v>
          </cell>
          <cell r="J268">
            <v>347</v>
          </cell>
          <cell r="K268">
            <v>40</v>
          </cell>
          <cell r="L268">
            <v>500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12</v>
          </cell>
          <cell r="AD268">
            <v>6</v>
          </cell>
          <cell r="AE268" t="str">
            <v>singleonly</v>
          </cell>
        </row>
        <row r="269">
          <cell r="A269" t="str">
            <v>12003_2</v>
          </cell>
          <cell r="B269">
            <v>3</v>
          </cell>
          <cell r="C269">
            <v>12003</v>
          </cell>
          <cell r="D269" t="str">
            <v>【超緊急！！】メタルジェントルを追え</v>
          </cell>
          <cell r="E269" t="str">
            <v>ゲリラ【超級】</v>
          </cell>
          <cell r="F269">
            <v>2</v>
          </cell>
          <cell r="G269" t="str">
            <v>ja</v>
          </cell>
          <cell r="H269" t="str">
            <v>【超級】水のジェントルを追え！</v>
          </cell>
          <cell r="I269" t="str">
            <v>超級ゲリラ</v>
          </cell>
          <cell r="J269">
            <v>343</v>
          </cell>
          <cell r="K269">
            <v>40</v>
          </cell>
          <cell r="L269">
            <v>500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5</v>
          </cell>
          <cell r="AD269">
            <v>6</v>
          </cell>
          <cell r="AE269" t="str">
            <v>singleonly</v>
          </cell>
        </row>
        <row r="270">
          <cell r="A270" t="str">
            <v>12003_3</v>
          </cell>
          <cell r="B270">
            <v>3</v>
          </cell>
          <cell r="C270">
            <v>12003</v>
          </cell>
          <cell r="D270" t="str">
            <v>【超緊急！！】メタルジェントルを追え</v>
          </cell>
          <cell r="E270" t="str">
            <v>ゲリラ【超級】</v>
          </cell>
          <cell r="F270">
            <v>3</v>
          </cell>
          <cell r="G270" t="str">
            <v>ja</v>
          </cell>
          <cell r="H270" t="str">
            <v>【超級】森のジェントルを追え！</v>
          </cell>
          <cell r="I270" t="str">
            <v>超級ゲリラ</v>
          </cell>
          <cell r="J270">
            <v>339</v>
          </cell>
          <cell r="K270">
            <v>40</v>
          </cell>
          <cell r="L270">
            <v>500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none</v>
          </cell>
          <cell r="T270">
            <v>0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7</v>
          </cell>
          <cell r="AD270">
            <v>6</v>
          </cell>
          <cell r="AE270" t="str">
            <v>singleonly</v>
          </cell>
        </row>
        <row r="271">
          <cell r="A271" t="str">
            <v>12003_4</v>
          </cell>
          <cell r="B271">
            <v>3</v>
          </cell>
          <cell r="C271">
            <v>12003</v>
          </cell>
          <cell r="D271" t="str">
            <v>【超緊急！！】メタルジェントルを追え</v>
          </cell>
          <cell r="E271" t="str">
            <v>ゲリラ【超級】</v>
          </cell>
          <cell r="F271">
            <v>4</v>
          </cell>
          <cell r="G271" t="str">
            <v>ja</v>
          </cell>
          <cell r="H271" t="str">
            <v>【超級】炎のジェントルを追え！</v>
          </cell>
          <cell r="I271" t="str">
            <v>超級ゲリラ</v>
          </cell>
          <cell r="J271">
            <v>335</v>
          </cell>
          <cell r="K271">
            <v>40</v>
          </cell>
          <cell r="L271">
            <v>500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1</v>
          </cell>
          <cell r="R271">
            <v>3</v>
          </cell>
          <cell r="S271" t="str">
            <v>none</v>
          </cell>
          <cell r="T271">
            <v>0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10</v>
          </cell>
          <cell r="AD271">
            <v>6</v>
          </cell>
          <cell r="AE271" t="str">
            <v>singleonly</v>
          </cell>
        </row>
        <row r="272">
          <cell r="A272" t="str">
            <v>12004_1</v>
          </cell>
          <cell r="B272">
            <v>1</v>
          </cell>
          <cell r="C272">
            <v>12004</v>
          </cell>
          <cell r="D272" t="str">
            <v>【緊急！！】メタルフロッグをもとめて</v>
          </cell>
          <cell r="E272" t="str">
            <v>ゲリラクエスト</v>
          </cell>
          <cell r="F272">
            <v>1</v>
          </cell>
          <cell r="G272" t="str">
            <v>ja</v>
          </cell>
          <cell r="H272" t="str">
            <v>【上級】メタルフロッグをもとめて</v>
          </cell>
          <cell r="I272" t="str">
            <v>経験値ゲリラ</v>
          </cell>
          <cell r="J272">
            <v>351</v>
          </cell>
          <cell r="K272">
            <v>20</v>
          </cell>
          <cell r="L272">
            <v>100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1</v>
          </cell>
          <cell r="R272">
            <v>3</v>
          </cell>
          <cell r="S272" t="str">
            <v>none</v>
          </cell>
          <cell r="T272">
            <v>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201</v>
          </cell>
          <cell r="AD272">
            <v>6</v>
          </cell>
          <cell r="AE272" t="str">
            <v>everyone</v>
          </cell>
        </row>
        <row r="273">
          <cell r="A273" t="str">
            <v>13001_1</v>
          </cell>
          <cell r="B273">
            <v>3</v>
          </cell>
          <cell r="C273">
            <v>13001</v>
          </cell>
          <cell r="D273" t="str">
            <v>チャレンジタワー(ソロ専用)</v>
          </cell>
          <cell r="E273" t="str">
            <v>試練の塔</v>
          </cell>
          <cell r="F273">
            <v>1</v>
          </cell>
          <cell r="G273" t="str">
            <v>ja</v>
          </cell>
          <cell r="H273" t="str">
            <v>チャレンジタワー 1F</v>
          </cell>
          <cell r="I273" t="str">
            <v>試練の塔</v>
          </cell>
          <cell r="J273">
            <v>345</v>
          </cell>
          <cell r="K273">
            <v>3</v>
          </cell>
          <cell r="L273">
            <v>120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character</v>
          </cell>
          <cell r="T273" t="str">
            <v>345,345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anytime</v>
          </cell>
          <cell r="AC273">
            <v>26</v>
          </cell>
          <cell r="AD273">
            <v>6</v>
          </cell>
          <cell r="AE273" t="str">
            <v>singleonly</v>
          </cell>
        </row>
        <row r="274">
          <cell r="A274" t="str">
            <v>13001_2</v>
          </cell>
          <cell r="B274">
            <v>3</v>
          </cell>
          <cell r="C274">
            <v>13001</v>
          </cell>
          <cell r="D274" t="str">
            <v>チャレンジタワー(ソロ専用)</v>
          </cell>
          <cell r="E274" t="str">
            <v>試練の塔</v>
          </cell>
          <cell r="F274">
            <v>2</v>
          </cell>
          <cell r="G274" t="str">
            <v>ja</v>
          </cell>
          <cell r="H274" t="str">
            <v>チャレンジタワー 2F</v>
          </cell>
          <cell r="I274" t="str">
            <v>試練の塔</v>
          </cell>
          <cell r="J274">
            <v>333</v>
          </cell>
          <cell r="K274">
            <v>4</v>
          </cell>
          <cell r="L274">
            <v>176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character</v>
          </cell>
          <cell r="T274" t="str">
            <v>333,333</v>
          </cell>
          <cell r="U274">
            <v>13001</v>
          </cell>
          <cell r="V274">
            <v>1</v>
          </cell>
          <cell r="W274" t="str">
            <v>チャレンジタワー 1F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26</v>
          </cell>
          <cell r="AD274">
            <v>6</v>
          </cell>
          <cell r="AE274" t="str">
            <v>singleonly</v>
          </cell>
        </row>
        <row r="275">
          <cell r="A275" t="str">
            <v>13001_3</v>
          </cell>
          <cell r="B275">
            <v>3</v>
          </cell>
          <cell r="C275">
            <v>13001</v>
          </cell>
          <cell r="D275" t="str">
            <v>チャレンジタワー(ソロ専用)</v>
          </cell>
          <cell r="E275" t="str">
            <v>試練の塔</v>
          </cell>
          <cell r="F275">
            <v>3</v>
          </cell>
          <cell r="G275" t="str">
            <v>ja</v>
          </cell>
          <cell r="H275" t="str">
            <v>チャレンジタワー 3F</v>
          </cell>
          <cell r="I275" t="str">
            <v>試練の塔</v>
          </cell>
          <cell r="J275">
            <v>337</v>
          </cell>
          <cell r="K275">
            <v>5</v>
          </cell>
          <cell r="L275">
            <v>242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337,337</v>
          </cell>
          <cell r="U275">
            <v>13001</v>
          </cell>
          <cell r="V275">
            <v>2</v>
          </cell>
          <cell r="W275" t="str">
            <v>チャレンジタワー 2F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26</v>
          </cell>
          <cell r="AD275">
            <v>6</v>
          </cell>
          <cell r="AE275" t="str">
            <v>singleonly</v>
          </cell>
        </row>
        <row r="276">
          <cell r="A276" t="str">
            <v>13001_4</v>
          </cell>
          <cell r="B276">
            <v>3</v>
          </cell>
          <cell r="C276">
            <v>13001</v>
          </cell>
          <cell r="D276" t="str">
            <v>チャレンジタワー(ソロ専用)</v>
          </cell>
          <cell r="E276" t="str">
            <v>試練の塔</v>
          </cell>
          <cell r="F276">
            <v>4</v>
          </cell>
          <cell r="G276" t="str">
            <v>ja</v>
          </cell>
          <cell r="H276" t="str">
            <v>チャレンジタワー 4F</v>
          </cell>
          <cell r="I276" t="str">
            <v>試練の塔</v>
          </cell>
          <cell r="J276">
            <v>341</v>
          </cell>
          <cell r="K276">
            <v>7</v>
          </cell>
          <cell r="L276">
            <v>508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character</v>
          </cell>
          <cell r="T276" t="str">
            <v>341,341</v>
          </cell>
          <cell r="U276">
            <v>13001</v>
          </cell>
          <cell r="V276">
            <v>3</v>
          </cell>
          <cell r="W276" t="str">
            <v>チャレンジタワー 3F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26</v>
          </cell>
          <cell r="AD276">
            <v>6</v>
          </cell>
          <cell r="AE276" t="str">
            <v>singleonly</v>
          </cell>
        </row>
        <row r="277">
          <cell r="A277" t="str">
            <v>13001_5</v>
          </cell>
          <cell r="B277">
            <v>3</v>
          </cell>
          <cell r="C277">
            <v>13001</v>
          </cell>
          <cell r="D277" t="str">
            <v>チャレンジタワー(ソロ専用)</v>
          </cell>
          <cell r="E277" t="str">
            <v>試練の塔</v>
          </cell>
          <cell r="F277">
            <v>5</v>
          </cell>
          <cell r="G277" t="str">
            <v>ja</v>
          </cell>
          <cell r="H277" t="str">
            <v>チャレンジタワー 5F</v>
          </cell>
          <cell r="I277" t="str">
            <v>試練の塔</v>
          </cell>
          <cell r="J277">
            <v>333</v>
          </cell>
          <cell r="K277">
            <v>7</v>
          </cell>
          <cell r="L277">
            <v>280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333,337,341,345</v>
          </cell>
          <cell r="U277">
            <v>13001</v>
          </cell>
          <cell r="V277">
            <v>4</v>
          </cell>
          <cell r="W277" t="str">
            <v>チャレンジタワー 4F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26</v>
          </cell>
          <cell r="AD277">
            <v>6</v>
          </cell>
          <cell r="AE277" t="str">
            <v>singleonly</v>
          </cell>
        </row>
        <row r="278">
          <cell r="A278" t="str">
            <v>13001_6</v>
          </cell>
          <cell r="B278">
            <v>3</v>
          </cell>
          <cell r="C278">
            <v>13001</v>
          </cell>
          <cell r="D278" t="str">
            <v>チャレンジタワー(ソロ専用)</v>
          </cell>
          <cell r="E278" t="str">
            <v>試練の塔</v>
          </cell>
          <cell r="F278">
            <v>6</v>
          </cell>
          <cell r="G278" t="str">
            <v>ja</v>
          </cell>
          <cell r="H278" t="str">
            <v>チャレンジタワー 6F</v>
          </cell>
          <cell r="I278" t="str">
            <v>試練の塔</v>
          </cell>
          <cell r="J278">
            <v>346</v>
          </cell>
          <cell r="K278">
            <v>8</v>
          </cell>
          <cell r="L278">
            <v>474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character</v>
          </cell>
          <cell r="T278" t="str">
            <v>346,345</v>
          </cell>
          <cell r="U278">
            <v>13001</v>
          </cell>
          <cell r="V278">
            <v>5</v>
          </cell>
          <cell r="W278" t="str">
            <v>チャレンジタワー 5F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26</v>
          </cell>
          <cell r="AD278">
            <v>6</v>
          </cell>
          <cell r="AE278" t="str">
            <v>singleonly</v>
          </cell>
        </row>
        <row r="279">
          <cell r="A279" t="str">
            <v>13001_7</v>
          </cell>
          <cell r="B279">
            <v>3</v>
          </cell>
          <cell r="C279">
            <v>13001</v>
          </cell>
          <cell r="D279" t="str">
            <v>チャレンジタワー(ソロ専用)</v>
          </cell>
          <cell r="E279" t="str">
            <v>試練の塔</v>
          </cell>
          <cell r="F279">
            <v>7</v>
          </cell>
          <cell r="G279" t="str">
            <v>ja</v>
          </cell>
          <cell r="H279" t="str">
            <v>チャレンジタワー 7F</v>
          </cell>
          <cell r="I279" t="str">
            <v>試練の塔</v>
          </cell>
          <cell r="J279">
            <v>342</v>
          </cell>
          <cell r="K279">
            <v>8</v>
          </cell>
          <cell r="L279">
            <v>486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1</v>
          </cell>
          <cell r="R279">
            <v>3</v>
          </cell>
          <cell r="S279" t="str">
            <v>character</v>
          </cell>
          <cell r="T279" t="str">
            <v>342,341</v>
          </cell>
          <cell r="U279">
            <v>13001</v>
          </cell>
          <cell r="V279">
            <v>6</v>
          </cell>
          <cell r="W279" t="str">
            <v>チャレンジタワー 6F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26</v>
          </cell>
          <cell r="AD279">
            <v>6</v>
          </cell>
          <cell r="AE279" t="str">
            <v>singleonly</v>
          </cell>
        </row>
        <row r="280">
          <cell r="A280" t="str">
            <v>13001_8</v>
          </cell>
          <cell r="B280">
            <v>3</v>
          </cell>
          <cell r="C280">
            <v>13001</v>
          </cell>
          <cell r="D280" t="str">
            <v>チャレンジタワー(ソロ専用)</v>
          </cell>
          <cell r="E280" t="str">
            <v>試練の塔</v>
          </cell>
          <cell r="F280">
            <v>8</v>
          </cell>
          <cell r="G280" t="str">
            <v>ja</v>
          </cell>
          <cell r="H280" t="str">
            <v>チャレンジタワー 8F</v>
          </cell>
          <cell r="I280" t="str">
            <v>試練の塔</v>
          </cell>
          <cell r="J280">
            <v>334</v>
          </cell>
          <cell r="K280">
            <v>10</v>
          </cell>
          <cell r="L280">
            <v>1006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1</v>
          </cell>
          <cell r="R280">
            <v>3</v>
          </cell>
          <cell r="S280" t="str">
            <v>character</v>
          </cell>
          <cell r="T280" t="str">
            <v>334,333</v>
          </cell>
          <cell r="U280">
            <v>13001</v>
          </cell>
          <cell r="V280">
            <v>7</v>
          </cell>
          <cell r="W280" t="str">
            <v>チャレンジタワー 7F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anytime</v>
          </cell>
          <cell r="AC280">
            <v>26</v>
          </cell>
          <cell r="AD280">
            <v>6</v>
          </cell>
          <cell r="AE280" t="str">
            <v>singleonly</v>
          </cell>
        </row>
        <row r="281">
          <cell r="A281" t="str">
            <v>13001_9</v>
          </cell>
          <cell r="B281">
            <v>3</v>
          </cell>
          <cell r="C281">
            <v>13001</v>
          </cell>
          <cell r="D281" t="str">
            <v>チャレンジタワー(ソロ専用)</v>
          </cell>
          <cell r="E281" t="str">
            <v>試練の塔</v>
          </cell>
          <cell r="F281">
            <v>9</v>
          </cell>
          <cell r="G281" t="str">
            <v>ja</v>
          </cell>
          <cell r="H281" t="str">
            <v>チャレンジタワー 9F</v>
          </cell>
          <cell r="I281" t="str">
            <v>試練の塔</v>
          </cell>
          <cell r="J281">
            <v>338</v>
          </cell>
          <cell r="K281">
            <v>10</v>
          </cell>
          <cell r="L281">
            <v>702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character</v>
          </cell>
          <cell r="T281" t="str">
            <v>337,337,338</v>
          </cell>
          <cell r="U281">
            <v>13001</v>
          </cell>
          <cell r="V281">
            <v>8</v>
          </cell>
          <cell r="W281" t="str">
            <v>チャレンジタワー 8F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anytime</v>
          </cell>
          <cell r="AC281">
            <v>26</v>
          </cell>
          <cell r="AD281">
            <v>6</v>
          </cell>
          <cell r="AE281" t="str">
            <v>singleonly</v>
          </cell>
        </row>
        <row r="282">
          <cell r="A282" t="str">
            <v>13001_10</v>
          </cell>
          <cell r="B282">
            <v>3</v>
          </cell>
          <cell r="C282">
            <v>13001</v>
          </cell>
          <cell r="D282" t="str">
            <v>チャレンジタワー(ソロ専用)</v>
          </cell>
          <cell r="E282" t="str">
            <v>試練の塔</v>
          </cell>
          <cell r="F282">
            <v>10</v>
          </cell>
          <cell r="G282" t="str">
            <v>ja</v>
          </cell>
          <cell r="H282" t="str">
            <v>チャレンジタワー 10F</v>
          </cell>
          <cell r="I282" t="str">
            <v>試練の塔</v>
          </cell>
          <cell r="J282">
            <v>346</v>
          </cell>
          <cell r="K282">
            <v>11</v>
          </cell>
          <cell r="L282">
            <v>788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character</v>
          </cell>
          <cell r="T282" t="str">
            <v>346,333,337,341</v>
          </cell>
          <cell r="U282">
            <v>13001</v>
          </cell>
          <cell r="V282">
            <v>9</v>
          </cell>
          <cell r="W282" t="str">
            <v>チャレンジタワー 9F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26</v>
          </cell>
          <cell r="AD282">
            <v>6</v>
          </cell>
          <cell r="AE282" t="str">
            <v>singleonly</v>
          </cell>
        </row>
        <row r="283">
          <cell r="A283" t="str">
            <v>13001_11</v>
          </cell>
          <cell r="B283">
            <v>3</v>
          </cell>
          <cell r="C283">
            <v>13001</v>
          </cell>
          <cell r="D283" t="str">
            <v>チャレンジタワー(ソロ専用)</v>
          </cell>
          <cell r="E283" t="str">
            <v>試練の塔</v>
          </cell>
          <cell r="F283">
            <v>11</v>
          </cell>
          <cell r="G283" t="str">
            <v>ja</v>
          </cell>
          <cell r="H283" t="str">
            <v>チャレンジタワー 11F</v>
          </cell>
          <cell r="I283" t="str">
            <v>試練の塔</v>
          </cell>
          <cell r="J283">
            <v>346</v>
          </cell>
          <cell r="K283">
            <v>12</v>
          </cell>
          <cell r="L283">
            <v>936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character</v>
          </cell>
          <cell r="T283" t="str">
            <v>346,346</v>
          </cell>
          <cell r="U283">
            <v>13001</v>
          </cell>
          <cell r="V283">
            <v>10</v>
          </cell>
          <cell r="W283" t="str">
            <v>チャレンジタワー 10F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anytime</v>
          </cell>
          <cell r="AC283">
            <v>26</v>
          </cell>
          <cell r="AD283">
            <v>6</v>
          </cell>
          <cell r="AE283" t="str">
            <v>singleonly</v>
          </cell>
        </row>
        <row r="284">
          <cell r="A284" t="str">
            <v>13001_12</v>
          </cell>
          <cell r="B284">
            <v>3</v>
          </cell>
          <cell r="C284">
            <v>13001</v>
          </cell>
          <cell r="D284" t="str">
            <v>チャレンジタワー(ソロ専用)</v>
          </cell>
          <cell r="E284" t="str">
            <v>試練の塔</v>
          </cell>
          <cell r="F284">
            <v>12</v>
          </cell>
          <cell r="G284" t="str">
            <v>ja</v>
          </cell>
          <cell r="H284" t="str">
            <v>チャレンジタワー 12F</v>
          </cell>
          <cell r="I284" t="str">
            <v>試練の塔</v>
          </cell>
          <cell r="J284">
            <v>342</v>
          </cell>
          <cell r="K284">
            <v>13</v>
          </cell>
          <cell r="L284">
            <v>1601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character</v>
          </cell>
          <cell r="T284" t="str">
            <v>342,342</v>
          </cell>
          <cell r="U284">
            <v>13001</v>
          </cell>
          <cell r="V284">
            <v>11</v>
          </cell>
          <cell r="W284" t="str">
            <v>チャレンジタワー 11F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anytime</v>
          </cell>
          <cell r="AC284">
            <v>26</v>
          </cell>
          <cell r="AD284">
            <v>6</v>
          </cell>
          <cell r="AE284" t="str">
            <v>singleonly</v>
          </cell>
        </row>
        <row r="285">
          <cell r="A285" t="str">
            <v>13001_13</v>
          </cell>
          <cell r="B285">
            <v>3</v>
          </cell>
          <cell r="C285">
            <v>13001</v>
          </cell>
          <cell r="D285" t="str">
            <v>チャレンジタワー(ソロ専用)</v>
          </cell>
          <cell r="E285" t="str">
            <v>試練の塔</v>
          </cell>
          <cell r="F285">
            <v>13</v>
          </cell>
          <cell r="G285" t="str">
            <v>ja</v>
          </cell>
          <cell r="H285" t="str">
            <v>チャレンジタワー 13F</v>
          </cell>
          <cell r="I285" t="str">
            <v>試練の塔</v>
          </cell>
          <cell r="J285">
            <v>338</v>
          </cell>
          <cell r="K285">
            <v>14</v>
          </cell>
          <cell r="L285">
            <v>945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1</v>
          </cell>
          <cell r="R285">
            <v>3</v>
          </cell>
          <cell r="S285" t="str">
            <v>character</v>
          </cell>
          <cell r="T285" t="str">
            <v>338,338</v>
          </cell>
          <cell r="U285">
            <v>13001</v>
          </cell>
          <cell r="V285">
            <v>12</v>
          </cell>
          <cell r="W285" t="str">
            <v>チャレンジタワー 12F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26</v>
          </cell>
          <cell r="AD285">
            <v>6</v>
          </cell>
          <cell r="AE285" t="str">
            <v>singleonly</v>
          </cell>
        </row>
        <row r="286">
          <cell r="A286" t="str">
            <v>13001_14</v>
          </cell>
          <cell r="B286">
            <v>3</v>
          </cell>
          <cell r="C286">
            <v>13001</v>
          </cell>
          <cell r="D286" t="str">
            <v>チャレンジタワー(ソロ専用)</v>
          </cell>
          <cell r="E286" t="str">
            <v>試練の塔</v>
          </cell>
          <cell r="F286">
            <v>14</v>
          </cell>
          <cell r="G286" t="str">
            <v>ja</v>
          </cell>
          <cell r="H286" t="str">
            <v>チャレンジタワー 14F</v>
          </cell>
          <cell r="I286" t="str">
            <v>試練の塔</v>
          </cell>
          <cell r="J286">
            <v>334</v>
          </cell>
          <cell r="K286">
            <v>14</v>
          </cell>
          <cell r="L286">
            <v>1188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character</v>
          </cell>
          <cell r="T286" t="str">
            <v>334,334</v>
          </cell>
          <cell r="U286">
            <v>13001</v>
          </cell>
          <cell r="V286">
            <v>13</v>
          </cell>
          <cell r="W286" t="str">
            <v>チャレンジタワー 13F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anytime</v>
          </cell>
          <cell r="AC286">
            <v>26</v>
          </cell>
          <cell r="AD286">
            <v>6</v>
          </cell>
          <cell r="AE286" t="str">
            <v>singleonly</v>
          </cell>
        </row>
        <row r="287">
          <cell r="A287" t="str">
            <v>13001_15</v>
          </cell>
          <cell r="B287">
            <v>3</v>
          </cell>
          <cell r="C287">
            <v>13001</v>
          </cell>
          <cell r="D287" t="str">
            <v>チャレンジタワー(ソロ専用)</v>
          </cell>
          <cell r="E287" t="str">
            <v>試練の塔</v>
          </cell>
          <cell r="F287">
            <v>15</v>
          </cell>
          <cell r="G287" t="str">
            <v>ja</v>
          </cell>
          <cell r="H287" t="str">
            <v>チャレンジタワー 15F</v>
          </cell>
          <cell r="I287" t="str">
            <v>試練の塔</v>
          </cell>
          <cell r="J287">
            <v>316</v>
          </cell>
          <cell r="K287">
            <v>14</v>
          </cell>
          <cell r="L287">
            <v>1008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character</v>
          </cell>
          <cell r="T287" t="str">
            <v>316</v>
          </cell>
          <cell r="U287">
            <v>13001</v>
          </cell>
          <cell r="V287">
            <v>14</v>
          </cell>
          <cell r="W287" t="str">
            <v>チャレンジタワー 14F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anytime</v>
          </cell>
          <cell r="AC287">
            <v>26</v>
          </cell>
          <cell r="AD287">
            <v>6</v>
          </cell>
          <cell r="AE287" t="str">
            <v>singleonly</v>
          </cell>
        </row>
        <row r="288">
          <cell r="A288" t="str">
            <v>13001_16</v>
          </cell>
          <cell r="B288">
            <v>3</v>
          </cell>
          <cell r="C288">
            <v>13001</v>
          </cell>
          <cell r="D288" t="str">
            <v>チャレンジタワー(ソロ専用)</v>
          </cell>
          <cell r="E288" t="str">
            <v>試練の塔</v>
          </cell>
          <cell r="F288">
            <v>16</v>
          </cell>
          <cell r="G288" t="str">
            <v>ja</v>
          </cell>
          <cell r="H288" t="str">
            <v>チャレンジタワー 16F</v>
          </cell>
          <cell r="I288" t="str">
            <v>試練の塔</v>
          </cell>
          <cell r="J288">
            <v>338</v>
          </cell>
          <cell r="K288">
            <v>16</v>
          </cell>
          <cell r="L288">
            <v>2573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338,338,337</v>
          </cell>
          <cell r="U288">
            <v>13001</v>
          </cell>
          <cell r="V288">
            <v>15</v>
          </cell>
          <cell r="W288" t="str">
            <v>チャレンジタワー 15F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anytime</v>
          </cell>
          <cell r="AC288">
            <v>26</v>
          </cell>
          <cell r="AD288">
            <v>6</v>
          </cell>
          <cell r="AE288" t="str">
            <v>singleonly</v>
          </cell>
        </row>
        <row r="289">
          <cell r="A289" t="str">
            <v>13001_17</v>
          </cell>
          <cell r="B289">
            <v>3</v>
          </cell>
          <cell r="C289">
            <v>13001</v>
          </cell>
          <cell r="D289" t="str">
            <v>チャレンジタワー(ソロ専用)</v>
          </cell>
          <cell r="E289" t="str">
            <v>試練の塔</v>
          </cell>
          <cell r="F289">
            <v>17</v>
          </cell>
          <cell r="G289" t="str">
            <v>ja</v>
          </cell>
          <cell r="H289" t="str">
            <v>チャレンジタワー 17F</v>
          </cell>
          <cell r="I289" t="str">
            <v>試練の塔</v>
          </cell>
          <cell r="J289">
            <v>346</v>
          </cell>
          <cell r="K289">
            <v>16</v>
          </cell>
          <cell r="L289">
            <v>1568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346,346,345</v>
          </cell>
          <cell r="U289">
            <v>13001</v>
          </cell>
          <cell r="V289">
            <v>16</v>
          </cell>
          <cell r="W289" t="str">
            <v>チャレンジタワー 16F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anytime</v>
          </cell>
          <cell r="AC289">
            <v>26</v>
          </cell>
          <cell r="AD289">
            <v>6</v>
          </cell>
          <cell r="AE289" t="str">
            <v>singleonly</v>
          </cell>
        </row>
        <row r="290">
          <cell r="A290" t="str">
            <v>13001_18</v>
          </cell>
          <cell r="B290">
            <v>3</v>
          </cell>
          <cell r="C290">
            <v>13001</v>
          </cell>
          <cell r="D290" t="str">
            <v>チャレンジタワー(ソロ専用)</v>
          </cell>
          <cell r="E290" t="str">
            <v>試練の塔</v>
          </cell>
          <cell r="F290">
            <v>18</v>
          </cell>
          <cell r="G290" t="str">
            <v>ja</v>
          </cell>
          <cell r="H290" t="str">
            <v>チャレンジタワー 18F</v>
          </cell>
          <cell r="I290" t="str">
            <v>試練の塔</v>
          </cell>
          <cell r="J290">
            <v>334</v>
          </cell>
          <cell r="K290">
            <v>17</v>
          </cell>
          <cell r="L290">
            <v>1821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1</v>
          </cell>
          <cell r="R290">
            <v>3</v>
          </cell>
          <cell r="S290" t="str">
            <v>character</v>
          </cell>
          <cell r="T290" t="str">
            <v>334,334,333</v>
          </cell>
          <cell r="U290">
            <v>13001</v>
          </cell>
          <cell r="V290">
            <v>17</v>
          </cell>
          <cell r="W290" t="str">
            <v>チャレンジタワー 17F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26</v>
          </cell>
          <cell r="AD290">
            <v>6</v>
          </cell>
          <cell r="AE290" t="str">
            <v>singleonly</v>
          </cell>
        </row>
        <row r="291">
          <cell r="A291" t="str">
            <v>13001_19</v>
          </cell>
          <cell r="B291">
            <v>3</v>
          </cell>
          <cell r="C291">
            <v>13001</v>
          </cell>
          <cell r="D291" t="str">
            <v>チャレンジタワー(ソロ専用)</v>
          </cell>
          <cell r="E291" t="str">
            <v>試練の塔</v>
          </cell>
          <cell r="F291">
            <v>19</v>
          </cell>
          <cell r="G291" t="str">
            <v>ja</v>
          </cell>
          <cell r="H291" t="str">
            <v>チャレンジタワー 19F</v>
          </cell>
          <cell r="I291" t="str">
            <v>試練の塔</v>
          </cell>
          <cell r="J291">
            <v>342</v>
          </cell>
          <cell r="K291">
            <v>18</v>
          </cell>
          <cell r="L291">
            <v>2108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character</v>
          </cell>
          <cell r="T291" t="str">
            <v>342,342,341</v>
          </cell>
          <cell r="U291">
            <v>13001</v>
          </cell>
          <cell r="V291">
            <v>18</v>
          </cell>
          <cell r="W291" t="str">
            <v>チャレンジタワー 18F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anytime</v>
          </cell>
          <cell r="AC291">
            <v>26</v>
          </cell>
          <cell r="AD291">
            <v>6</v>
          </cell>
          <cell r="AE291" t="str">
            <v>singleonly</v>
          </cell>
        </row>
        <row r="292">
          <cell r="A292" t="str">
            <v>13001_20</v>
          </cell>
          <cell r="B292">
            <v>3</v>
          </cell>
          <cell r="C292">
            <v>13001</v>
          </cell>
          <cell r="D292" t="str">
            <v>チャレンジタワー(ソロ専用)</v>
          </cell>
          <cell r="E292" t="str">
            <v>試練の塔</v>
          </cell>
          <cell r="F292">
            <v>20</v>
          </cell>
          <cell r="G292" t="str">
            <v>ja</v>
          </cell>
          <cell r="H292" t="str">
            <v>チャレンジタワー 20F</v>
          </cell>
          <cell r="I292" t="str">
            <v>試練の塔</v>
          </cell>
          <cell r="J292">
            <v>318</v>
          </cell>
          <cell r="K292">
            <v>18</v>
          </cell>
          <cell r="L292">
            <v>1620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character</v>
          </cell>
          <cell r="T292" t="str">
            <v>318</v>
          </cell>
          <cell r="U292">
            <v>13001</v>
          </cell>
          <cell r="V292">
            <v>19</v>
          </cell>
          <cell r="W292" t="str">
            <v>チャレンジタワー 19F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anytime</v>
          </cell>
          <cell r="AC292">
            <v>26</v>
          </cell>
          <cell r="AD292">
            <v>6</v>
          </cell>
          <cell r="AE292" t="str">
            <v>singleonly</v>
          </cell>
        </row>
        <row r="293">
          <cell r="A293" t="str">
            <v>13001_21</v>
          </cell>
          <cell r="B293">
            <v>3</v>
          </cell>
          <cell r="C293">
            <v>13001</v>
          </cell>
          <cell r="D293" t="str">
            <v>チャレンジタワー(ソロ専用)</v>
          </cell>
          <cell r="E293" t="str">
            <v>試練の塔</v>
          </cell>
          <cell r="F293">
            <v>21</v>
          </cell>
          <cell r="G293" t="str">
            <v>ja</v>
          </cell>
          <cell r="H293" t="str">
            <v>チャレンジタワー 21F</v>
          </cell>
          <cell r="I293" t="str">
            <v>試練の塔</v>
          </cell>
          <cell r="J293" t="str">
            <v>335</v>
          </cell>
          <cell r="K293">
            <v>18</v>
          </cell>
          <cell r="L293">
            <v>1620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character</v>
          </cell>
          <cell r="T293" t="str">
            <v>334,335,335</v>
          </cell>
          <cell r="U293">
            <v>13001</v>
          </cell>
          <cell r="V293">
            <v>20</v>
          </cell>
          <cell r="W293" t="str">
            <v>チャレンジタワー 20F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anytime</v>
          </cell>
          <cell r="AC293">
            <v>26</v>
          </cell>
          <cell r="AD293">
            <v>6</v>
          </cell>
          <cell r="AE293" t="str">
            <v>singleonly</v>
          </cell>
        </row>
        <row r="294">
          <cell r="A294" t="str">
            <v>13001_22</v>
          </cell>
          <cell r="B294">
            <v>3</v>
          </cell>
          <cell r="C294">
            <v>13001</v>
          </cell>
          <cell r="D294" t="str">
            <v>チャレンジタワー(ソロ専用)</v>
          </cell>
          <cell r="E294" t="str">
            <v>試練の塔</v>
          </cell>
          <cell r="F294">
            <v>22</v>
          </cell>
          <cell r="G294" t="str">
            <v>ja</v>
          </cell>
          <cell r="H294" t="str">
            <v>チャレンジタワー 22F</v>
          </cell>
          <cell r="I294" t="str">
            <v>試練の塔</v>
          </cell>
          <cell r="J294" t="str">
            <v>339</v>
          </cell>
          <cell r="K294">
            <v>18</v>
          </cell>
          <cell r="L294">
            <v>1620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character</v>
          </cell>
          <cell r="T294" t="str">
            <v>338,339,339</v>
          </cell>
          <cell r="U294">
            <v>13001</v>
          </cell>
          <cell r="V294">
            <v>21</v>
          </cell>
          <cell r="W294" t="str">
            <v>チャレンジタワー 21F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26</v>
          </cell>
          <cell r="AD294">
            <v>6</v>
          </cell>
          <cell r="AE294" t="str">
            <v>singleonly</v>
          </cell>
        </row>
        <row r="295">
          <cell r="A295" t="str">
            <v>13001_23</v>
          </cell>
          <cell r="B295">
            <v>3</v>
          </cell>
          <cell r="C295">
            <v>13001</v>
          </cell>
          <cell r="D295" t="str">
            <v>チャレンジタワー(ソロ専用)</v>
          </cell>
          <cell r="E295" t="str">
            <v>試練の塔</v>
          </cell>
          <cell r="F295">
            <v>23</v>
          </cell>
          <cell r="G295" t="str">
            <v>ja</v>
          </cell>
          <cell r="H295" t="str">
            <v>チャレンジタワー 23F</v>
          </cell>
          <cell r="I295" t="str">
            <v>試練の塔</v>
          </cell>
          <cell r="J295" t="str">
            <v>347</v>
          </cell>
          <cell r="K295">
            <v>20</v>
          </cell>
          <cell r="L295">
            <v>1821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character</v>
          </cell>
          <cell r="T295" t="str">
            <v>346,347,347</v>
          </cell>
          <cell r="U295">
            <v>13001</v>
          </cell>
          <cell r="V295">
            <v>22</v>
          </cell>
          <cell r="W295" t="str">
            <v>チャレンジタワー 22F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26</v>
          </cell>
          <cell r="AD295">
            <v>6</v>
          </cell>
          <cell r="AE295" t="str">
            <v>singleonly</v>
          </cell>
        </row>
        <row r="296">
          <cell r="A296" t="str">
            <v>13001_24</v>
          </cell>
          <cell r="B296">
            <v>3</v>
          </cell>
          <cell r="C296">
            <v>13001</v>
          </cell>
          <cell r="D296" t="str">
            <v>チャレンジタワー(ソロ専用)</v>
          </cell>
          <cell r="E296" t="str">
            <v>試練の塔</v>
          </cell>
          <cell r="F296">
            <v>24</v>
          </cell>
          <cell r="G296" t="str">
            <v>ja</v>
          </cell>
          <cell r="H296" t="str">
            <v>チャレンジタワー 24F</v>
          </cell>
          <cell r="I296" t="str">
            <v>試練の塔</v>
          </cell>
          <cell r="J296" t="str">
            <v>343</v>
          </cell>
          <cell r="K296">
            <v>20</v>
          </cell>
          <cell r="L296">
            <v>2871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character</v>
          </cell>
          <cell r="T296" t="str">
            <v>342,343,343</v>
          </cell>
          <cell r="U296">
            <v>13001</v>
          </cell>
          <cell r="V296">
            <v>23</v>
          </cell>
          <cell r="W296" t="str">
            <v>チャレンジタワー 23F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26</v>
          </cell>
          <cell r="AD296">
            <v>6</v>
          </cell>
          <cell r="AE296" t="str">
            <v>singleonly</v>
          </cell>
        </row>
        <row r="297">
          <cell r="A297" t="str">
            <v>13001_25</v>
          </cell>
          <cell r="B297">
            <v>3</v>
          </cell>
          <cell r="C297">
            <v>13001</v>
          </cell>
          <cell r="D297" t="str">
            <v>チャレンジタワー(ソロ専用)</v>
          </cell>
          <cell r="E297" t="str">
            <v>試練の塔</v>
          </cell>
          <cell r="F297">
            <v>25</v>
          </cell>
          <cell r="G297" t="str">
            <v>ja</v>
          </cell>
          <cell r="H297" t="str">
            <v>チャレンジタワー 25F</v>
          </cell>
          <cell r="I297" t="str">
            <v>試練の塔</v>
          </cell>
          <cell r="J297" t="str">
            <v>368</v>
          </cell>
          <cell r="K297">
            <v>22</v>
          </cell>
          <cell r="L297">
            <v>3740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character</v>
          </cell>
          <cell r="T297" t="str">
            <v>368</v>
          </cell>
          <cell r="U297">
            <v>13001</v>
          </cell>
          <cell r="V297">
            <v>24</v>
          </cell>
          <cell r="W297" t="str">
            <v>チャレンジタワー 24F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26</v>
          </cell>
          <cell r="AD297">
            <v>6</v>
          </cell>
          <cell r="AE297" t="str">
            <v>singleonly</v>
          </cell>
        </row>
        <row r="298">
          <cell r="A298" t="str">
            <v>14001_1</v>
          </cell>
          <cell r="B298">
            <v>3</v>
          </cell>
          <cell r="C298">
            <v>14001</v>
          </cell>
          <cell r="D298" t="str">
            <v>【ロック】経験値/ソロ</v>
          </cell>
          <cell r="E298" t="str">
            <v>【ロック】経験値/ソロ</v>
          </cell>
          <cell r="F298">
            <v>1</v>
          </cell>
          <cell r="G298" t="str">
            <v>ja</v>
          </cell>
          <cell r="H298" t="str">
            <v>【超級】雷ファミリー（ハートなし）</v>
          </cell>
          <cell r="I298" t="str">
            <v>【ロッククエスト】経験値</v>
          </cell>
          <cell r="J298">
            <v>347</v>
          </cell>
          <cell r="K298">
            <v>1</v>
          </cell>
          <cell r="L298">
            <v>500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0</v>
          </cell>
          <cell r="R298">
            <v>3</v>
          </cell>
          <cell r="S298" t="str">
            <v>none</v>
          </cell>
          <cell r="T298">
            <v>0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12</v>
          </cell>
          <cell r="AD298">
            <v>6</v>
          </cell>
          <cell r="AE298" t="str">
            <v>singleonly</v>
          </cell>
        </row>
        <row r="299">
          <cell r="A299" t="str">
            <v>14001_2</v>
          </cell>
          <cell r="B299">
            <v>3</v>
          </cell>
          <cell r="C299">
            <v>14001</v>
          </cell>
          <cell r="D299" t="str">
            <v>【ロック】経験値/ソロ</v>
          </cell>
          <cell r="E299" t="str">
            <v>【ロック】経験値/ソロ</v>
          </cell>
          <cell r="F299">
            <v>2</v>
          </cell>
          <cell r="G299" t="str">
            <v>ja</v>
          </cell>
          <cell r="H299" t="str">
            <v>【超級】水ファミリー（ハートなし）</v>
          </cell>
          <cell r="I299" t="str">
            <v>【ロッククエスト】経験値</v>
          </cell>
          <cell r="J299">
            <v>343</v>
          </cell>
          <cell r="K299">
            <v>1</v>
          </cell>
          <cell r="L299">
            <v>500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0</v>
          </cell>
          <cell r="R299">
            <v>3</v>
          </cell>
          <cell r="S299" t="str">
            <v>none</v>
          </cell>
          <cell r="T299">
            <v>0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5</v>
          </cell>
          <cell r="AD299">
            <v>6</v>
          </cell>
          <cell r="AE299" t="str">
            <v>singleonly</v>
          </cell>
        </row>
        <row r="300">
          <cell r="A300" t="str">
            <v>14001_3</v>
          </cell>
          <cell r="B300">
            <v>3</v>
          </cell>
          <cell r="C300">
            <v>14001</v>
          </cell>
          <cell r="D300" t="str">
            <v>【ロック】経験値/ソロ</v>
          </cell>
          <cell r="E300" t="str">
            <v>【ロック】経験値/ソロ</v>
          </cell>
          <cell r="F300">
            <v>3</v>
          </cell>
          <cell r="G300" t="str">
            <v>ja</v>
          </cell>
          <cell r="H300" t="str">
            <v>【超級】森ファミリー（ハートなし）</v>
          </cell>
          <cell r="I300" t="str">
            <v>【ロッククエスト】経験値</v>
          </cell>
          <cell r="J300">
            <v>339</v>
          </cell>
          <cell r="K300">
            <v>1</v>
          </cell>
          <cell r="L300">
            <v>500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0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7</v>
          </cell>
          <cell r="AD300">
            <v>6</v>
          </cell>
          <cell r="AE300" t="str">
            <v>singleonly</v>
          </cell>
        </row>
        <row r="301">
          <cell r="A301" t="str">
            <v>14001_4</v>
          </cell>
          <cell r="B301">
            <v>3</v>
          </cell>
          <cell r="C301">
            <v>14001</v>
          </cell>
          <cell r="D301" t="str">
            <v>【ロック】経験値/ソロ</v>
          </cell>
          <cell r="E301" t="str">
            <v>【ロック】経験値/ソロ</v>
          </cell>
          <cell r="F301">
            <v>4</v>
          </cell>
          <cell r="G301" t="str">
            <v>ja</v>
          </cell>
          <cell r="H301" t="str">
            <v>【超級】炎ファミリー（ハートなし）</v>
          </cell>
          <cell r="I301" t="str">
            <v>【ロッククエスト】経験値</v>
          </cell>
          <cell r="J301">
            <v>335</v>
          </cell>
          <cell r="K301">
            <v>1</v>
          </cell>
          <cell r="L301">
            <v>500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0</v>
          </cell>
          <cell r="R301">
            <v>3</v>
          </cell>
          <cell r="S301" t="str">
            <v>none</v>
          </cell>
          <cell r="T301">
            <v>0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10</v>
          </cell>
          <cell r="AD301">
            <v>6</v>
          </cell>
          <cell r="AE301" t="str">
            <v>singleonly</v>
          </cell>
        </row>
        <row r="302">
          <cell r="A302" t="str">
            <v>14002_1</v>
          </cell>
          <cell r="B302">
            <v>3</v>
          </cell>
          <cell r="C302">
            <v>14002</v>
          </cell>
          <cell r="D302" t="str">
            <v>【ロック】ビット/ソロ</v>
          </cell>
          <cell r="E302" t="str">
            <v>【ロック】ビット/ソロ</v>
          </cell>
          <cell r="F302">
            <v>1</v>
          </cell>
          <cell r="G302" t="str">
            <v>ja</v>
          </cell>
          <cell r="H302" t="str">
            <v>【超級】ハイローラー（ハートなし）</v>
          </cell>
          <cell r="I302" t="str">
            <v>【ロッククエスト】ビット</v>
          </cell>
          <cell r="J302">
            <v>119</v>
          </cell>
          <cell r="K302">
            <v>1</v>
          </cell>
          <cell r="L302">
            <v>777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0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105</v>
          </cell>
          <cell r="AD302">
            <v>6</v>
          </cell>
          <cell r="AE302" t="str">
            <v>singleonly</v>
          </cell>
        </row>
        <row r="303">
          <cell r="A303" t="str">
            <v>14003_1</v>
          </cell>
          <cell r="B303">
            <v>3</v>
          </cell>
          <cell r="C303">
            <v>14003</v>
          </cell>
          <cell r="D303" t="str">
            <v>【ロック】限界突破/ソロ</v>
          </cell>
          <cell r="E303" t="str">
            <v>【ロック】限界突破/ソロ</v>
          </cell>
          <cell r="F303">
            <v>1</v>
          </cell>
          <cell r="G303" t="str">
            <v>ja</v>
          </cell>
          <cell r="H303" t="str">
            <v>【超級】果実の楽園（ハートなし）</v>
          </cell>
          <cell r="I303" t="str">
            <v>【ロッククエスト】限界突破</v>
          </cell>
          <cell r="J303">
            <v>125</v>
          </cell>
          <cell r="K303">
            <v>1</v>
          </cell>
          <cell r="L303">
            <v>860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0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7</v>
          </cell>
          <cell r="AD303">
            <v>6</v>
          </cell>
          <cell r="AE303" t="str">
            <v>singleonly</v>
          </cell>
        </row>
        <row r="304">
          <cell r="A304" t="str">
            <v>14004_1</v>
          </cell>
          <cell r="B304">
            <v>3</v>
          </cell>
          <cell r="C304">
            <v>14004</v>
          </cell>
          <cell r="D304" t="str">
            <v>【ロック】経験値/LINEマルチ</v>
          </cell>
          <cell r="E304" t="str">
            <v>【ロック】経験値/LINEマルチ</v>
          </cell>
          <cell r="F304">
            <v>1</v>
          </cell>
          <cell r="G304" t="str">
            <v>ja</v>
          </cell>
          <cell r="H304" t="str">
            <v>【超級】雷ファミリー（ハートなし）</v>
          </cell>
          <cell r="I304" t="str">
            <v>【ロッククエスト】経験値</v>
          </cell>
          <cell r="J304">
            <v>347</v>
          </cell>
          <cell r="K304">
            <v>1</v>
          </cell>
          <cell r="L304">
            <v>500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0</v>
          </cell>
          <cell r="R304">
            <v>3</v>
          </cell>
          <cell r="S304" t="str">
            <v>none</v>
          </cell>
          <cell r="T304">
            <v>0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12</v>
          </cell>
          <cell r="AD304">
            <v>6</v>
          </cell>
          <cell r="AE304" t="str">
            <v>lineonly</v>
          </cell>
        </row>
        <row r="305">
          <cell r="A305" t="str">
            <v>14004_2</v>
          </cell>
          <cell r="B305">
            <v>3</v>
          </cell>
          <cell r="C305">
            <v>14004</v>
          </cell>
          <cell r="D305" t="str">
            <v>【ロック】経験値/LINEマルチ</v>
          </cell>
          <cell r="E305" t="str">
            <v>【ロック】経験値/LINEマルチ</v>
          </cell>
          <cell r="F305">
            <v>2</v>
          </cell>
          <cell r="G305" t="str">
            <v>ja</v>
          </cell>
          <cell r="H305" t="str">
            <v>【超級】水ファミリー（ハートなし）</v>
          </cell>
          <cell r="I305" t="str">
            <v>【ロッククエスト】経験値</v>
          </cell>
          <cell r="J305">
            <v>343</v>
          </cell>
          <cell r="K305">
            <v>1</v>
          </cell>
          <cell r="L305">
            <v>500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0</v>
          </cell>
          <cell r="R305">
            <v>3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5</v>
          </cell>
          <cell r="AD305">
            <v>6</v>
          </cell>
          <cell r="AE305" t="str">
            <v>lineonly</v>
          </cell>
        </row>
        <row r="306">
          <cell r="A306" t="str">
            <v>14004_3</v>
          </cell>
          <cell r="B306">
            <v>3</v>
          </cell>
          <cell r="C306">
            <v>14004</v>
          </cell>
          <cell r="D306" t="str">
            <v>【ロック】経験値/LINEマルチ</v>
          </cell>
          <cell r="E306" t="str">
            <v>【ロック】経験値/LINEマルチ</v>
          </cell>
          <cell r="F306">
            <v>3</v>
          </cell>
          <cell r="G306" t="str">
            <v>ja</v>
          </cell>
          <cell r="H306" t="str">
            <v>【超級】森ファミリー（ハートなし）</v>
          </cell>
          <cell r="I306" t="str">
            <v>【ロッククエスト】経験値</v>
          </cell>
          <cell r="J306">
            <v>339</v>
          </cell>
          <cell r="K306">
            <v>1</v>
          </cell>
          <cell r="L306">
            <v>500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0</v>
          </cell>
          <cell r="R306">
            <v>3</v>
          </cell>
          <cell r="S306" t="str">
            <v>none</v>
          </cell>
          <cell r="T306">
            <v>0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7</v>
          </cell>
          <cell r="AD306">
            <v>6</v>
          </cell>
          <cell r="AE306" t="str">
            <v>lineonly</v>
          </cell>
        </row>
        <row r="307">
          <cell r="A307" t="str">
            <v>14004_4</v>
          </cell>
          <cell r="B307">
            <v>3</v>
          </cell>
          <cell r="C307">
            <v>14004</v>
          </cell>
          <cell r="D307" t="str">
            <v>【ロック】経験値/LINEマルチ</v>
          </cell>
          <cell r="E307" t="str">
            <v>【ロック】経験値/LINEマルチ</v>
          </cell>
          <cell r="F307">
            <v>4</v>
          </cell>
          <cell r="G307" t="str">
            <v>ja</v>
          </cell>
          <cell r="H307" t="str">
            <v>【超級】炎ファミリー（ハートなし）</v>
          </cell>
          <cell r="I307" t="str">
            <v>【ロッククエスト】経験値</v>
          </cell>
          <cell r="J307">
            <v>335</v>
          </cell>
          <cell r="K307">
            <v>1</v>
          </cell>
          <cell r="L307">
            <v>500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0</v>
          </cell>
          <cell r="R307">
            <v>3</v>
          </cell>
          <cell r="S307" t="str">
            <v>none</v>
          </cell>
          <cell r="T307">
            <v>0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10</v>
          </cell>
          <cell r="AD307">
            <v>6</v>
          </cell>
          <cell r="AE307" t="str">
            <v>lineonly</v>
          </cell>
        </row>
        <row r="308">
          <cell r="A308" t="str">
            <v>14005_1</v>
          </cell>
          <cell r="B308">
            <v>3</v>
          </cell>
          <cell r="C308">
            <v>14005</v>
          </cell>
          <cell r="D308" t="str">
            <v>【ロック】ビット/LINEマルチ</v>
          </cell>
          <cell r="E308" t="str">
            <v>【ロック】ビット/LINEマルチ</v>
          </cell>
          <cell r="F308">
            <v>1</v>
          </cell>
          <cell r="G308" t="str">
            <v>ja</v>
          </cell>
          <cell r="H308" t="str">
            <v>【超級】ハイローラー（ハートなし）</v>
          </cell>
          <cell r="I308" t="str">
            <v>【ロッククエスト】ビット</v>
          </cell>
          <cell r="J308">
            <v>119</v>
          </cell>
          <cell r="K308">
            <v>1</v>
          </cell>
          <cell r="L308">
            <v>777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0</v>
          </cell>
          <cell r="R308">
            <v>3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105</v>
          </cell>
          <cell r="AD308">
            <v>6</v>
          </cell>
          <cell r="AE308" t="str">
            <v>lineonly</v>
          </cell>
        </row>
        <row r="309">
          <cell r="A309" t="str">
            <v>14006_1</v>
          </cell>
          <cell r="B309">
            <v>3</v>
          </cell>
          <cell r="C309">
            <v>14006</v>
          </cell>
          <cell r="D309" t="str">
            <v>【ロック】限界突破/LINEマルチ</v>
          </cell>
          <cell r="E309" t="str">
            <v>【ロック】限界突破/LINEマルチ</v>
          </cell>
          <cell r="F309">
            <v>1</v>
          </cell>
          <cell r="G309" t="str">
            <v>ja</v>
          </cell>
          <cell r="H309" t="str">
            <v>【超級】果実の楽園（ハートなし）</v>
          </cell>
          <cell r="I309" t="str">
            <v>【ロッククエスト】限界突破</v>
          </cell>
          <cell r="J309">
            <v>125</v>
          </cell>
          <cell r="K309">
            <v>1</v>
          </cell>
          <cell r="L309">
            <v>860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0</v>
          </cell>
          <cell r="R309">
            <v>3</v>
          </cell>
          <cell r="S309" t="str">
            <v>none</v>
          </cell>
          <cell r="T309">
            <v>0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7</v>
          </cell>
          <cell r="AD309">
            <v>6</v>
          </cell>
          <cell r="AE309" t="str">
            <v>lineonly</v>
          </cell>
        </row>
        <row r="310">
          <cell r="A310" t="str">
            <v>20001_1</v>
          </cell>
          <cell r="B310">
            <v>3</v>
          </cell>
          <cell r="C310">
            <v>20001</v>
          </cell>
          <cell r="D310" t="str">
            <v>紅き執行者</v>
          </cell>
          <cell r="E310" t="str">
            <v>ドロップイベント1-1</v>
          </cell>
          <cell r="F310">
            <v>1</v>
          </cell>
          <cell r="G310" t="str">
            <v>ja</v>
          </cell>
          <cell r="H310" t="str">
            <v xml:space="preserve">【初級】紅き執行者 </v>
          </cell>
          <cell r="I310" t="str">
            <v>初級</v>
          </cell>
          <cell r="J310">
            <v>262</v>
          </cell>
          <cell r="K310">
            <v>8</v>
          </cell>
          <cell r="L310">
            <v>384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3</v>
          </cell>
          <cell r="S310" t="str">
            <v>none</v>
          </cell>
          <cell r="T310">
            <v>0</v>
          </cell>
          <cell r="U310" t="str">
            <v>NULL</v>
          </cell>
          <cell r="V310" t="str">
            <v>NULL</v>
          </cell>
          <cell r="W310" t="str">
            <v/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14</v>
          </cell>
          <cell r="AD310">
            <v>6</v>
          </cell>
          <cell r="AE310" t="str">
            <v>everyone</v>
          </cell>
        </row>
        <row r="311">
          <cell r="A311" t="str">
            <v>20001_2</v>
          </cell>
          <cell r="B311">
            <v>3</v>
          </cell>
          <cell r="C311">
            <v>20001</v>
          </cell>
          <cell r="D311" t="str">
            <v>紅き執行者</v>
          </cell>
          <cell r="E311" t="str">
            <v>ドロップイベント1-1</v>
          </cell>
          <cell r="F311">
            <v>2</v>
          </cell>
          <cell r="G311" t="str">
            <v>ja</v>
          </cell>
          <cell r="H311" t="str">
            <v>【中級】紅き執行者</v>
          </cell>
          <cell r="I311" t="str">
            <v>中級</v>
          </cell>
          <cell r="J311">
            <v>262</v>
          </cell>
          <cell r="K311">
            <v>15</v>
          </cell>
          <cell r="L311">
            <v>1200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3</v>
          </cell>
          <cell r="S311" t="str">
            <v>none</v>
          </cell>
          <cell r="T311">
            <v>0</v>
          </cell>
          <cell r="U311" t="str">
            <v>NULL</v>
          </cell>
          <cell r="V311" t="str">
            <v>NULL</v>
          </cell>
          <cell r="W311" t="str">
            <v/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14</v>
          </cell>
          <cell r="AD311">
            <v>6</v>
          </cell>
          <cell r="AE311" t="str">
            <v>everyone</v>
          </cell>
        </row>
        <row r="312">
          <cell r="A312" t="str">
            <v>20001_3</v>
          </cell>
          <cell r="B312">
            <v>3</v>
          </cell>
          <cell r="C312">
            <v>20001</v>
          </cell>
          <cell r="D312" t="str">
            <v>紅き執行者</v>
          </cell>
          <cell r="E312" t="str">
            <v>ドロップイベント1-1</v>
          </cell>
          <cell r="F312">
            <v>3</v>
          </cell>
          <cell r="G312" t="str">
            <v>ja</v>
          </cell>
          <cell r="H312" t="str">
            <v xml:space="preserve">【上級】紅き執行者 </v>
          </cell>
          <cell r="I312" t="str">
            <v>上級</v>
          </cell>
          <cell r="J312">
            <v>263</v>
          </cell>
          <cell r="K312">
            <v>20</v>
          </cell>
          <cell r="L312">
            <v>2000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3</v>
          </cell>
          <cell r="S312" t="str">
            <v>polygon</v>
          </cell>
          <cell r="T312">
            <v>1</v>
          </cell>
          <cell r="U312" t="str">
            <v>NULL</v>
          </cell>
          <cell r="V312" t="str">
            <v>NULL</v>
          </cell>
          <cell r="W312" t="str">
            <v/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14</v>
          </cell>
          <cell r="AD312">
            <v>6</v>
          </cell>
          <cell r="AE312" t="str">
            <v>everyone</v>
          </cell>
        </row>
        <row r="313">
          <cell r="A313" t="str">
            <v>20002_1</v>
          </cell>
          <cell r="B313">
            <v>3</v>
          </cell>
          <cell r="C313">
            <v>20002</v>
          </cell>
          <cell r="D313" t="str">
            <v>孤高の一角獣</v>
          </cell>
          <cell r="E313" t="str">
            <v>ドロップイベント1-2</v>
          </cell>
          <cell r="F313">
            <v>1</v>
          </cell>
          <cell r="G313" t="str">
            <v>ja</v>
          </cell>
          <cell r="H313" t="str">
            <v>【初級】孤高の一角獣(ハートなし)</v>
          </cell>
          <cell r="I313" t="str">
            <v>初級</v>
          </cell>
          <cell r="J313">
            <v>264</v>
          </cell>
          <cell r="K313">
            <v>8</v>
          </cell>
          <cell r="L313">
            <v>384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0</v>
          </cell>
          <cell r="R313">
            <v>3</v>
          </cell>
          <cell r="S313" t="str">
            <v>none</v>
          </cell>
          <cell r="T313">
            <v>0</v>
          </cell>
          <cell r="U313" t="str">
            <v>NULL</v>
          </cell>
          <cell r="V313" t="str">
            <v>NULL</v>
          </cell>
          <cell r="W313" t="str">
            <v/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19</v>
          </cell>
          <cell r="AD313">
            <v>6</v>
          </cell>
          <cell r="AE313" t="str">
            <v>everyone</v>
          </cell>
        </row>
        <row r="314">
          <cell r="A314" t="str">
            <v>20002_2</v>
          </cell>
          <cell r="B314">
            <v>3</v>
          </cell>
          <cell r="C314">
            <v>20002</v>
          </cell>
          <cell r="D314" t="str">
            <v>孤高の一角獣</v>
          </cell>
          <cell r="E314" t="str">
            <v>ドロップイベント1-2</v>
          </cell>
          <cell r="F314">
            <v>2</v>
          </cell>
          <cell r="G314" t="str">
            <v>ja</v>
          </cell>
          <cell r="H314" t="str">
            <v>【中級】孤高の一角獣(ハートなし)</v>
          </cell>
          <cell r="I314" t="str">
            <v>中級</v>
          </cell>
          <cell r="J314">
            <v>264</v>
          </cell>
          <cell r="K314">
            <v>15</v>
          </cell>
          <cell r="L314">
            <v>1200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0</v>
          </cell>
          <cell r="R314">
            <v>3</v>
          </cell>
          <cell r="S314" t="str">
            <v>none</v>
          </cell>
          <cell r="T314">
            <v>0</v>
          </cell>
          <cell r="U314" t="str">
            <v>NULL</v>
          </cell>
          <cell r="V314" t="str">
            <v>NULL</v>
          </cell>
          <cell r="W314" t="str">
            <v/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19</v>
          </cell>
          <cell r="AD314">
            <v>6</v>
          </cell>
          <cell r="AE314" t="str">
            <v>everyone</v>
          </cell>
        </row>
        <row r="315">
          <cell r="A315" t="str">
            <v>20002_3</v>
          </cell>
          <cell r="B315">
            <v>3</v>
          </cell>
          <cell r="C315">
            <v>20002</v>
          </cell>
          <cell r="D315" t="str">
            <v>孤高の一角獣</v>
          </cell>
          <cell r="E315" t="str">
            <v>ドロップイベント1-2</v>
          </cell>
          <cell r="F315">
            <v>3</v>
          </cell>
          <cell r="G315" t="str">
            <v>ja</v>
          </cell>
          <cell r="H315" t="str">
            <v>【上級】孤高の一角獣(ハートなし)</v>
          </cell>
          <cell r="I315" t="str">
            <v>上級</v>
          </cell>
          <cell r="J315">
            <v>265</v>
          </cell>
          <cell r="K315">
            <v>20</v>
          </cell>
          <cell r="L315">
            <v>2000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0</v>
          </cell>
          <cell r="R315">
            <v>3</v>
          </cell>
          <cell r="S315" t="str">
            <v>polygon</v>
          </cell>
          <cell r="T315">
            <v>1</v>
          </cell>
          <cell r="U315" t="str">
            <v>NULL</v>
          </cell>
          <cell r="V315" t="str">
            <v>NULL</v>
          </cell>
          <cell r="W315" t="str">
            <v/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19</v>
          </cell>
          <cell r="AD315">
            <v>6</v>
          </cell>
          <cell r="AE315" t="str">
            <v>everyone</v>
          </cell>
        </row>
        <row r="316">
          <cell r="A316" t="str">
            <v>20003_1</v>
          </cell>
          <cell r="B316">
            <v>3</v>
          </cell>
          <cell r="C316">
            <v>20003</v>
          </cell>
          <cell r="D316" t="str">
            <v>忍び寄る短剣</v>
          </cell>
          <cell r="E316" t="str">
            <v>ドロップイベント1-3</v>
          </cell>
          <cell r="F316">
            <v>1</v>
          </cell>
          <cell r="G316" t="str">
            <v>ja</v>
          </cell>
          <cell r="H316" t="str">
            <v xml:space="preserve">【初級】忍び寄る短剣 </v>
          </cell>
          <cell r="I316" t="str">
            <v>初級</v>
          </cell>
          <cell r="J316">
            <v>266</v>
          </cell>
          <cell r="K316">
            <v>8</v>
          </cell>
          <cell r="L316">
            <v>384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none</v>
          </cell>
          <cell r="T316">
            <v>0</v>
          </cell>
          <cell r="U316" t="str">
            <v>NULL</v>
          </cell>
          <cell r="V316" t="str">
            <v>NULL</v>
          </cell>
          <cell r="W316" t="str">
            <v/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11</v>
          </cell>
          <cell r="AD316">
            <v>6</v>
          </cell>
          <cell r="AE316" t="str">
            <v>everyone</v>
          </cell>
        </row>
        <row r="317">
          <cell r="A317" t="str">
            <v>20003_2</v>
          </cell>
          <cell r="B317">
            <v>3</v>
          </cell>
          <cell r="C317">
            <v>20003</v>
          </cell>
          <cell r="D317" t="str">
            <v>忍び寄る短剣</v>
          </cell>
          <cell r="E317" t="str">
            <v>ドロップイベント1-3</v>
          </cell>
          <cell r="F317">
            <v>2</v>
          </cell>
          <cell r="G317" t="str">
            <v>ja</v>
          </cell>
          <cell r="H317" t="str">
            <v xml:space="preserve">【中級】忍び寄る短剣 </v>
          </cell>
          <cell r="I317" t="str">
            <v>中級</v>
          </cell>
          <cell r="J317">
            <v>266</v>
          </cell>
          <cell r="K317">
            <v>15</v>
          </cell>
          <cell r="L317">
            <v>1200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none</v>
          </cell>
          <cell r="T317">
            <v>0</v>
          </cell>
          <cell r="U317" t="str">
            <v>NULL</v>
          </cell>
          <cell r="V317" t="str">
            <v>NULL</v>
          </cell>
          <cell r="W317" t="str">
            <v/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11</v>
          </cell>
          <cell r="AD317">
            <v>6</v>
          </cell>
          <cell r="AE317" t="str">
            <v>everyone</v>
          </cell>
        </row>
        <row r="318">
          <cell r="A318" t="str">
            <v>20003_3</v>
          </cell>
          <cell r="B318">
            <v>3</v>
          </cell>
          <cell r="C318">
            <v>20003</v>
          </cell>
          <cell r="D318" t="str">
            <v>忍び寄る短剣</v>
          </cell>
          <cell r="E318" t="str">
            <v>ドロップイベント1-3</v>
          </cell>
          <cell r="F318">
            <v>3</v>
          </cell>
          <cell r="G318" t="str">
            <v>ja</v>
          </cell>
          <cell r="H318" t="str">
            <v xml:space="preserve">【上級】忍び寄る短剣 </v>
          </cell>
          <cell r="I318" t="str">
            <v>上級</v>
          </cell>
          <cell r="J318">
            <v>267</v>
          </cell>
          <cell r="K318">
            <v>20</v>
          </cell>
          <cell r="L318">
            <v>2000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polygon</v>
          </cell>
          <cell r="T318">
            <v>1</v>
          </cell>
          <cell r="U318" t="str">
            <v>NULL</v>
          </cell>
          <cell r="V318" t="str">
            <v>NULL</v>
          </cell>
          <cell r="W318" t="str">
            <v/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11</v>
          </cell>
          <cell r="AD318">
            <v>6</v>
          </cell>
          <cell r="AE318" t="str">
            <v>everyone</v>
          </cell>
        </row>
        <row r="319">
          <cell r="A319" t="str">
            <v>20004_1</v>
          </cell>
          <cell r="B319">
            <v>3</v>
          </cell>
          <cell r="C319">
            <v>20004</v>
          </cell>
          <cell r="D319" t="str">
            <v>雷雲からの刺客</v>
          </cell>
          <cell r="E319" t="str">
            <v>ドロップイベント1-4</v>
          </cell>
          <cell r="F319">
            <v>1</v>
          </cell>
          <cell r="G319" t="str">
            <v>ja</v>
          </cell>
          <cell r="H319" t="str">
            <v>【初級】雷雲からの刺客(ハートなし)</v>
          </cell>
          <cell r="I319" t="str">
            <v>初級</v>
          </cell>
          <cell r="J319">
            <v>268</v>
          </cell>
          <cell r="K319">
            <v>8</v>
          </cell>
          <cell r="L319">
            <v>384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0</v>
          </cell>
          <cell r="R319">
            <v>3</v>
          </cell>
          <cell r="S319" t="str">
            <v>none</v>
          </cell>
          <cell r="T319">
            <v>0</v>
          </cell>
          <cell r="U319" t="str">
            <v>NULL</v>
          </cell>
          <cell r="V319" t="str">
            <v>NULL</v>
          </cell>
          <cell r="W319" t="str">
            <v/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4</v>
          </cell>
          <cell r="AD319">
            <v>6</v>
          </cell>
          <cell r="AE319" t="str">
            <v>everyone</v>
          </cell>
        </row>
        <row r="320">
          <cell r="A320" t="str">
            <v>20004_2</v>
          </cell>
          <cell r="B320">
            <v>3</v>
          </cell>
          <cell r="C320">
            <v>20004</v>
          </cell>
          <cell r="D320" t="str">
            <v>雷雲からの刺客</v>
          </cell>
          <cell r="E320" t="str">
            <v>ドロップイベント1-4</v>
          </cell>
          <cell r="F320">
            <v>2</v>
          </cell>
          <cell r="G320" t="str">
            <v>ja</v>
          </cell>
          <cell r="H320" t="str">
            <v>【中級】雷雲からの刺客(ハートなし)</v>
          </cell>
          <cell r="I320" t="str">
            <v>中級</v>
          </cell>
          <cell r="J320">
            <v>268</v>
          </cell>
          <cell r="K320">
            <v>15</v>
          </cell>
          <cell r="L320">
            <v>1200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0</v>
          </cell>
          <cell r="R320">
            <v>3</v>
          </cell>
          <cell r="S320" t="str">
            <v>none</v>
          </cell>
          <cell r="T320">
            <v>0</v>
          </cell>
          <cell r="U320" t="str">
            <v>NULL</v>
          </cell>
          <cell r="V320" t="str">
            <v>NULL</v>
          </cell>
          <cell r="W320" t="str">
            <v/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4</v>
          </cell>
          <cell r="AD320">
            <v>6</v>
          </cell>
          <cell r="AE320" t="str">
            <v>everyone</v>
          </cell>
        </row>
        <row r="321">
          <cell r="A321" t="str">
            <v>20004_3</v>
          </cell>
          <cell r="B321">
            <v>3</v>
          </cell>
          <cell r="C321">
            <v>20004</v>
          </cell>
          <cell r="D321" t="str">
            <v>雷雲からの刺客</v>
          </cell>
          <cell r="E321" t="str">
            <v>ドロップイベント1-4</v>
          </cell>
          <cell r="F321">
            <v>3</v>
          </cell>
          <cell r="G321" t="str">
            <v>ja</v>
          </cell>
          <cell r="H321" t="str">
            <v>【上級】雷雲からの刺客(ハートなし)</v>
          </cell>
          <cell r="I321" t="str">
            <v>上級</v>
          </cell>
          <cell r="J321">
            <v>269</v>
          </cell>
          <cell r="K321">
            <v>20</v>
          </cell>
          <cell r="L321">
            <v>2000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0</v>
          </cell>
          <cell r="R321">
            <v>3</v>
          </cell>
          <cell r="S321" t="str">
            <v>polygon</v>
          </cell>
          <cell r="T321">
            <v>1</v>
          </cell>
          <cell r="U321" t="str">
            <v>NULL</v>
          </cell>
          <cell r="V321" t="str">
            <v>NULL</v>
          </cell>
          <cell r="W321" t="str">
            <v/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4</v>
          </cell>
          <cell r="AD321">
            <v>6</v>
          </cell>
          <cell r="AE321" t="str">
            <v>everyone</v>
          </cell>
        </row>
        <row r="322">
          <cell r="A322" t="str">
            <v>20005_1</v>
          </cell>
          <cell r="B322">
            <v>3</v>
          </cell>
          <cell r="C322">
            <v>20005</v>
          </cell>
          <cell r="D322" t="str">
            <v>ザ・キャノン</v>
          </cell>
          <cell r="E322" t="str">
            <v>ドロップイベント2-2</v>
          </cell>
          <cell r="F322">
            <v>1</v>
          </cell>
          <cell r="G322" t="str">
            <v>ja</v>
          </cell>
          <cell r="H322" t="str">
            <v>【初級】ザ・キャノン(4タップ）</v>
          </cell>
          <cell r="I322" t="str">
            <v>初級</v>
          </cell>
          <cell r="J322">
            <v>286</v>
          </cell>
          <cell r="K322">
            <v>8</v>
          </cell>
          <cell r="L322">
            <v>384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4</v>
          </cell>
          <cell r="S322" t="str">
            <v>none</v>
          </cell>
          <cell r="T322">
            <v>0</v>
          </cell>
          <cell r="U322" t="str">
            <v>NULL</v>
          </cell>
          <cell r="V322" t="str">
            <v>NULL</v>
          </cell>
          <cell r="W322" t="str">
            <v/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14</v>
          </cell>
          <cell r="AD322">
            <v>6</v>
          </cell>
          <cell r="AE322" t="str">
            <v>everyone</v>
          </cell>
        </row>
        <row r="323">
          <cell r="A323" t="str">
            <v>20005_2</v>
          </cell>
          <cell r="B323">
            <v>3</v>
          </cell>
          <cell r="C323">
            <v>20005</v>
          </cell>
          <cell r="D323" t="str">
            <v>ザ・キャノン</v>
          </cell>
          <cell r="E323" t="str">
            <v>ドロップイベント2-2</v>
          </cell>
          <cell r="F323">
            <v>2</v>
          </cell>
          <cell r="G323" t="str">
            <v>ja</v>
          </cell>
          <cell r="H323" t="str">
            <v>【中級】ザ・キャノン(4タップ)</v>
          </cell>
          <cell r="I323" t="str">
            <v>中級</v>
          </cell>
          <cell r="J323">
            <v>286</v>
          </cell>
          <cell r="K323">
            <v>15</v>
          </cell>
          <cell r="L323">
            <v>1200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4</v>
          </cell>
          <cell r="S323" t="str">
            <v>none</v>
          </cell>
          <cell r="T323">
            <v>0</v>
          </cell>
          <cell r="U323" t="str">
            <v>NULL</v>
          </cell>
          <cell r="V323" t="str">
            <v>NULL</v>
          </cell>
          <cell r="W323" t="str">
            <v/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14</v>
          </cell>
          <cell r="AD323">
            <v>6</v>
          </cell>
          <cell r="AE323" t="str">
            <v>everyone</v>
          </cell>
        </row>
        <row r="324">
          <cell r="A324" t="str">
            <v>20005_3</v>
          </cell>
          <cell r="B324">
            <v>3</v>
          </cell>
          <cell r="C324">
            <v>20005</v>
          </cell>
          <cell r="D324" t="str">
            <v>ザ・キャノン</v>
          </cell>
          <cell r="E324" t="str">
            <v>ドロップイベント2-2</v>
          </cell>
          <cell r="F324">
            <v>3</v>
          </cell>
          <cell r="G324" t="str">
            <v>ja</v>
          </cell>
          <cell r="H324" t="str">
            <v>【上級】ザ・キャノン(4タップ)</v>
          </cell>
          <cell r="I324" t="str">
            <v>上級</v>
          </cell>
          <cell r="J324">
            <v>287</v>
          </cell>
          <cell r="K324">
            <v>20</v>
          </cell>
          <cell r="L324">
            <v>2000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4</v>
          </cell>
          <cell r="S324" t="str">
            <v>polygon</v>
          </cell>
          <cell r="T324">
            <v>1</v>
          </cell>
          <cell r="U324" t="str">
            <v>NULL</v>
          </cell>
          <cell r="V324" t="str">
            <v>NULL</v>
          </cell>
          <cell r="W324" t="str">
            <v/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14</v>
          </cell>
          <cell r="AD324">
            <v>6</v>
          </cell>
          <cell r="AE324" t="str">
            <v>everyone</v>
          </cell>
        </row>
        <row r="325">
          <cell r="A325" t="str">
            <v>20006_1</v>
          </cell>
          <cell r="B325">
            <v>3</v>
          </cell>
          <cell r="C325">
            <v>20006</v>
          </cell>
          <cell r="D325" t="str">
            <v>スチール・プレデター</v>
          </cell>
          <cell r="E325" t="str">
            <v>ドロップイベント2-3</v>
          </cell>
          <cell r="F325">
            <v>1</v>
          </cell>
          <cell r="G325" t="str">
            <v>ja</v>
          </cell>
          <cell r="H325" t="str">
            <v>【初級】スチール・プレデター</v>
          </cell>
          <cell r="I325" t="str">
            <v>初級</v>
          </cell>
          <cell r="J325">
            <v>280</v>
          </cell>
          <cell r="K325">
            <v>8</v>
          </cell>
          <cell r="L325">
            <v>384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2</v>
          </cell>
          <cell r="S325" t="str">
            <v>none</v>
          </cell>
          <cell r="T325">
            <v>0</v>
          </cell>
          <cell r="U325" t="str">
            <v>NULL</v>
          </cell>
          <cell r="V325" t="str">
            <v>NULL</v>
          </cell>
          <cell r="W325" t="str">
            <v/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19</v>
          </cell>
          <cell r="AD325">
            <v>6</v>
          </cell>
          <cell r="AE325" t="str">
            <v>everyone</v>
          </cell>
        </row>
        <row r="326">
          <cell r="A326" t="str">
            <v>20006_2</v>
          </cell>
          <cell r="B326">
            <v>3</v>
          </cell>
          <cell r="C326">
            <v>20006</v>
          </cell>
          <cell r="D326" t="str">
            <v>スチール・プレデター</v>
          </cell>
          <cell r="E326" t="str">
            <v>ドロップイベント2-3</v>
          </cell>
          <cell r="F326">
            <v>2</v>
          </cell>
          <cell r="G326" t="str">
            <v>ja</v>
          </cell>
          <cell r="H326" t="str">
            <v>【中級】スチール・プレデター</v>
          </cell>
          <cell r="I326" t="str">
            <v>中級</v>
          </cell>
          <cell r="J326">
            <v>280</v>
          </cell>
          <cell r="K326">
            <v>15</v>
          </cell>
          <cell r="L326">
            <v>1200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2</v>
          </cell>
          <cell r="S326" t="str">
            <v>none</v>
          </cell>
          <cell r="T326">
            <v>0</v>
          </cell>
          <cell r="U326" t="str">
            <v>NULL</v>
          </cell>
          <cell r="V326" t="str">
            <v>NULL</v>
          </cell>
          <cell r="W326" t="str">
            <v/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19</v>
          </cell>
          <cell r="AD326">
            <v>6</v>
          </cell>
          <cell r="AE326" t="str">
            <v>everyone</v>
          </cell>
        </row>
        <row r="327">
          <cell r="A327" t="str">
            <v>20006_3</v>
          </cell>
          <cell r="B327">
            <v>3</v>
          </cell>
          <cell r="C327">
            <v>20006</v>
          </cell>
          <cell r="D327" t="str">
            <v>スチール・プレデター</v>
          </cell>
          <cell r="E327" t="str">
            <v>ドロップイベント2-3</v>
          </cell>
          <cell r="F327">
            <v>3</v>
          </cell>
          <cell r="G327" t="str">
            <v>ja</v>
          </cell>
          <cell r="H327" t="str">
            <v>【上級】スチール・プレデター</v>
          </cell>
          <cell r="I327" t="str">
            <v>上級</v>
          </cell>
          <cell r="J327">
            <v>281</v>
          </cell>
          <cell r="K327">
            <v>20</v>
          </cell>
          <cell r="L327">
            <v>2000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2</v>
          </cell>
          <cell r="S327" t="str">
            <v>polygon</v>
          </cell>
          <cell r="T327">
            <v>1</v>
          </cell>
          <cell r="U327" t="str">
            <v>NULL</v>
          </cell>
          <cell r="V327" t="str">
            <v>NULL</v>
          </cell>
          <cell r="W327" t="str">
            <v/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19</v>
          </cell>
          <cell r="AD327">
            <v>6</v>
          </cell>
          <cell r="AE327" t="str">
            <v>everyone</v>
          </cell>
        </row>
        <row r="328">
          <cell r="A328" t="str">
            <v>20007_1</v>
          </cell>
          <cell r="B328">
            <v>3</v>
          </cell>
          <cell r="C328">
            <v>20007</v>
          </cell>
          <cell r="D328" t="str">
            <v>女王陛下の処刑龍</v>
          </cell>
          <cell r="E328" t="str">
            <v>ドロップイベント2-1</v>
          </cell>
          <cell r="F328">
            <v>1</v>
          </cell>
          <cell r="G328" t="str">
            <v>ja</v>
          </cell>
          <cell r="H328" t="str">
            <v>【初級】女王陛下の処刑龍(4タップ)</v>
          </cell>
          <cell r="I328" t="str">
            <v>初級</v>
          </cell>
          <cell r="J328">
            <v>282</v>
          </cell>
          <cell r="K328">
            <v>8</v>
          </cell>
          <cell r="L328">
            <v>384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4</v>
          </cell>
          <cell r="S328" t="str">
            <v>none</v>
          </cell>
          <cell r="T328">
            <v>0</v>
          </cell>
          <cell r="U328" t="str">
            <v>NULL</v>
          </cell>
          <cell r="V328" t="str">
            <v>NULL</v>
          </cell>
          <cell r="W328" t="str">
            <v/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17</v>
          </cell>
          <cell r="AD328">
            <v>6</v>
          </cell>
          <cell r="AE328" t="str">
            <v>everyone</v>
          </cell>
        </row>
        <row r="329">
          <cell r="A329" t="str">
            <v>20007_2</v>
          </cell>
          <cell r="B329">
            <v>3</v>
          </cell>
          <cell r="C329">
            <v>20007</v>
          </cell>
          <cell r="D329" t="str">
            <v>女王陛下の処刑龍</v>
          </cell>
          <cell r="E329" t="str">
            <v>ドロップイベント2-1</v>
          </cell>
          <cell r="F329">
            <v>2</v>
          </cell>
          <cell r="G329" t="str">
            <v>ja</v>
          </cell>
          <cell r="H329" t="str">
            <v>【中級】女王陛下の処刑龍(4タップ)</v>
          </cell>
          <cell r="I329" t="str">
            <v>中級</v>
          </cell>
          <cell r="J329">
            <v>282</v>
          </cell>
          <cell r="K329">
            <v>15</v>
          </cell>
          <cell r="L329">
            <v>1200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4</v>
          </cell>
          <cell r="S329" t="str">
            <v>none</v>
          </cell>
          <cell r="T329">
            <v>0</v>
          </cell>
          <cell r="U329" t="str">
            <v>NULL</v>
          </cell>
          <cell r="V329" t="str">
            <v>NULL</v>
          </cell>
          <cell r="W329" t="str">
            <v/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17</v>
          </cell>
          <cell r="AD329">
            <v>6</v>
          </cell>
          <cell r="AE329" t="str">
            <v>everyone</v>
          </cell>
        </row>
        <row r="330">
          <cell r="A330" t="str">
            <v>20007_3</v>
          </cell>
          <cell r="B330">
            <v>3</v>
          </cell>
          <cell r="C330">
            <v>20007</v>
          </cell>
          <cell r="D330" t="str">
            <v>女王陛下の処刑龍</v>
          </cell>
          <cell r="E330" t="str">
            <v>ドロップイベント2-1</v>
          </cell>
          <cell r="F330">
            <v>3</v>
          </cell>
          <cell r="G330" t="str">
            <v>ja</v>
          </cell>
          <cell r="H330" t="str">
            <v>【上級】女王陛下の処刑龍(4タップ)</v>
          </cell>
          <cell r="I330" t="str">
            <v>上級</v>
          </cell>
          <cell r="J330">
            <v>283</v>
          </cell>
          <cell r="K330">
            <v>20</v>
          </cell>
          <cell r="L330">
            <v>2000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4</v>
          </cell>
          <cell r="S330" t="str">
            <v>polygon</v>
          </cell>
          <cell r="T330">
            <v>1</v>
          </cell>
          <cell r="U330" t="str">
            <v>NULL</v>
          </cell>
          <cell r="V330" t="str">
            <v>NULL</v>
          </cell>
          <cell r="W330" t="str">
            <v/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17</v>
          </cell>
          <cell r="AD330">
            <v>6</v>
          </cell>
          <cell r="AE330" t="str">
            <v>everyone</v>
          </cell>
        </row>
        <row r="331">
          <cell r="A331" t="str">
            <v>20008_1</v>
          </cell>
          <cell r="B331">
            <v>3</v>
          </cell>
          <cell r="C331">
            <v>20008</v>
          </cell>
          <cell r="D331" t="str">
            <v>天翔ける金轟機龍</v>
          </cell>
          <cell r="E331" t="str">
            <v>ドロップイベント2-4</v>
          </cell>
          <cell r="F331">
            <v>1</v>
          </cell>
          <cell r="G331" t="str">
            <v>ja</v>
          </cell>
          <cell r="H331" t="str">
            <v>【初級】天翔ける金轟機龍</v>
          </cell>
          <cell r="I331" t="str">
            <v>初級</v>
          </cell>
          <cell r="J331">
            <v>284</v>
          </cell>
          <cell r="K331">
            <v>8</v>
          </cell>
          <cell r="L331">
            <v>384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none</v>
          </cell>
          <cell r="T331">
            <v>0</v>
          </cell>
          <cell r="U331" t="str">
            <v>NULL</v>
          </cell>
          <cell r="V331" t="str">
            <v>NULL</v>
          </cell>
          <cell r="W331" t="str">
            <v/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8</v>
          </cell>
          <cell r="AD331">
            <v>6</v>
          </cell>
          <cell r="AE331" t="str">
            <v>everyone</v>
          </cell>
        </row>
        <row r="332">
          <cell r="A332" t="str">
            <v>20008_2</v>
          </cell>
          <cell r="B332">
            <v>3</v>
          </cell>
          <cell r="C332">
            <v>20008</v>
          </cell>
          <cell r="D332" t="str">
            <v>天翔ける金轟機龍</v>
          </cell>
          <cell r="E332" t="str">
            <v>ドロップイベント2-4</v>
          </cell>
          <cell r="F332">
            <v>2</v>
          </cell>
          <cell r="G332" t="str">
            <v>ja</v>
          </cell>
          <cell r="H332" t="str">
            <v>【中級】天翔ける金轟機龍</v>
          </cell>
          <cell r="I332" t="str">
            <v>中級</v>
          </cell>
          <cell r="J332">
            <v>284</v>
          </cell>
          <cell r="K332">
            <v>15</v>
          </cell>
          <cell r="L332">
            <v>1200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none</v>
          </cell>
          <cell r="T332">
            <v>0</v>
          </cell>
          <cell r="U332" t="str">
            <v>NULL</v>
          </cell>
          <cell r="V332" t="str">
            <v>NULL</v>
          </cell>
          <cell r="W332" t="str">
            <v/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8</v>
          </cell>
          <cell r="AD332">
            <v>6</v>
          </cell>
          <cell r="AE332" t="str">
            <v>everyone</v>
          </cell>
        </row>
        <row r="333">
          <cell r="A333" t="str">
            <v>20008_3</v>
          </cell>
          <cell r="B333">
            <v>3</v>
          </cell>
          <cell r="C333">
            <v>20008</v>
          </cell>
          <cell r="D333" t="str">
            <v>天翔ける金轟機龍</v>
          </cell>
          <cell r="E333" t="str">
            <v>ドロップイベント2-4</v>
          </cell>
          <cell r="F333">
            <v>3</v>
          </cell>
          <cell r="G333" t="str">
            <v>ja</v>
          </cell>
          <cell r="H333" t="str">
            <v>【上級】天翔ける金轟機龍</v>
          </cell>
          <cell r="I333" t="str">
            <v>上級</v>
          </cell>
          <cell r="J333">
            <v>285</v>
          </cell>
          <cell r="K333">
            <v>20</v>
          </cell>
          <cell r="L333">
            <v>2000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polygon</v>
          </cell>
          <cell r="T333">
            <v>1</v>
          </cell>
          <cell r="U333" t="str">
            <v>NULL</v>
          </cell>
          <cell r="V333" t="str">
            <v>NULL</v>
          </cell>
          <cell r="W333" t="str">
            <v/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8</v>
          </cell>
          <cell r="AD333">
            <v>6</v>
          </cell>
          <cell r="AE333" t="str">
            <v>everyone</v>
          </cell>
        </row>
        <row r="334">
          <cell r="A334" t="str">
            <v>20009_1</v>
          </cell>
          <cell r="B334">
            <v>0</v>
          </cell>
          <cell r="C334">
            <v>20009</v>
          </cell>
          <cell r="D334" t="str">
            <v>迫り来る窒息</v>
          </cell>
          <cell r="E334" t="str">
            <v>ドロップイベント3</v>
          </cell>
          <cell r="F334">
            <v>1</v>
          </cell>
          <cell r="G334" t="str">
            <v>ja</v>
          </cell>
          <cell r="H334" t="str">
            <v>【初級】迫り来る窒息</v>
          </cell>
          <cell r="I334" t="str">
            <v>初級</v>
          </cell>
          <cell r="J334" t="str">
            <v>NULL</v>
          </cell>
          <cell r="K334">
            <v>8</v>
          </cell>
          <cell r="L334">
            <v>384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none</v>
          </cell>
          <cell r="T334">
            <v>0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25</v>
          </cell>
          <cell r="AD334">
            <v>5</v>
          </cell>
          <cell r="AE334" t="str">
            <v>everyone</v>
          </cell>
        </row>
        <row r="335">
          <cell r="A335" t="str">
            <v>20009_2</v>
          </cell>
          <cell r="B335">
            <v>3</v>
          </cell>
          <cell r="C335">
            <v>20009</v>
          </cell>
          <cell r="D335" t="str">
            <v>迫り来る窒息</v>
          </cell>
          <cell r="E335" t="str">
            <v>ドロップイベント3</v>
          </cell>
          <cell r="F335">
            <v>2</v>
          </cell>
          <cell r="G335" t="str">
            <v>ja</v>
          </cell>
          <cell r="H335" t="str">
            <v>【中級】迫り来る窒息</v>
          </cell>
          <cell r="I335" t="str">
            <v>中級</v>
          </cell>
          <cell r="J335">
            <v>302</v>
          </cell>
          <cell r="K335">
            <v>15</v>
          </cell>
          <cell r="L335">
            <v>1200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none</v>
          </cell>
          <cell r="T335">
            <v>0</v>
          </cell>
          <cell r="U335" t="str">
            <v>NULL</v>
          </cell>
          <cell r="V335" t="str">
            <v>NULL</v>
          </cell>
          <cell r="W335" t="str">
            <v/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25</v>
          </cell>
          <cell r="AD335">
            <v>5</v>
          </cell>
          <cell r="AE335" t="str">
            <v>everyone</v>
          </cell>
        </row>
        <row r="336">
          <cell r="A336" t="str">
            <v>20009_3</v>
          </cell>
          <cell r="B336">
            <v>3</v>
          </cell>
          <cell r="C336">
            <v>20009</v>
          </cell>
          <cell r="D336" t="str">
            <v>迫り来る窒息</v>
          </cell>
          <cell r="E336" t="str">
            <v>ドロップイベント3</v>
          </cell>
          <cell r="F336">
            <v>3</v>
          </cell>
          <cell r="G336" t="str">
            <v>ja</v>
          </cell>
          <cell r="H336" t="str">
            <v>【上級】迫り来る窒息</v>
          </cell>
          <cell r="I336" t="str">
            <v>上級</v>
          </cell>
          <cell r="J336">
            <v>303</v>
          </cell>
          <cell r="K336">
            <v>20</v>
          </cell>
          <cell r="L336">
            <v>2000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polygon</v>
          </cell>
          <cell r="T336">
            <v>1</v>
          </cell>
          <cell r="U336" t="str">
            <v>NULL</v>
          </cell>
          <cell r="V336" t="str">
            <v>NULL</v>
          </cell>
          <cell r="W336" t="str">
            <v/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25</v>
          </cell>
          <cell r="AD336">
            <v>5</v>
          </cell>
          <cell r="AE336" t="str">
            <v>everyone</v>
          </cell>
        </row>
        <row r="337">
          <cell r="A337" t="str">
            <v>20010_1</v>
          </cell>
          <cell r="B337">
            <v>3</v>
          </cell>
          <cell r="C337">
            <v>20010</v>
          </cell>
          <cell r="D337" t="str">
            <v>悪夢の一目惚れ</v>
          </cell>
          <cell r="E337" t="str">
            <v>ドロップイベント3</v>
          </cell>
          <cell r="F337">
            <v>1</v>
          </cell>
          <cell r="G337" t="str">
            <v>ja</v>
          </cell>
          <cell r="H337" t="str">
            <v>【初級】悪夢の一目惚れ</v>
          </cell>
          <cell r="I337" t="str">
            <v>初級</v>
          </cell>
          <cell r="J337">
            <v>304</v>
          </cell>
          <cell r="K337">
            <v>8</v>
          </cell>
          <cell r="L337">
            <v>384</v>
          </cell>
          <cell r="M337">
            <v>1</v>
          </cell>
          <cell r="N337">
            <v>1</v>
          </cell>
          <cell r="O337">
            <v>0</v>
          </cell>
          <cell r="P337">
            <v>1</v>
          </cell>
          <cell r="Q337">
            <v>1</v>
          </cell>
          <cell r="R337">
            <v>3</v>
          </cell>
          <cell r="S337" t="str">
            <v>none</v>
          </cell>
          <cell r="T337">
            <v>0</v>
          </cell>
          <cell r="U337" t="str">
            <v>NULL</v>
          </cell>
          <cell r="V337" t="str">
            <v>NULL</v>
          </cell>
          <cell r="W337" t="str">
            <v/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2601</v>
          </cell>
          <cell r="AD337">
            <v>6</v>
          </cell>
          <cell r="AE337" t="str">
            <v>everyone</v>
          </cell>
        </row>
        <row r="338">
          <cell r="A338" t="str">
            <v>20010_2</v>
          </cell>
          <cell r="B338">
            <v>3</v>
          </cell>
          <cell r="C338">
            <v>20010</v>
          </cell>
          <cell r="D338" t="str">
            <v>悪夢の一目惚れ</v>
          </cell>
          <cell r="E338" t="str">
            <v>ドロップイベント3</v>
          </cell>
          <cell r="F338">
            <v>2</v>
          </cell>
          <cell r="G338" t="str">
            <v>ja</v>
          </cell>
          <cell r="H338" t="str">
            <v>【中級】悪夢の一目惚れ</v>
          </cell>
          <cell r="I338" t="str">
            <v>中級</v>
          </cell>
          <cell r="J338">
            <v>304</v>
          </cell>
          <cell r="K338">
            <v>15</v>
          </cell>
          <cell r="L338">
            <v>1200</v>
          </cell>
          <cell r="M338">
            <v>1</v>
          </cell>
          <cell r="N338">
            <v>1</v>
          </cell>
          <cell r="O338">
            <v>0</v>
          </cell>
          <cell r="P338">
            <v>1</v>
          </cell>
          <cell r="Q338">
            <v>1</v>
          </cell>
          <cell r="R338">
            <v>3</v>
          </cell>
          <cell r="S338" t="str">
            <v>none</v>
          </cell>
          <cell r="T338">
            <v>0</v>
          </cell>
          <cell r="U338" t="str">
            <v>NULL</v>
          </cell>
          <cell r="V338" t="str">
            <v>NULL</v>
          </cell>
          <cell r="W338" t="str">
            <v/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2601</v>
          </cell>
          <cell r="AD338">
            <v>6</v>
          </cell>
          <cell r="AE338" t="str">
            <v>everyone</v>
          </cell>
        </row>
        <row r="339">
          <cell r="A339" t="str">
            <v>20010_3</v>
          </cell>
          <cell r="B339">
            <v>3</v>
          </cell>
          <cell r="C339">
            <v>20010</v>
          </cell>
          <cell r="D339" t="str">
            <v>悪夢の一目惚れ</v>
          </cell>
          <cell r="E339" t="str">
            <v>ドロップイベント3</v>
          </cell>
          <cell r="F339">
            <v>3</v>
          </cell>
          <cell r="G339" t="str">
            <v>ja</v>
          </cell>
          <cell r="H339" t="str">
            <v>【上級】悪夢の一目惚れ</v>
          </cell>
          <cell r="I339" t="str">
            <v>上級</v>
          </cell>
          <cell r="J339">
            <v>305</v>
          </cell>
          <cell r="K339">
            <v>20</v>
          </cell>
          <cell r="L339">
            <v>2000</v>
          </cell>
          <cell r="M339">
            <v>1</v>
          </cell>
          <cell r="N339">
            <v>1</v>
          </cell>
          <cell r="O339">
            <v>0</v>
          </cell>
          <cell r="P339">
            <v>1</v>
          </cell>
          <cell r="Q339">
            <v>1</v>
          </cell>
          <cell r="R339">
            <v>3</v>
          </cell>
          <cell r="S339" t="str">
            <v>polygon</v>
          </cell>
          <cell r="T339">
            <v>1</v>
          </cell>
          <cell r="U339" t="str">
            <v>NULL</v>
          </cell>
          <cell r="V339" t="str">
            <v>NULL</v>
          </cell>
          <cell r="W339" t="str">
            <v/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2601</v>
          </cell>
          <cell r="AD339">
            <v>6</v>
          </cell>
          <cell r="AE339" t="str">
            <v>everyone</v>
          </cell>
        </row>
        <row r="340">
          <cell r="A340" t="str">
            <v>20011_1</v>
          </cell>
          <cell r="B340">
            <v>3</v>
          </cell>
          <cell r="C340">
            <v>20011</v>
          </cell>
          <cell r="D340" t="str">
            <v>すべてが灰になる</v>
          </cell>
          <cell r="E340" t="str">
            <v>ドロップイベント3</v>
          </cell>
          <cell r="F340">
            <v>1</v>
          </cell>
          <cell r="G340" t="str">
            <v>ja</v>
          </cell>
          <cell r="H340" t="str">
            <v>【初級】すべてが灰になる</v>
          </cell>
          <cell r="I340" t="str">
            <v>初級</v>
          </cell>
          <cell r="J340">
            <v>298</v>
          </cell>
          <cell r="K340">
            <v>8</v>
          </cell>
          <cell r="L340">
            <v>384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none</v>
          </cell>
          <cell r="T340">
            <v>0</v>
          </cell>
          <cell r="U340" t="str">
            <v>NULL</v>
          </cell>
          <cell r="V340" t="str">
            <v>NULL</v>
          </cell>
          <cell r="W340" t="str">
            <v/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10</v>
          </cell>
          <cell r="AD340">
            <v>5</v>
          </cell>
          <cell r="AE340" t="str">
            <v>everyone</v>
          </cell>
        </row>
        <row r="341">
          <cell r="A341" t="str">
            <v>20011_2</v>
          </cell>
          <cell r="B341">
            <v>3</v>
          </cell>
          <cell r="C341">
            <v>20011</v>
          </cell>
          <cell r="D341" t="str">
            <v>すべてが灰になる</v>
          </cell>
          <cell r="E341" t="str">
            <v>ドロップイベント3</v>
          </cell>
          <cell r="F341">
            <v>2</v>
          </cell>
          <cell r="G341" t="str">
            <v>ja</v>
          </cell>
          <cell r="H341" t="str">
            <v>【中級】すべてが灰になる</v>
          </cell>
          <cell r="I341" t="str">
            <v>中級</v>
          </cell>
          <cell r="J341">
            <v>298</v>
          </cell>
          <cell r="K341">
            <v>15</v>
          </cell>
          <cell r="L341">
            <v>1200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none</v>
          </cell>
          <cell r="T341">
            <v>0</v>
          </cell>
          <cell r="U341" t="str">
            <v>NULL</v>
          </cell>
          <cell r="V341" t="str">
            <v>NULL</v>
          </cell>
          <cell r="W341" t="str">
            <v/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10</v>
          </cell>
          <cell r="AD341">
            <v>5</v>
          </cell>
          <cell r="AE341" t="str">
            <v>everyone</v>
          </cell>
        </row>
        <row r="342">
          <cell r="A342" t="str">
            <v>20011_3</v>
          </cell>
          <cell r="B342">
            <v>3</v>
          </cell>
          <cell r="C342">
            <v>20011</v>
          </cell>
          <cell r="D342" t="str">
            <v>すべてが灰になる</v>
          </cell>
          <cell r="E342" t="str">
            <v>ドロップイベント3</v>
          </cell>
          <cell r="F342">
            <v>3</v>
          </cell>
          <cell r="G342" t="str">
            <v>ja</v>
          </cell>
          <cell r="H342" t="str">
            <v>【上級】すべてが灰になる</v>
          </cell>
          <cell r="I342" t="str">
            <v>上級</v>
          </cell>
          <cell r="J342">
            <v>299</v>
          </cell>
          <cell r="K342">
            <v>20</v>
          </cell>
          <cell r="L342">
            <v>2000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polygon</v>
          </cell>
          <cell r="T342">
            <v>1</v>
          </cell>
          <cell r="U342" t="str">
            <v>NULL</v>
          </cell>
          <cell r="V342" t="str">
            <v>NULL</v>
          </cell>
          <cell r="W342" t="str">
            <v/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10</v>
          </cell>
          <cell r="AD342">
            <v>5</v>
          </cell>
          <cell r="AE342" t="str">
            <v>everyone</v>
          </cell>
        </row>
        <row r="343">
          <cell r="A343" t="str">
            <v>20012_1</v>
          </cell>
          <cell r="B343">
            <v>3</v>
          </cell>
          <cell r="C343">
            <v>20012</v>
          </cell>
          <cell r="D343" t="str">
            <v>罪と劇薬</v>
          </cell>
          <cell r="E343" t="str">
            <v>ドロップイベント3</v>
          </cell>
          <cell r="F343">
            <v>1</v>
          </cell>
          <cell r="G343" t="str">
            <v>ja</v>
          </cell>
          <cell r="H343" t="str">
            <v>【初級】罪と劇薬</v>
          </cell>
          <cell r="I343" t="str">
            <v>初級</v>
          </cell>
          <cell r="J343">
            <v>300</v>
          </cell>
          <cell r="K343">
            <v>8</v>
          </cell>
          <cell r="L343">
            <v>384</v>
          </cell>
          <cell r="M343">
            <v>0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none</v>
          </cell>
          <cell r="T343">
            <v>0</v>
          </cell>
          <cell r="U343" t="str">
            <v>NULL</v>
          </cell>
          <cell r="V343" t="str">
            <v>NULL</v>
          </cell>
          <cell r="W343" t="str">
            <v/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19</v>
          </cell>
          <cell r="AD343">
            <v>6</v>
          </cell>
          <cell r="AE343" t="str">
            <v>everyone</v>
          </cell>
        </row>
        <row r="344">
          <cell r="A344" t="str">
            <v>20012_2</v>
          </cell>
          <cell r="B344">
            <v>3</v>
          </cell>
          <cell r="C344">
            <v>20012</v>
          </cell>
          <cell r="D344" t="str">
            <v>罪と劇薬</v>
          </cell>
          <cell r="E344" t="str">
            <v>ドロップイベント3</v>
          </cell>
          <cell r="F344">
            <v>2</v>
          </cell>
          <cell r="G344" t="str">
            <v>ja</v>
          </cell>
          <cell r="H344" t="str">
            <v>【中級】罪と劇薬</v>
          </cell>
          <cell r="I344" t="str">
            <v>中級</v>
          </cell>
          <cell r="J344">
            <v>300</v>
          </cell>
          <cell r="K344">
            <v>15</v>
          </cell>
          <cell r="L344">
            <v>1200</v>
          </cell>
          <cell r="M344">
            <v>0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none</v>
          </cell>
          <cell r="T344">
            <v>0</v>
          </cell>
          <cell r="U344" t="str">
            <v>NULL</v>
          </cell>
          <cell r="V344" t="str">
            <v>NULL</v>
          </cell>
          <cell r="W344" t="str">
            <v/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19</v>
          </cell>
          <cell r="AD344">
            <v>6</v>
          </cell>
          <cell r="AE344" t="str">
            <v>everyone</v>
          </cell>
        </row>
        <row r="345">
          <cell r="A345" t="str">
            <v>20012_3</v>
          </cell>
          <cell r="B345">
            <v>3</v>
          </cell>
          <cell r="C345">
            <v>20012</v>
          </cell>
          <cell r="D345" t="str">
            <v>罪と劇薬</v>
          </cell>
          <cell r="E345" t="str">
            <v>ドロップイベント3</v>
          </cell>
          <cell r="F345">
            <v>3</v>
          </cell>
          <cell r="G345" t="str">
            <v>ja</v>
          </cell>
          <cell r="H345" t="str">
            <v>【上級】罪と劇薬</v>
          </cell>
          <cell r="I345" t="str">
            <v>上級</v>
          </cell>
          <cell r="J345">
            <v>301</v>
          </cell>
          <cell r="K345">
            <v>20</v>
          </cell>
          <cell r="L345">
            <v>2000</v>
          </cell>
          <cell r="M345">
            <v>0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polygon</v>
          </cell>
          <cell r="T345">
            <v>1</v>
          </cell>
          <cell r="U345" t="str">
            <v>NULL</v>
          </cell>
          <cell r="V345" t="str">
            <v>NULL</v>
          </cell>
          <cell r="W345" t="str">
            <v/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19</v>
          </cell>
          <cell r="AD345">
            <v>6</v>
          </cell>
          <cell r="AE345" t="str">
            <v>everyone</v>
          </cell>
        </row>
        <row r="346">
          <cell r="A346" t="str">
            <v>30001_1</v>
          </cell>
          <cell r="B346">
            <v>3</v>
          </cell>
          <cell r="C346">
            <v>30001</v>
          </cell>
          <cell r="D346" t="str">
            <v>ハンター・オブ・ハンター</v>
          </cell>
          <cell r="E346" t="str">
            <v>ドロップイベント1-1（マルチ専用）</v>
          </cell>
          <cell r="F346">
            <v>1</v>
          </cell>
          <cell r="G346" t="str">
            <v>ja</v>
          </cell>
          <cell r="H346" t="str">
            <v xml:space="preserve">【中級】ハンター・オブ・ハンター </v>
          </cell>
          <cell r="I346" t="str">
            <v>中級</v>
          </cell>
          <cell r="J346">
            <v>270</v>
          </cell>
          <cell r="K346">
            <v>15</v>
          </cell>
          <cell r="L346">
            <v>1200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none</v>
          </cell>
          <cell r="T346">
            <v>0</v>
          </cell>
          <cell r="U346" t="str">
            <v>NULL</v>
          </cell>
          <cell r="V346" t="str">
            <v>NULL</v>
          </cell>
          <cell r="W346" t="str">
            <v/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7</v>
          </cell>
          <cell r="AD346">
            <v>6</v>
          </cell>
          <cell r="AE346" t="str">
            <v>everyone</v>
          </cell>
        </row>
        <row r="347">
          <cell r="A347" t="str">
            <v>30001_2</v>
          </cell>
          <cell r="B347">
            <v>3</v>
          </cell>
          <cell r="C347">
            <v>30001</v>
          </cell>
          <cell r="D347" t="str">
            <v>ハンター・オブ・ハンター</v>
          </cell>
          <cell r="E347" t="str">
            <v>ドロップイベント1-1（マルチ専用）</v>
          </cell>
          <cell r="F347">
            <v>2</v>
          </cell>
          <cell r="G347" t="str">
            <v>ja</v>
          </cell>
          <cell r="H347" t="str">
            <v xml:space="preserve">【上級】ハンター・オブ・ハンター </v>
          </cell>
          <cell r="I347" t="str">
            <v>上級</v>
          </cell>
          <cell r="J347">
            <v>270</v>
          </cell>
          <cell r="K347">
            <v>20</v>
          </cell>
          <cell r="L347">
            <v>2000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none</v>
          </cell>
          <cell r="T347">
            <v>0</v>
          </cell>
          <cell r="U347" t="str">
            <v>NULL</v>
          </cell>
          <cell r="V347" t="str">
            <v>NULL</v>
          </cell>
          <cell r="W347" t="str">
            <v/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7</v>
          </cell>
          <cell r="AD347">
            <v>6</v>
          </cell>
          <cell r="AE347" t="str">
            <v>everyone</v>
          </cell>
        </row>
        <row r="348">
          <cell r="A348" t="str">
            <v>30001_3</v>
          </cell>
          <cell r="B348">
            <v>3</v>
          </cell>
          <cell r="C348">
            <v>30001</v>
          </cell>
          <cell r="D348" t="str">
            <v>ハンター・オブ・ハンター</v>
          </cell>
          <cell r="E348" t="str">
            <v>ドロップイベント1-1（マルチ専用）</v>
          </cell>
          <cell r="F348">
            <v>3</v>
          </cell>
          <cell r="G348" t="str">
            <v>ja</v>
          </cell>
          <cell r="H348" t="str">
            <v xml:space="preserve">【超級】ハンター・オブ・ハンター </v>
          </cell>
          <cell r="I348" t="str">
            <v>超級</v>
          </cell>
          <cell r="J348">
            <v>271</v>
          </cell>
          <cell r="K348">
            <v>30</v>
          </cell>
          <cell r="L348">
            <v>3300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polygon</v>
          </cell>
          <cell r="T348">
            <v>1</v>
          </cell>
          <cell r="U348" t="str">
            <v>NULL</v>
          </cell>
          <cell r="V348" t="str">
            <v>NULL</v>
          </cell>
          <cell r="W348" t="str">
            <v/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7</v>
          </cell>
          <cell r="AD348">
            <v>6</v>
          </cell>
          <cell r="AE348" t="str">
            <v>everyone</v>
          </cell>
        </row>
        <row r="349">
          <cell r="A349" t="str">
            <v>30002_1</v>
          </cell>
          <cell r="B349">
            <v>3</v>
          </cell>
          <cell r="C349">
            <v>30002</v>
          </cell>
          <cell r="D349" t="str">
            <v>トリックスター</v>
          </cell>
          <cell r="E349" t="str">
            <v>ドロップイベント1-2（マルチ専用）</v>
          </cell>
          <cell r="F349">
            <v>1</v>
          </cell>
          <cell r="G349" t="str">
            <v>ja</v>
          </cell>
          <cell r="H349" t="str">
            <v xml:space="preserve">【中級】トリックスター </v>
          </cell>
          <cell r="I349" t="str">
            <v>中級</v>
          </cell>
          <cell r="J349">
            <v>272</v>
          </cell>
          <cell r="K349">
            <v>15</v>
          </cell>
          <cell r="L349">
            <v>1200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none</v>
          </cell>
          <cell r="T349">
            <v>0</v>
          </cell>
          <cell r="U349" t="str">
            <v>NULL</v>
          </cell>
          <cell r="V349" t="str">
            <v>NULL</v>
          </cell>
          <cell r="W349" t="str">
            <v/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17</v>
          </cell>
          <cell r="AD349">
            <v>6</v>
          </cell>
          <cell r="AE349" t="str">
            <v>everyone</v>
          </cell>
        </row>
        <row r="350">
          <cell r="A350" t="str">
            <v>30002_2</v>
          </cell>
          <cell r="B350">
            <v>3</v>
          </cell>
          <cell r="C350">
            <v>30002</v>
          </cell>
          <cell r="D350" t="str">
            <v>トリックスター</v>
          </cell>
          <cell r="E350" t="str">
            <v>ドロップイベント1-2（マルチ専用）</v>
          </cell>
          <cell r="F350">
            <v>2</v>
          </cell>
          <cell r="G350" t="str">
            <v>ja</v>
          </cell>
          <cell r="H350" t="str">
            <v xml:space="preserve">【上級】トリックスター </v>
          </cell>
          <cell r="I350" t="str">
            <v>上級</v>
          </cell>
          <cell r="J350">
            <v>272</v>
          </cell>
          <cell r="K350">
            <v>20</v>
          </cell>
          <cell r="L350">
            <v>2000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none</v>
          </cell>
          <cell r="T350">
            <v>0</v>
          </cell>
          <cell r="U350" t="str">
            <v>NULL</v>
          </cell>
          <cell r="V350" t="str">
            <v>NULL</v>
          </cell>
          <cell r="W350" t="str">
            <v/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17</v>
          </cell>
          <cell r="AD350">
            <v>6</v>
          </cell>
          <cell r="AE350" t="str">
            <v>everyone</v>
          </cell>
        </row>
        <row r="351">
          <cell r="A351" t="str">
            <v>30002_3</v>
          </cell>
          <cell r="B351">
            <v>3</v>
          </cell>
          <cell r="C351">
            <v>30002</v>
          </cell>
          <cell r="D351" t="str">
            <v>トリックスター</v>
          </cell>
          <cell r="E351" t="str">
            <v>ドロップイベント1-2（マルチ専用）</v>
          </cell>
          <cell r="F351">
            <v>3</v>
          </cell>
          <cell r="G351" t="str">
            <v>ja</v>
          </cell>
          <cell r="H351" t="str">
            <v xml:space="preserve">【超級】トリックスター </v>
          </cell>
          <cell r="I351" t="str">
            <v>超級</v>
          </cell>
          <cell r="J351">
            <v>273</v>
          </cell>
          <cell r="K351">
            <v>30</v>
          </cell>
          <cell r="L351">
            <v>3300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polygon</v>
          </cell>
          <cell r="T351">
            <v>1</v>
          </cell>
          <cell r="U351" t="str">
            <v>NULL</v>
          </cell>
          <cell r="V351" t="str">
            <v>NULL</v>
          </cell>
          <cell r="W351" t="str">
            <v/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17</v>
          </cell>
          <cell r="AD351">
            <v>6</v>
          </cell>
          <cell r="AE351" t="str">
            <v>everyone</v>
          </cell>
        </row>
        <row r="352">
          <cell r="A352" t="str">
            <v>30003_1</v>
          </cell>
          <cell r="B352">
            <v>3</v>
          </cell>
          <cell r="C352">
            <v>30003</v>
          </cell>
          <cell r="D352" t="str">
            <v>打ち下ろされる砕棒</v>
          </cell>
          <cell r="E352" t="str">
            <v>ドロップイベント1-3（マルチ専用）</v>
          </cell>
          <cell r="F352">
            <v>1</v>
          </cell>
          <cell r="G352" t="str">
            <v>ja</v>
          </cell>
          <cell r="H352" t="str">
            <v xml:space="preserve">【中級】打ち下ろされる砕棒 </v>
          </cell>
          <cell r="I352" t="str">
            <v>中級</v>
          </cell>
          <cell r="J352">
            <v>274</v>
          </cell>
          <cell r="K352">
            <v>15</v>
          </cell>
          <cell r="L352">
            <v>1200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none</v>
          </cell>
          <cell r="T352">
            <v>0</v>
          </cell>
          <cell r="U352" t="str">
            <v>NULL</v>
          </cell>
          <cell r="V352" t="str">
            <v>NULL</v>
          </cell>
          <cell r="W352" t="str">
            <v/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20</v>
          </cell>
          <cell r="AD352">
            <v>6</v>
          </cell>
          <cell r="AE352" t="str">
            <v>everyone</v>
          </cell>
        </row>
        <row r="353">
          <cell r="A353" t="str">
            <v>30003_2</v>
          </cell>
          <cell r="B353">
            <v>3</v>
          </cell>
          <cell r="C353">
            <v>30003</v>
          </cell>
          <cell r="D353" t="str">
            <v>打ち下ろされる砕棒</v>
          </cell>
          <cell r="E353" t="str">
            <v>ドロップイベント1-3（マルチ専用）</v>
          </cell>
          <cell r="F353">
            <v>2</v>
          </cell>
          <cell r="G353" t="str">
            <v>ja</v>
          </cell>
          <cell r="H353" t="str">
            <v>【上級】打ち下ろされる砕棒</v>
          </cell>
          <cell r="I353" t="str">
            <v>上級</v>
          </cell>
          <cell r="J353">
            <v>274</v>
          </cell>
          <cell r="K353">
            <v>20</v>
          </cell>
          <cell r="L353">
            <v>2000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none</v>
          </cell>
          <cell r="T353">
            <v>0</v>
          </cell>
          <cell r="U353" t="str">
            <v>NULL</v>
          </cell>
          <cell r="V353" t="str">
            <v>NULL</v>
          </cell>
          <cell r="W353" t="str">
            <v/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20</v>
          </cell>
          <cell r="AD353">
            <v>6</v>
          </cell>
          <cell r="AE353" t="str">
            <v>everyone</v>
          </cell>
        </row>
        <row r="354">
          <cell r="A354" t="str">
            <v>30003_3</v>
          </cell>
          <cell r="B354">
            <v>3</v>
          </cell>
          <cell r="C354">
            <v>30003</v>
          </cell>
          <cell r="D354" t="str">
            <v>打ち下ろされる砕棒</v>
          </cell>
          <cell r="E354" t="str">
            <v>ドロップイベント1-3（マルチ専用）</v>
          </cell>
          <cell r="F354">
            <v>3</v>
          </cell>
          <cell r="G354" t="str">
            <v>ja</v>
          </cell>
          <cell r="H354" t="str">
            <v xml:space="preserve">【超級】打ち下ろされる砕棒 </v>
          </cell>
          <cell r="I354" t="str">
            <v>超級</v>
          </cell>
          <cell r="J354">
            <v>275</v>
          </cell>
          <cell r="K354">
            <v>30</v>
          </cell>
          <cell r="L354">
            <v>3300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polygon</v>
          </cell>
          <cell r="T354">
            <v>1</v>
          </cell>
          <cell r="U354" t="str">
            <v>NULL</v>
          </cell>
          <cell r="V354" t="str">
            <v>NULL</v>
          </cell>
          <cell r="W354" t="str">
            <v/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20</v>
          </cell>
          <cell r="AD354">
            <v>6</v>
          </cell>
          <cell r="AE354" t="str">
            <v>everyone</v>
          </cell>
        </row>
        <row r="355">
          <cell r="A355" t="str">
            <v>30004_1</v>
          </cell>
          <cell r="B355">
            <v>3</v>
          </cell>
          <cell r="C355">
            <v>30004</v>
          </cell>
          <cell r="D355" t="str">
            <v>危険な仲裁者</v>
          </cell>
          <cell r="E355" t="str">
            <v>ドロップイベント1-4（マルチ専用）</v>
          </cell>
          <cell r="F355">
            <v>1</v>
          </cell>
          <cell r="G355" t="str">
            <v>ja</v>
          </cell>
          <cell r="H355" t="str">
            <v xml:space="preserve">【中級】危険な仲裁者 </v>
          </cell>
          <cell r="I355" t="str">
            <v>中級</v>
          </cell>
          <cell r="J355">
            <v>276</v>
          </cell>
          <cell r="K355">
            <v>15</v>
          </cell>
          <cell r="L355">
            <v>1200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none</v>
          </cell>
          <cell r="T355">
            <v>0</v>
          </cell>
          <cell r="U355" t="str">
            <v>NULL</v>
          </cell>
          <cell r="V355" t="str">
            <v>NULL</v>
          </cell>
          <cell r="W355" t="str">
            <v/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14</v>
          </cell>
          <cell r="AD355">
            <v>6</v>
          </cell>
          <cell r="AE355" t="str">
            <v>everyone</v>
          </cell>
        </row>
        <row r="356">
          <cell r="A356" t="str">
            <v>30004_2</v>
          </cell>
          <cell r="B356">
            <v>3</v>
          </cell>
          <cell r="C356">
            <v>30004</v>
          </cell>
          <cell r="D356" t="str">
            <v>危険な仲裁者</v>
          </cell>
          <cell r="E356" t="str">
            <v>ドロップイベント1-4（マルチ専用）</v>
          </cell>
          <cell r="F356">
            <v>2</v>
          </cell>
          <cell r="G356" t="str">
            <v>ja</v>
          </cell>
          <cell r="H356" t="str">
            <v xml:space="preserve">【上級】危険な仲裁者 </v>
          </cell>
          <cell r="I356" t="str">
            <v>上級</v>
          </cell>
          <cell r="J356">
            <v>276</v>
          </cell>
          <cell r="K356">
            <v>20</v>
          </cell>
          <cell r="L356">
            <v>2000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none</v>
          </cell>
          <cell r="T356">
            <v>0</v>
          </cell>
          <cell r="U356" t="str">
            <v>NULL</v>
          </cell>
          <cell r="V356" t="str">
            <v>NULL</v>
          </cell>
          <cell r="W356" t="str">
            <v/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14</v>
          </cell>
          <cell r="AD356">
            <v>6</v>
          </cell>
          <cell r="AE356" t="str">
            <v>everyone</v>
          </cell>
        </row>
        <row r="357">
          <cell r="A357" t="str">
            <v>30004_3</v>
          </cell>
          <cell r="B357">
            <v>3</v>
          </cell>
          <cell r="C357">
            <v>30004</v>
          </cell>
          <cell r="D357" t="str">
            <v>危険な仲裁者</v>
          </cell>
          <cell r="E357" t="str">
            <v>ドロップイベント1-4（マルチ専用）</v>
          </cell>
          <cell r="F357">
            <v>3</v>
          </cell>
          <cell r="G357" t="str">
            <v>ja</v>
          </cell>
          <cell r="H357" t="str">
            <v xml:space="preserve">【超級】危険な仲裁者 </v>
          </cell>
          <cell r="I357" t="str">
            <v>超級</v>
          </cell>
          <cell r="J357">
            <v>277</v>
          </cell>
          <cell r="K357">
            <v>30</v>
          </cell>
          <cell r="L357">
            <v>3300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polygon</v>
          </cell>
          <cell r="T357">
            <v>1</v>
          </cell>
          <cell r="U357" t="str">
            <v>NULL</v>
          </cell>
          <cell r="V357" t="str">
            <v>NULL</v>
          </cell>
          <cell r="W357" t="str">
            <v/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14</v>
          </cell>
          <cell r="AD357">
            <v>6</v>
          </cell>
          <cell r="AE357" t="str">
            <v>everyone</v>
          </cell>
        </row>
        <row r="358">
          <cell r="A358" t="str">
            <v>30005_1</v>
          </cell>
          <cell r="B358">
            <v>3</v>
          </cell>
          <cell r="C358">
            <v>30005</v>
          </cell>
          <cell r="D358" t="str">
            <v>ニンゲンにしてあげる☆</v>
          </cell>
          <cell r="E358" t="str">
            <v>ドロップイベント2-1（マルチ専用）</v>
          </cell>
          <cell r="F358">
            <v>1</v>
          </cell>
          <cell r="G358" t="str">
            <v>ja</v>
          </cell>
          <cell r="H358" t="str">
            <v xml:space="preserve">【中級】ニンゲンにしてあげる </v>
          </cell>
          <cell r="I358" t="str">
            <v>中級</v>
          </cell>
          <cell r="J358">
            <v>290</v>
          </cell>
          <cell r="K358">
            <v>15</v>
          </cell>
          <cell r="L358">
            <v>1200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none</v>
          </cell>
          <cell r="T358">
            <v>0</v>
          </cell>
          <cell r="U358" t="str">
            <v>NULL</v>
          </cell>
          <cell r="V358" t="str">
            <v>NULL</v>
          </cell>
          <cell r="W358" t="str">
            <v/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11</v>
          </cell>
          <cell r="AD358">
            <v>6</v>
          </cell>
          <cell r="AE358" t="str">
            <v>everyone</v>
          </cell>
        </row>
        <row r="359">
          <cell r="A359" t="str">
            <v>30005_2</v>
          </cell>
          <cell r="B359">
            <v>3</v>
          </cell>
          <cell r="C359">
            <v>30005</v>
          </cell>
          <cell r="D359" t="str">
            <v>ニンゲンにしてあげる☆</v>
          </cell>
          <cell r="E359" t="str">
            <v>ドロップイベント2-1（マルチ専用）</v>
          </cell>
          <cell r="F359">
            <v>2</v>
          </cell>
          <cell r="G359" t="str">
            <v>ja</v>
          </cell>
          <cell r="H359" t="str">
            <v xml:space="preserve">【上級】ニンゲンにしてあげる </v>
          </cell>
          <cell r="I359" t="str">
            <v>上級</v>
          </cell>
          <cell r="J359">
            <v>290</v>
          </cell>
          <cell r="K359">
            <v>20</v>
          </cell>
          <cell r="L359">
            <v>2000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3</v>
          </cell>
          <cell r="S359" t="str">
            <v>none</v>
          </cell>
          <cell r="T359">
            <v>0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11</v>
          </cell>
          <cell r="AD359">
            <v>6</v>
          </cell>
          <cell r="AE359" t="str">
            <v>everyone</v>
          </cell>
        </row>
        <row r="360">
          <cell r="A360" t="str">
            <v>30005_3</v>
          </cell>
          <cell r="B360">
            <v>3</v>
          </cell>
          <cell r="C360">
            <v>30005</v>
          </cell>
          <cell r="D360" t="str">
            <v>ニンゲンにしてあげる☆</v>
          </cell>
          <cell r="E360" t="str">
            <v>ドロップイベント2-1（マルチ専用）</v>
          </cell>
          <cell r="F360">
            <v>3</v>
          </cell>
          <cell r="G360" t="str">
            <v>ja</v>
          </cell>
          <cell r="H360" t="str">
            <v>【超級】ニンゲンにしてあげる</v>
          </cell>
          <cell r="I360" t="str">
            <v>超級</v>
          </cell>
          <cell r="J360">
            <v>291</v>
          </cell>
          <cell r="K360">
            <v>30</v>
          </cell>
          <cell r="L360">
            <v>3300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3</v>
          </cell>
          <cell r="S360" t="str">
            <v>polygon</v>
          </cell>
          <cell r="T360">
            <v>1</v>
          </cell>
          <cell r="U360" t="str">
            <v>NULL</v>
          </cell>
          <cell r="V360" t="str">
            <v>NULL</v>
          </cell>
          <cell r="W360" t="str">
            <v/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11</v>
          </cell>
          <cell r="AD360">
            <v>6</v>
          </cell>
          <cell r="AE360" t="str">
            <v>everyone</v>
          </cell>
        </row>
        <row r="361">
          <cell r="A361" t="str">
            <v>30006_1</v>
          </cell>
          <cell r="B361">
            <v>3</v>
          </cell>
          <cell r="C361">
            <v>30006</v>
          </cell>
          <cell r="D361" t="str">
            <v>それはお前を食べるためさ</v>
          </cell>
          <cell r="E361" t="str">
            <v>ドロップイベント2-3（マルチ専用）</v>
          </cell>
          <cell r="F361">
            <v>1</v>
          </cell>
          <cell r="G361" t="str">
            <v>ja</v>
          </cell>
          <cell r="H361" t="str">
            <v>【中級】それはお前を食べるためさ</v>
          </cell>
          <cell r="I361" t="str">
            <v>中級</v>
          </cell>
          <cell r="J361">
            <v>294</v>
          </cell>
          <cell r="K361">
            <v>15</v>
          </cell>
          <cell r="L361">
            <v>1200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3</v>
          </cell>
          <cell r="S361" t="str">
            <v>none</v>
          </cell>
          <cell r="T361">
            <v>0</v>
          </cell>
          <cell r="U361" t="str">
            <v>NULL</v>
          </cell>
          <cell r="V361" t="str">
            <v>NULL</v>
          </cell>
          <cell r="W361" t="str">
            <v/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7</v>
          </cell>
          <cell r="AD361">
            <v>6</v>
          </cell>
          <cell r="AE361" t="str">
            <v>everyone</v>
          </cell>
        </row>
        <row r="362">
          <cell r="A362" t="str">
            <v>30006_2</v>
          </cell>
          <cell r="B362">
            <v>3</v>
          </cell>
          <cell r="C362">
            <v>30006</v>
          </cell>
          <cell r="D362" t="str">
            <v>それはお前を食べるためさ</v>
          </cell>
          <cell r="E362" t="str">
            <v>ドロップイベント2-3（マルチ専用）</v>
          </cell>
          <cell r="F362">
            <v>2</v>
          </cell>
          <cell r="G362" t="str">
            <v>ja</v>
          </cell>
          <cell r="H362" t="str">
            <v>【上級】それはお前を食べるためさ</v>
          </cell>
          <cell r="I362" t="str">
            <v>上級</v>
          </cell>
          <cell r="J362">
            <v>294</v>
          </cell>
          <cell r="K362">
            <v>20</v>
          </cell>
          <cell r="L362">
            <v>2000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3</v>
          </cell>
          <cell r="S362" t="str">
            <v>none</v>
          </cell>
          <cell r="T362">
            <v>0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7</v>
          </cell>
          <cell r="AD362">
            <v>6</v>
          </cell>
          <cell r="AE362" t="str">
            <v>everyone</v>
          </cell>
        </row>
        <row r="363">
          <cell r="A363" t="str">
            <v>30006_3</v>
          </cell>
          <cell r="B363">
            <v>3</v>
          </cell>
          <cell r="C363">
            <v>30006</v>
          </cell>
          <cell r="D363" t="str">
            <v>それはお前を食べるためさ</v>
          </cell>
          <cell r="E363" t="str">
            <v>ドロップイベント2-3（マルチ専用）</v>
          </cell>
          <cell r="F363">
            <v>3</v>
          </cell>
          <cell r="G363" t="str">
            <v>ja</v>
          </cell>
          <cell r="H363" t="str">
            <v>【超級】それはお前を食べるためさ</v>
          </cell>
          <cell r="I363" t="str">
            <v>超級</v>
          </cell>
          <cell r="J363">
            <v>295</v>
          </cell>
          <cell r="K363">
            <v>30</v>
          </cell>
          <cell r="L363">
            <v>3300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3</v>
          </cell>
          <cell r="S363" t="str">
            <v>polygon</v>
          </cell>
          <cell r="T363">
            <v>1</v>
          </cell>
          <cell r="U363" t="str">
            <v>NULL</v>
          </cell>
          <cell r="V363" t="str">
            <v>NULL</v>
          </cell>
          <cell r="W363" t="str">
            <v/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7</v>
          </cell>
          <cell r="AD363">
            <v>6</v>
          </cell>
          <cell r="AE363" t="str">
            <v>everyone</v>
          </cell>
        </row>
        <row r="364">
          <cell r="A364" t="str">
            <v>30007_1</v>
          </cell>
          <cell r="B364">
            <v>3</v>
          </cell>
          <cell r="C364">
            <v>30007</v>
          </cell>
          <cell r="D364" t="str">
            <v>ガラスの靴は私のもの</v>
          </cell>
          <cell r="E364" t="str">
            <v>ドロップイベント2-2（マルチ専用）</v>
          </cell>
          <cell r="F364">
            <v>1</v>
          </cell>
          <cell r="G364" t="str">
            <v>ja</v>
          </cell>
          <cell r="H364" t="str">
            <v xml:space="preserve">【中級】ガラスの靴は私のもの </v>
          </cell>
          <cell r="I364" t="str">
            <v>中級</v>
          </cell>
          <cell r="J364">
            <v>292</v>
          </cell>
          <cell r="K364">
            <v>15</v>
          </cell>
          <cell r="L364">
            <v>1200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none</v>
          </cell>
          <cell r="T364">
            <v>0</v>
          </cell>
          <cell r="U364" t="str">
            <v>NULL</v>
          </cell>
          <cell r="V364" t="str">
            <v>NULL</v>
          </cell>
          <cell r="W364" t="str">
            <v/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9</v>
          </cell>
          <cell r="AD364">
            <v>6</v>
          </cell>
          <cell r="AE364" t="str">
            <v>everyone</v>
          </cell>
        </row>
        <row r="365">
          <cell r="A365" t="str">
            <v>30007_2</v>
          </cell>
          <cell r="B365">
            <v>3</v>
          </cell>
          <cell r="C365">
            <v>30007</v>
          </cell>
          <cell r="D365" t="str">
            <v>ガラスの靴は私のもの</v>
          </cell>
          <cell r="E365" t="str">
            <v>ドロップイベント2-2（マルチ専用）</v>
          </cell>
          <cell r="F365">
            <v>2</v>
          </cell>
          <cell r="G365" t="str">
            <v>ja</v>
          </cell>
          <cell r="H365" t="str">
            <v>【上級】ガラスの靴は私のもの</v>
          </cell>
          <cell r="I365" t="str">
            <v>上級</v>
          </cell>
          <cell r="J365">
            <v>292</v>
          </cell>
          <cell r="K365">
            <v>20</v>
          </cell>
          <cell r="L365">
            <v>2000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none</v>
          </cell>
          <cell r="T365">
            <v>0</v>
          </cell>
          <cell r="U365" t="str">
            <v>NULL</v>
          </cell>
          <cell r="V365" t="str">
            <v>NULL</v>
          </cell>
          <cell r="W365" t="str">
            <v/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9</v>
          </cell>
          <cell r="AD365">
            <v>6</v>
          </cell>
          <cell r="AE365" t="str">
            <v>everyone</v>
          </cell>
        </row>
        <row r="366">
          <cell r="A366" t="str">
            <v>30007_3</v>
          </cell>
          <cell r="B366">
            <v>3</v>
          </cell>
          <cell r="C366">
            <v>30007</v>
          </cell>
          <cell r="D366" t="str">
            <v>ガラスの靴は私のもの</v>
          </cell>
          <cell r="E366" t="str">
            <v>ドロップイベント2-2（マルチ専用）</v>
          </cell>
          <cell r="F366">
            <v>3</v>
          </cell>
          <cell r="G366" t="str">
            <v>ja</v>
          </cell>
          <cell r="H366" t="str">
            <v xml:space="preserve">【超級】ガラスの靴は私のもの </v>
          </cell>
          <cell r="I366" t="str">
            <v>超級</v>
          </cell>
          <cell r="J366">
            <v>293</v>
          </cell>
          <cell r="K366">
            <v>30</v>
          </cell>
          <cell r="L366">
            <v>3300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polygon</v>
          </cell>
          <cell r="T366">
            <v>1</v>
          </cell>
          <cell r="U366" t="str">
            <v>NULL</v>
          </cell>
          <cell r="V366" t="str">
            <v>NULL</v>
          </cell>
          <cell r="W366" t="str">
            <v/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9</v>
          </cell>
          <cell r="AD366">
            <v>6</v>
          </cell>
          <cell r="AE366" t="str">
            <v>everyone</v>
          </cell>
        </row>
        <row r="367">
          <cell r="A367" t="str">
            <v>30008_1</v>
          </cell>
          <cell r="B367">
            <v>3</v>
          </cell>
          <cell r="C367">
            <v>30008</v>
          </cell>
          <cell r="D367" t="str">
            <v>わたしの嫁を返してもらおう</v>
          </cell>
          <cell r="E367" t="str">
            <v>ドロップイベント2-4（マルチ専用）</v>
          </cell>
          <cell r="F367">
            <v>1</v>
          </cell>
          <cell r="G367" t="str">
            <v>ja</v>
          </cell>
          <cell r="H367" t="str">
            <v>【中級】わたしの嫁を返してもらおう</v>
          </cell>
          <cell r="I367" t="str">
            <v>中級</v>
          </cell>
          <cell r="J367">
            <v>288</v>
          </cell>
          <cell r="K367">
            <v>15</v>
          </cell>
          <cell r="L367">
            <v>1200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none</v>
          </cell>
          <cell r="T367">
            <v>0</v>
          </cell>
          <cell r="U367" t="str">
            <v>NULL</v>
          </cell>
          <cell r="V367" t="str">
            <v>NULL</v>
          </cell>
          <cell r="W367" t="str">
            <v/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22</v>
          </cell>
          <cell r="AD367">
            <v>6</v>
          </cell>
          <cell r="AE367" t="str">
            <v>everyone</v>
          </cell>
        </row>
        <row r="368">
          <cell r="A368" t="str">
            <v>30008_2</v>
          </cell>
          <cell r="B368">
            <v>3</v>
          </cell>
          <cell r="C368">
            <v>30008</v>
          </cell>
          <cell r="D368" t="str">
            <v>わたしの嫁を返してもらおう</v>
          </cell>
          <cell r="E368" t="str">
            <v>ドロップイベント2-4（マルチ専用）</v>
          </cell>
          <cell r="F368">
            <v>2</v>
          </cell>
          <cell r="G368" t="str">
            <v>ja</v>
          </cell>
          <cell r="H368" t="str">
            <v>【上級】わたしの嫁を返してもらおう</v>
          </cell>
          <cell r="I368" t="str">
            <v>上級</v>
          </cell>
          <cell r="J368">
            <v>288</v>
          </cell>
          <cell r="K368">
            <v>20</v>
          </cell>
          <cell r="L368">
            <v>2000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none</v>
          </cell>
          <cell r="T368">
            <v>0</v>
          </cell>
          <cell r="U368" t="str">
            <v>NULL</v>
          </cell>
          <cell r="V368" t="str">
            <v>NULL</v>
          </cell>
          <cell r="W368" t="str">
            <v/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22</v>
          </cell>
          <cell r="AD368">
            <v>6</v>
          </cell>
          <cell r="AE368" t="str">
            <v>everyone</v>
          </cell>
        </row>
        <row r="369">
          <cell r="A369" t="str">
            <v>30008_3</v>
          </cell>
          <cell r="B369">
            <v>3</v>
          </cell>
          <cell r="C369">
            <v>30008</v>
          </cell>
          <cell r="D369" t="str">
            <v>わたしの嫁を返してもらおう</v>
          </cell>
          <cell r="E369" t="str">
            <v>ドロップイベント2-4（マルチ専用）</v>
          </cell>
          <cell r="F369">
            <v>3</v>
          </cell>
          <cell r="G369" t="str">
            <v>ja</v>
          </cell>
          <cell r="H369" t="str">
            <v>【超級】わたしの嫁を返してもらおう</v>
          </cell>
          <cell r="I369" t="str">
            <v>超級</v>
          </cell>
          <cell r="J369">
            <v>289</v>
          </cell>
          <cell r="K369">
            <v>30</v>
          </cell>
          <cell r="L369">
            <v>3300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polygon</v>
          </cell>
          <cell r="T369">
            <v>1</v>
          </cell>
          <cell r="U369" t="str">
            <v>NULL</v>
          </cell>
          <cell r="V369" t="str">
            <v>NULL</v>
          </cell>
          <cell r="W369" t="str">
            <v/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22</v>
          </cell>
          <cell r="AD369">
            <v>6</v>
          </cell>
          <cell r="AE369" t="str">
            <v>everyone</v>
          </cell>
        </row>
        <row r="370">
          <cell r="A370" t="str">
            <v>30009_3</v>
          </cell>
          <cell r="B370">
            <v>0</v>
          </cell>
          <cell r="C370">
            <v>30009</v>
          </cell>
          <cell r="D370" t="str">
            <v>復活の捕食者</v>
          </cell>
          <cell r="E370" t="str">
            <v>ドロップイベント3（マルチ専用）</v>
          </cell>
          <cell r="F370">
            <v>3</v>
          </cell>
          <cell r="G370" t="str">
            <v>ja</v>
          </cell>
          <cell r="H370" t="str">
            <v>【上級】復活の捕食者</v>
          </cell>
          <cell r="I370" t="str">
            <v>上級</v>
          </cell>
          <cell r="J370">
            <v>312</v>
          </cell>
          <cell r="K370">
            <v>20</v>
          </cell>
          <cell r="L370">
            <v>2000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2</v>
          </cell>
          <cell r="S370" t="str">
            <v>none</v>
          </cell>
          <cell r="T370">
            <v>0</v>
          </cell>
          <cell r="U370" t="str">
            <v>NULL</v>
          </cell>
          <cell r="V370" t="str">
            <v>NULL</v>
          </cell>
          <cell r="W370" t="str">
            <v/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8</v>
          </cell>
          <cell r="AD370">
            <v>6</v>
          </cell>
          <cell r="AE370" t="str">
            <v>everyone</v>
          </cell>
        </row>
        <row r="371">
          <cell r="A371" t="str">
            <v>30009_1</v>
          </cell>
          <cell r="B371">
            <v>3</v>
          </cell>
          <cell r="C371">
            <v>30009</v>
          </cell>
          <cell r="D371" t="str">
            <v>復活の捕食者</v>
          </cell>
          <cell r="E371" t="str">
            <v>ドロップイベント3（マルチ専用）</v>
          </cell>
          <cell r="F371">
            <v>1</v>
          </cell>
          <cell r="G371" t="str">
            <v>ja</v>
          </cell>
          <cell r="H371" t="str">
            <v>【超級】復活の捕食者</v>
          </cell>
          <cell r="I371" t="str">
            <v>超級</v>
          </cell>
          <cell r="J371">
            <v>312</v>
          </cell>
          <cell r="K371">
            <v>30</v>
          </cell>
          <cell r="L371">
            <v>3300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2</v>
          </cell>
          <cell r="S371" t="str">
            <v>none</v>
          </cell>
          <cell r="T371">
            <v>0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8</v>
          </cell>
          <cell r="AD371">
            <v>6</v>
          </cell>
          <cell r="AE371" t="str">
            <v>everyone</v>
          </cell>
        </row>
        <row r="372">
          <cell r="A372" t="str">
            <v>30009_2</v>
          </cell>
          <cell r="B372">
            <v>3</v>
          </cell>
          <cell r="C372">
            <v>30009</v>
          </cell>
          <cell r="D372" t="str">
            <v>復活の捕食者</v>
          </cell>
          <cell r="E372" t="str">
            <v>ドロップイベント3（マルチ専用）</v>
          </cell>
          <cell r="F372">
            <v>2</v>
          </cell>
          <cell r="G372" t="str">
            <v>ja</v>
          </cell>
          <cell r="H372" t="str">
            <v>【超絶級】復活の捕食者</v>
          </cell>
          <cell r="I372" t="str">
            <v>超絶級</v>
          </cell>
          <cell r="J372">
            <v>312</v>
          </cell>
          <cell r="K372">
            <v>35</v>
          </cell>
          <cell r="L372">
            <v>4200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2</v>
          </cell>
          <cell r="S372" t="str">
            <v>polygon</v>
          </cell>
          <cell r="T372">
            <v>1</v>
          </cell>
          <cell r="U372" t="str">
            <v>NULL</v>
          </cell>
          <cell r="V372" t="str">
            <v>NULL</v>
          </cell>
          <cell r="W372" t="str">
            <v/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8</v>
          </cell>
          <cell r="AD372">
            <v>6</v>
          </cell>
          <cell r="AE372" t="str">
            <v>everyone</v>
          </cell>
        </row>
        <row r="373">
          <cell r="A373" t="str">
            <v>30010_1</v>
          </cell>
          <cell r="B373">
            <v>3</v>
          </cell>
          <cell r="C373">
            <v>30010</v>
          </cell>
          <cell r="D373" t="str">
            <v>最大最凶</v>
          </cell>
          <cell r="E373" t="str">
            <v>ドロップイベント3（マルチ専用）</v>
          </cell>
          <cell r="F373">
            <v>1</v>
          </cell>
          <cell r="G373" t="str">
            <v>ja</v>
          </cell>
          <cell r="H373" t="str">
            <v>【上級】最大最凶</v>
          </cell>
          <cell r="I373" t="str">
            <v>上級</v>
          </cell>
          <cell r="J373">
            <v>306</v>
          </cell>
          <cell r="K373">
            <v>20</v>
          </cell>
          <cell r="L373">
            <v>2000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none</v>
          </cell>
          <cell r="T373">
            <v>0</v>
          </cell>
          <cell r="U373" t="str">
            <v>NULL</v>
          </cell>
          <cell r="V373" t="str">
            <v>NULL</v>
          </cell>
          <cell r="W373" t="str">
            <v/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2</v>
          </cell>
          <cell r="AD373">
            <v>7</v>
          </cell>
          <cell r="AE373" t="str">
            <v>everyone</v>
          </cell>
        </row>
        <row r="374">
          <cell r="A374" t="str">
            <v>30010_2</v>
          </cell>
          <cell r="B374">
            <v>3</v>
          </cell>
          <cell r="C374">
            <v>30010</v>
          </cell>
          <cell r="D374" t="str">
            <v>最大最凶</v>
          </cell>
          <cell r="E374" t="str">
            <v>ドロップイベント3（マルチ専用）</v>
          </cell>
          <cell r="F374">
            <v>2</v>
          </cell>
          <cell r="G374" t="str">
            <v>ja</v>
          </cell>
          <cell r="H374" t="str">
            <v>【超級】最大最凶</v>
          </cell>
          <cell r="I374" t="str">
            <v>超級</v>
          </cell>
          <cell r="J374">
            <v>306</v>
          </cell>
          <cell r="K374">
            <v>30</v>
          </cell>
          <cell r="L374">
            <v>3300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none</v>
          </cell>
          <cell r="T374">
            <v>0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2</v>
          </cell>
          <cell r="AD374">
            <v>7</v>
          </cell>
          <cell r="AE374" t="str">
            <v>everyone</v>
          </cell>
        </row>
        <row r="375">
          <cell r="A375" t="str">
            <v>30010_3</v>
          </cell>
          <cell r="B375">
            <v>3</v>
          </cell>
          <cell r="C375">
            <v>30010</v>
          </cell>
          <cell r="D375" t="str">
            <v>最大最凶</v>
          </cell>
          <cell r="E375" t="str">
            <v>ドロップイベント3（マルチ専用）</v>
          </cell>
          <cell r="F375">
            <v>3</v>
          </cell>
          <cell r="G375" t="str">
            <v>ja</v>
          </cell>
          <cell r="H375" t="str">
            <v>【超絶級】最大最凶</v>
          </cell>
          <cell r="I375" t="str">
            <v>超絶級</v>
          </cell>
          <cell r="J375">
            <v>306</v>
          </cell>
          <cell r="K375">
            <v>35</v>
          </cell>
          <cell r="L375">
            <v>4200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polygon</v>
          </cell>
          <cell r="T375">
            <v>1</v>
          </cell>
          <cell r="U375" t="str">
            <v>NULL</v>
          </cell>
          <cell r="V375" t="str">
            <v>NULL</v>
          </cell>
          <cell r="W375" t="str">
            <v/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2</v>
          </cell>
          <cell r="AD375">
            <v>7</v>
          </cell>
          <cell r="AE375" t="str">
            <v>everyone</v>
          </cell>
        </row>
        <row r="376">
          <cell r="A376" t="str">
            <v>30011_1</v>
          </cell>
          <cell r="B376">
            <v>3</v>
          </cell>
          <cell r="C376">
            <v>30011</v>
          </cell>
          <cell r="D376" t="str">
            <v>気怠い巨読者</v>
          </cell>
          <cell r="E376" t="str">
            <v>ドロップイベント3（マルチ専用）</v>
          </cell>
          <cell r="F376">
            <v>1</v>
          </cell>
          <cell r="G376" t="str">
            <v>ja</v>
          </cell>
          <cell r="H376" t="str">
            <v>【上級】気怠い巨読者</v>
          </cell>
          <cell r="I376" t="str">
            <v>上級</v>
          </cell>
          <cell r="J376">
            <v>308</v>
          </cell>
          <cell r="K376">
            <v>20</v>
          </cell>
          <cell r="L376">
            <v>2000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2</v>
          </cell>
          <cell r="S376" t="str">
            <v>none</v>
          </cell>
          <cell r="T376">
            <v>0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19</v>
          </cell>
          <cell r="AD376">
            <v>6</v>
          </cell>
          <cell r="AE376" t="str">
            <v>everyone</v>
          </cell>
        </row>
        <row r="377">
          <cell r="A377" t="str">
            <v>30011_2</v>
          </cell>
          <cell r="B377">
            <v>3</v>
          </cell>
          <cell r="C377">
            <v>30011</v>
          </cell>
          <cell r="D377" t="str">
            <v>気怠い巨読者</v>
          </cell>
          <cell r="E377" t="str">
            <v>ドロップイベント3（マルチ専用）</v>
          </cell>
          <cell r="F377">
            <v>2</v>
          </cell>
          <cell r="G377" t="str">
            <v>ja</v>
          </cell>
          <cell r="H377" t="str">
            <v>【超級】気怠い巨読者</v>
          </cell>
          <cell r="I377" t="str">
            <v>超級</v>
          </cell>
          <cell r="J377">
            <v>308</v>
          </cell>
          <cell r="K377">
            <v>30</v>
          </cell>
          <cell r="L377">
            <v>3300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2</v>
          </cell>
          <cell r="S377" t="str">
            <v>none</v>
          </cell>
          <cell r="T377">
            <v>0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19</v>
          </cell>
          <cell r="AD377">
            <v>6</v>
          </cell>
          <cell r="AE377" t="str">
            <v>everyone</v>
          </cell>
        </row>
        <row r="378">
          <cell r="A378" t="str">
            <v>30011_3</v>
          </cell>
          <cell r="B378">
            <v>3</v>
          </cell>
          <cell r="C378">
            <v>30011</v>
          </cell>
          <cell r="D378" t="str">
            <v>気怠い巨読者</v>
          </cell>
          <cell r="E378" t="str">
            <v>ドロップイベント3（マルチ専用）</v>
          </cell>
          <cell r="F378">
            <v>3</v>
          </cell>
          <cell r="G378" t="str">
            <v>ja</v>
          </cell>
          <cell r="H378" t="str">
            <v>【超絶級】気怠い巨読者</v>
          </cell>
          <cell r="I378" t="str">
            <v>超絶級</v>
          </cell>
          <cell r="J378">
            <v>309</v>
          </cell>
          <cell r="K378">
            <v>35</v>
          </cell>
          <cell r="L378">
            <v>4200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2</v>
          </cell>
          <cell r="S378" t="str">
            <v>polygon</v>
          </cell>
          <cell r="T378">
            <v>1</v>
          </cell>
          <cell r="U378" t="str">
            <v>NULL</v>
          </cell>
          <cell r="V378" t="str">
            <v>NULL</v>
          </cell>
          <cell r="W378" t="str">
            <v/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19</v>
          </cell>
          <cell r="AD378">
            <v>6</v>
          </cell>
          <cell r="AE378" t="str">
            <v>everyone</v>
          </cell>
        </row>
        <row r="379">
          <cell r="A379" t="str">
            <v>30012_1</v>
          </cell>
          <cell r="B379">
            <v>3</v>
          </cell>
          <cell r="C379">
            <v>30012</v>
          </cell>
          <cell r="D379" t="str">
            <v>底なしの胃袋</v>
          </cell>
          <cell r="E379" t="str">
            <v>ドロップイベント3（マルチ専用）</v>
          </cell>
          <cell r="F379">
            <v>1</v>
          </cell>
          <cell r="G379" t="str">
            <v>ja</v>
          </cell>
          <cell r="H379" t="str">
            <v>【上級】底なしの胃袋</v>
          </cell>
          <cell r="I379" t="str">
            <v>上級</v>
          </cell>
          <cell r="J379">
            <v>310</v>
          </cell>
          <cell r="K379">
            <v>20</v>
          </cell>
          <cell r="L379">
            <v>2000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0</v>
          </cell>
          <cell r="R379">
            <v>3</v>
          </cell>
          <cell r="S379" t="str">
            <v>none</v>
          </cell>
          <cell r="T379">
            <v>0</v>
          </cell>
          <cell r="U379" t="str">
            <v>NULL</v>
          </cell>
          <cell r="V379" t="str">
            <v>NULL</v>
          </cell>
          <cell r="W379" t="str">
            <v/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5</v>
          </cell>
          <cell r="AD379">
            <v>6</v>
          </cell>
          <cell r="AE379" t="str">
            <v>everyone</v>
          </cell>
        </row>
        <row r="380">
          <cell r="A380" t="str">
            <v>30012_2</v>
          </cell>
          <cell r="B380">
            <v>3</v>
          </cell>
          <cell r="C380">
            <v>30012</v>
          </cell>
          <cell r="D380" t="str">
            <v>底なしの胃袋</v>
          </cell>
          <cell r="E380" t="str">
            <v>ドロップイベント3（マルチ専用）</v>
          </cell>
          <cell r="F380">
            <v>2</v>
          </cell>
          <cell r="G380" t="str">
            <v>ja</v>
          </cell>
          <cell r="H380" t="str">
            <v>【超級】底なしの胃袋</v>
          </cell>
          <cell r="I380" t="str">
            <v>超級</v>
          </cell>
          <cell r="J380">
            <v>310</v>
          </cell>
          <cell r="K380">
            <v>30</v>
          </cell>
          <cell r="L380">
            <v>3300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0</v>
          </cell>
          <cell r="R380">
            <v>3</v>
          </cell>
          <cell r="S380" t="str">
            <v>none</v>
          </cell>
          <cell r="T380">
            <v>0</v>
          </cell>
          <cell r="U380" t="str">
            <v>NULL</v>
          </cell>
          <cell r="V380" t="str">
            <v>NULL</v>
          </cell>
          <cell r="W380" t="str">
            <v/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5</v>
          </cell>
          <cell r="AD380">
            <v>6</v>
          </cell>
          <cell r="AE380" t="str">
            <v>everyone</v>
          </cell>
        </row>
        <row r="381">
          <cell r="A381" t="str">
            <v>30012_3</v>
          </cell>
          <cell r="B381">
            <v>3</v>
          </cell>
          <cell r="C381">
            <v>30012</v>
          </cell>
          <cell r="D381" t="str">
            <v>底なしの胃袋</v>
          </cell>
          <cell r="E381" t="str">
            <v>ドロップイベント3（マルチ専用）</v>
          </cell>
          <cell r="F381">
            <v>3</v>
          </cell>
          <cell r="G381" t="str">
            <v>ja</v>
          </cell>
          <cell r="H381" t="str">
            <v>【超絶級】底なしの胃袋</v>
          </cell>
          <cell r="I381" t="str">
            <v>超絶級</v>
          </cell>
          <cell r="J381">
            <v>310</v>
          </cell>
          <cell r="K381">
            <v>35</v>
          </cell>
          <cell r="L381">
            <v>4200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0</v>
          </cell>
          <cell r="R381">
            <v>3</v>
          </cell>
          <cell r="S381" t="str">
            <v>polygon</v>
          </cell>
          <cell r="T381">
            <v>1</v>
          </cell>
          <cell r="U381" t="str">
            <v>NULL</v>
          </cell>
          <cell r="V381" t="str">
            <v>NULL</v>
          </cell>
          <cell r="W381" t="str">
            <v/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5</v>
          </cell>
          <cell r="AD381">
            <v>6</v>
          </cell>
          <cell r="AE381" t="str">
            <v>everyone</v>
          </cell>
        </row>
        <row r="382">
          <cell r="A382" t="str">
            <v>30013_1</v>
          </cell>
          <cell r="B382">
            <v>3</v>
          </cell>
          <cell r="C382">
            <v>30013</v>
          </cell>
          <cell r="D382" t="str">
            <v>決戦・竜宮城</v>
          </cell>
          <cell r="E382" t="str">
            <v>ドロップイベント4（マルチ専用）</v>
          </cell>
          <cell r="F382">
            <v>1</v>
          </cell>
          <cell r="G382" t="str">
            <v>ja</v>
          </cell>
          <cell r="H382" t="str">
            <v>【超級】決戦・竜宮城</v>
          </cell>
          <cell r="I382" t="str">
            <v>超級</v>
          </cell>
          <cell r="J382">
            <v>418</v>
          </cell>
          <cell r="K382">
            <v>30</v>
          </cell>
          <cell r="L382">
            <v>3300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none</v>
          </cell>
          <cell r="T382">
            <v>0</v>
          </cell>
          <cell r="U382" t="str">
            <v>NULL</v>
          </cell>
          <cell r="V382" t="str">
            <v>NULL</v>
          </cell>
          <cell r="W382" t="str">
            <v/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17</v>
          </cell>
          <cell r="AD382">
            <v>6</v>
          </cell>
          <cell r="AE382" t="str">
            <v>everyone</v>
          </cell>
        </row>
        <row r="383">
          <cell r="A383" t="str">
            <v>30013_2</v>
          </cell>
          <cell r="B383">
            <v>3</v>
          </cell>
          <cell r="C383">
            <v>30013</v>
          </cell>
          <cell r="D383" t="str">
            <v>決戦・竜宮城</v>
          </cell>
          <cell r="E383" t="str">
            <v>ドロップイベント4（マルチ専用）</v>
          </cell>
          <cell r="F383">
            <v>2</v>
          </cell>
          <cell r="G383" t="str">
            <v>ja</v>
          </cell>
          <cell r="H383" t="str">
            <v>【超絶級】決戦・竜宮城</v>
          </cell>
          <cell r="I383" t="str">
            <v>超絶級</v>
          </cell>
          <cell r="J383">
            <v>419</v>
          </cell>
          <cell r="K383">
            <v>35</v>
          </cell>
          <cell r="L383">
            <v>4200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polygon</v>
          </cell>
          <cell r="T383">
            <v>1</v>
          </cell>
          <cell r="U383" t="str">
            <v>NULL</v>
          </cell>
          <cell r="V383" t="str">
            <v>NULL</v>
          </cell>
          <cell r="W383" t="str">
            <v/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17</v>
          </cell>
          <cell r="AD383">
            <v>6</v>
          </cell>
          <cell r="AE383" t="str">
            <v>everyone</v>
          </cell>
        </row>
        <row r="384">
          <cell r="A384" t="str">
            <v>30014_1</v>
          </cell>
          <cell r="B384">
            <v>3</v>
          </cell>
          <cell r="C384">
            <v>30014</v>
          </cell>
          <cell r="D384" t="str">
            <v>親指を突き立てろ！</v>
          </cell>
          <cell r="E384" t="str">
            <v>ドロップイベント4（マルチ専用）</v>
          </cell>
          <cell r="F384">
            <v>1</v>
          </cell>
          <cell r="G384" t="str">
            <v>ja</v>
          </cell>
          <cell r="H384" t="str">
            <v>【超級】親指を突き立てろ！</v>
          </cell>
          <cell r="I384" t="str">
            <v>超級</v>
          </cell>
          <cell r="J384">
            <v>420</v>
          </cell>
          <cell r="K384">
            <v>30</v>
          </cell>
          <cell r="L384">
            <v>3300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none</v>
          </cell>
          <cell r="T384">
            <v>0</v>
          </cell>
          <cell r="U384" t="str">
            <v>NULL</v>
          </cell>
          <cell r="V384" t="str">
            <v>NULL</v>
          </cell>
          <cell r="W384" t="str">
            <v/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23</v>
          </cell>
          <cell r="AD384">
            <v>5</v>
          </cell>
          <cell r="AE384" t="str">
            <v>everyone</v>
          </cell>
        </row>
        <row r="385">
          <cell r="A385" t="str">
            <v>30014_2</v>
          </cell>
          <cell r="B385">
            <v>3</v>
          </cell>
          <cell r="C385">
            <v>30014</v>
          </cell>
          <cell r="D385" t="str">
            <v>親指を突き立てろ！</v>
          </cell>
          <cell r="E385" t="str">
            <v>ドロップイベント4（マルチ専用）</v>
          </cell>
          <cell r="F385">
            <v>2</v>
          </cell>
          <cell r="G385" t="str">
            <v>ja</v>
          </cell>
          <cell r="H385" t="str">
            <v>【超絶級】親指を突き立てろ！</v>
          </cell>
          <cell r="I385" t="str">
            <v>超絶級</v>
          </cell>
          <cell r="J385">
            <v>421</v>
          </cell>
          <cell r="K385">
            <v>35</v>
          </cell>
          <cell r="L385">
            <v>4200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polygon</v>
          </cell>
          <cell r="T385">
            <v>1</v>
          </cell>
          <cell r="U385" t="str">
            <v>NULL</v>
          </cell>
          <cell r="V385" t="str">
            <v>NULL</v>
          </cell>
          <cell r="W385" t="str">
            <v/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23</v>
          </cell>
          <cell r="AD385">
            <v>5</v>
          </cell>
          <cell r="AE385" t="str">
            <v>everyone</v>
          </cell>
        </row>
        <row r="386">
          <cell r="A386" t="str">
            <v>30015_1</v>
          </cell>
          <cell r="B386">
            <v>3</v>
          </cell>
          <cell r="C386">
            <v>30015</v>
          </cell>
          <cell r="D386" t="str">
            <v>兄妹の大冒険</v>
          </cell>
          <cell r="E386" t="str">
            <v>ドロップイベント4（マルチ専用）</v>
          </cell>
          <cell r="F386">
            <v>1</v>
          </cell>
          <cell r="G386" t="str">
            <v>ja</v>
          </cell>
          <cell r="H386" t="str">
            <v>【超級】兄妹の大冒険</v>
          </cell>
          <cell r="I386" t="str">
            <v>超級</v>
          </cell>
          <cell r="J386">
            <v>422</v>
          </cell>
          <cell r="K386">
            <v>30</v>
          </cell>
          <cell r="L386">
            <v>3300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none</v>
          </cell>
          <cell r="T386">
            <v>0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16</v>
          </cell>
          <cell r="AD386">
            <v>6</v>
          </cell>
          <cell r="AE386" t="str">
            <v>everyone</v>
          </cell>
        </row>
        <row r="387">
          <cell r="A387" t="str">
            <v>30015_2</v>
          </cell>
          <cell r="B387">
            <v>3</v>
          </cell>
          <cell r="C387">
            <v>30015</v>
          </cell>
          <cell r="D387" t="str">
            <v>兄妹の大冒険</v>
          </cell>
          <cell r="E387" t="str">
            <v>ドロップイベント4（マルチ専用）</v>
          </cell>
          <cell r="F387">
            <v>2</v>
          </cell>
          <cell r="G387" t="str">
            <v>ja</v>
          </cell>
          <cell r="H387" t="str">
            <v>【超絶級】兄妹の大冒険</v>
          </cell>
          <cell r="I387" t="str">
            <v>超絶級</v>
          </cell>
          <cell r="J387">
            <v>423</v>
          </cell>
          <cell r="K387">
            <v>35</v>
          </cell>
          <cell r="L387">
            <v>4200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polygon</v>
          </cell>
          <cell r="T387">
            <v>1</v>
          </cell>
          <cell r="U387" t="str">
            <v>NULL</v>
          </cell>
          <cell r="V387" t="str">
            <v>NULL</v>
          </cell>
          <cell r="W387" t="str">
            <v/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16</v>
          </cell>
          <cell r="AD387">
            <v>6</v>
          </cell>
          <cell r="AE387" t="str">
            <v>everyone</v>
          </cell>
        </row>
        <row r="388">
          <cell r="A388" t="str">
            <v>30016_1</v>
          </cell>
          <cell r="B388">
            <v>3</v>
          </cell>
          <cell r="C388">
            <v>30016</v>
          </cell>
          <cell r="D388" t="str">
            <v>私がワニの天敵よ？</v>
          </cell>
          <cell r="E388" t="str">
            <v>ドロップイベント4（マルチ専用）</v>
          </cell>
          <cell r="F388">
            <v>1</v>
          </cell>
          <cell r="G388" t="str">
            <v>ja</v>
          </cell>
          <cell r="H388" t="str">
            <v>【超級】私がワニの天敵よ？</v>
          </cell>
          <cell r="I388" t="str">
            <v>超級</v>
          </cell>
          <cell r="J388">
            <v>424</v>
          </cell>
          <cell r="K388">
            <v>30</v>
          </cell>
          <cell r="L388">
            <v>3300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none</v>
          </cell>
          <cell r="T388">
            <v>0</v>
          </cell>
          <cell r="U388" t="str">
            <v>NULL</v>
          </cell>
          <cell r="V388" t="str">
            <v>NULL</v>
          </cell>
          <cell r="W388" t="str">
            <v/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4</v>
          </cell>
          <cell r="AD388">
            <v>6</v>
          </cell>
          <cell r="AE388" t="str">
            <v>everyone</v>
          </cell>
        </row>
        <row r="389">
          <cell r="A389" t="str">
            <v>30016_2</v>
          </cell>
          <cell r="B389">
            <v>3</v>
          </cell>
          <cell r="C389">
            <v>30016</v>
          </cell>
          <cell r="D389" t="str">
            <v>私がワニの天敵よ？</v>
          </cell>
          <cell r="E389" t="str">
            <v>ドロップイベント4（マルチ専用）</v>
          </cell>
          <cell r="F389">
            <v>2</v>
          </cell>
          <cell r="G389" t="str">
            <v>ja</v>
          </cell>
          <cell r="H389" t="str">
            <v>【超絶級】私がワニの天敵よ？</v>
          </cell>
          <cell r="I389" t="str">
            <v>超絶級</v>
          </cell>
          <cell r="J389">
            <v>425</v>
          </cell>
          <cell r="K389">
            <v>35</v>
          </cell>
          <cell r="L389">
            <v>4200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polygon</v>
          </cell>
          <cell r="T389">
            <v>1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4</v>
          </cell>
          <cell r="AD389">
            <v>6</v>
          </cell>
          <cell r="AE389" t="str">
            <v>everyone</v>
          </cell>
        </row>
        <row r="390">
          <cell r="A390" t="str">
            <v>30017_1</v>
          </cell>
          <cell r="B390">
            <v>3</v>
          </cell>
          <cell r="C390">
            <v>30017</v>
          </cell>
          <cell r="D390" t="str">
            <v>狩人の挽歌</v>
          </cell>
          <cell r="E390" t="str">
            <v>ドロップイベント5（マルチ専用）</v>
          </cell>
          <cell r="F390">
            <v>1</v>
          </cell>
          <cell r="G390" t="str">
            <v>ja</v>
          </cell>
          <cell r="H390" t="str">
            <v>【超級】狩人の挽歌</v>
          </cell>
          <cell r="I390" t="str">
            <v>超級</v>
          </cell>
          <cell r="J390">
            <v>452</v>
          </cell>
          <cell r="K390">
            <v>30</v>
          </cell>
          <cell r="L390">
            <v>3300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none</v>
          </cell>
          <cell r="T390">
            <v>0</v>
          </cell>
          <cell r="U390" t="str">
            <v>NULL</v>
          </cell>
          <cell r="V390" t="str">
            <v>NULL</v>
          </cell>
          <cell r="W390" t="str">
            <v/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20</v>
          </cell>
          <cell r="AD390">
            <v>6</v>
          </cell>
          <cell r="AE390" t="str">
            <v>multionly</v>
          </cell>
        </row>
        <row r="391">
          <cell r="A391" t="str">
            <v>30017_2</v>
          </cell>
          <cell r="B391">
            <v>3</v>
          </cell>
          <cell r="C391">
            <v>30017</v>
          </cell>
          <cell r="D391" t="str">
            <v>狩人の挽歌</v>
          </cell>
          <cell r="E391" t="str">
            <v>ドロップイベント5（マルチ専用）</v>
          </cell>
          <cell r="F391">
            <v>2</v>
          </cell>
          <cell r="G391" t="str">
            <v>ja</v>
          </cell>
          <cell r="H391" t="str">
            <v>【超絶級】狩人の挽歌</v>
          </cell>
          <cell r="I391" t="str">
            <v>超絶級</v>
          </cell>
          <cell r="J391">
            <v>453</v>
          </cell>
          <cell r="K391">
            <v>35</v>
          </cell>
          <cell r="L391">
            <v>4200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polygon</v>
          </cell>
          <cell r="T391">
            <v>1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20</v>
          </cell>
          <cell r="AD391">
            <v>6</v>
          </cell>
          <cell r="AE391" t="str">
            <v>multionly</v>
          </cell>
        </row>
        <row r="392">
          <cell r="A392" t="str">
            <v>30018_1</v>
          </cell>
          <cell r="B392">
            <v>3</v>
          </cell>
          <cell r="C392">
            <v>30018</v>
          </cell>
          <cell r="D392" t="str">
            <v>バックストリートファイト</v>
          </cell>
          <cell r="E392" t="str">
            <v>ドロップイベント5（マルチ専用）</v>
          </cell>
          <cell r="F392">
            <v>1</v>
          </cell>
          <cell r="G392" t="str">
            <v>ja</v>
          </cell>
          <cell r="H392" t="str">
            <v>【超級】バックストリートファイト</v>
          </cell>
          <cell r="I392" t="str">
            <v>超級</v>
          </cell>
          <cell r="J392">
            <v>454</v>
          </cell>
          <cell r="K392">
            <v>30</v>
          </cell>
          <cell r="L392">
            <v>3300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0</v>
          </cell>
          <cell r="R392">
            <v>3</v>
          </cell>
          <cell r="S392" t="str">
            <v>none</v>
          </cell>
          <cell r="T392">
            <v>0</v>
          </cell>
          <cell r="U392" t="str">
            <v>NULL</v>
          </cell>
          <cell r="V392" t="str">
            <v>NULL</v>
          </cell>
          <cell r="W392" t="str">
            <v/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14</v>
          </cell>
          <cell r="AD392">
            <v>6</v>
          </cell>
          <cell r="AE392" t="str">
            <v>everyone</v>
          </cell>
        </row>
        <row r="393">
          <cell r="A393" t="str">
            <v>30018_2</v>
          </cell>
          <cell r="B393">
            <v>3</v>
          </cell>
          <cell r="C393">
            <v>30018</v>
          </cell>
          <cell r="D393" t="str">
            <v>バックストリートファイト</v>
          </cell>
          <cell r="E393" t="str">
            <v>ドロップイベント5（マルチ専用）</v>
          </cell>
          <cell r="F393">
            <v>2</v>
          </cell>
          <cell r="G393" t="str">
            <v>ja</v>
          </cell>
          <cell r="H393" t="str">
            <v>【超絶級】バックストリートファイト</v>
          </cell>
          <cell r="I393" t="str">
            <v>超絶級</v>
          </cell>
          <cell r="J393">
            <v>455</v>
          </cell>
          <cell r="K393">
            <v>35</v>
          </cell>
          <cell r="L393">
            <v>4200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0</v>
          </cell>
          <cell r="R393">
            <v>3</v>
          </cell>
          <cell r="S393" t="str">
            <v>polygon</v>
          </cell>
          <cell r="T393">
            <v>1</v>
          </cell>
          <cell r="U393" t="str">
            <v>NULL</v>
          </cell>
          <cell r="V393" t="str">
            <v>NULL</v>
          </cell>
          <cell r="W393" t="str">
            <v/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14</v>
          </cell>
          <cell r="AD393">
            <v>6</v>
          </cell>
          <cell r="AE393" t="str">
            <v>everyone</v>
          </cell>
        </row>
        <row r="394">
          <cell r="A394" t="str">
            <v>30019_1</v>
          </cell>
          <cell r="B394">
            <v>3</v>
          </cell>
          <cell r="C394">
            <v>30019</v>
          </cell>
          <cell r="D394" t="str">
            <v>狙撃は終わらない</v>
          </cell>
          <cell r="E394" t="str">
            <v>ドロップイベント5（マルチ専用）</v>
          </cell>
          <cell r="F394">
            <v>1</v>
          </cell>
          <cell r="G394" t="str">
            <v>ja</v>
          </cell>
          <cell r="H394" t="str">
            <v>【超級】狙撃は終わらない</v>
          </cell>
          <cell r="I394" t="str">
            <v>超級</v>
          </cell>
          <cell r="J394">
            <v>456</v>
          </cell>
          <cell r="K394">
            <v>30</v>
          </cell>
          <cell r="L394">
            <v>3300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none</v>
          </cell>
          <cell r="T394">
            <v>0</v>
          </cell>
          <cell r="U394" t="str">
            <v>NULL</v>
          </cell>
          <cell r="V394" t="str">
            <v>NULL</v>
          </cell>
          <cell r="W394" t="str">
            <v/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24</v>
          </cell>
          <cell r="AD394">
            <v>6</v>
          </cell>
          <cell r="AE394" t="str">
            <v>multionly</v>
          </cell>
        </row>
        <row r="395">
          <cell r="A395" t="str">
            <v>30019_2</v>
          </cell>
          <cell r="B395">
            <v>3</v>
          </cell>
          <cell r="C395">
            <v>30019</v>
          </cell>
          <cell r="D395" t="str">
            <v>狙撃は終わらない</v>
          </cell>
          <cell r="E395" t="str">
            <v>ドロップイベント5（マルチ専用）</v>
          </cell>
          <cell r="F395">
            <v>2</v>
          </cell>
          <cell r="G395" t="str">
            <v>ja</v>
          </cell>
          <cell r="H395" t="str">
            <v>【超絶級】狙撃は終わらない</v>
          </cell>
          <cell r="I395" t="str">
            <v>超絶級</v>
          </cell>
          <cell r="J395">
            <v>457</v>
          </cell>
          <cell r="K395">
            <v>35</v>
          </cell>
          <cell r="L395">
            <v>4200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polygon</v>
          </cell>
          <cell r="T395">
            <v>1</v>
          </cell>
          <cell r="U395" t="str">
            <v>NULL</v>
          </cell>
          <cell r="V395" t="str">
            <v>NULL</v>
          </cell>
          <cell r="W395" t="str">
            <v/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24</v>
          </cell>
          <cell r="AD395">
            <v>6</v>
          </cell>
          <cell r="AE395" t="str">
            <v>multionly</v>
          </cell>
        </row>
        <row r="396">
          <cell r="A396" t="str">
            <v>30020_1</v>
          </cell>
          <cell r="B396">
            <v>3</v>
          </cell>
          <cell r="C396">
            <v>30020</v>
          </cell>
          <cell r="D396" t="str">
            <v>若造よ、身の程を知れ</v>
          </cell>
          <cell r="E396" t="str">
            <v>ドロップイベント5（マルチ専用）</v>
          </cell>
          <cell r="F396">
            <v>1</v>
          </cell>
          <cell r="G396" t="str">
            <v>ja</v>
          </cell>
          <cell r="H396" t="str">
            <v>【超級】若造よ、身の程を知れ</v>
          </cell>
          <cell r="I396" t="str">
            <v>超級</v>
          </cell>
          <cell r="J396">
            <v>458</v>
          </cell>
          <cell r="K396">
            <v>30</v>
          </cell>
          <cell r="L396">
            <v>3300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none</v>
          </cell>
          <cell r="T396">
            <v>0</v>
          </cell>
          <cell r="U396" t="str">
            <v>NULL</v>
          </cell>
          <cell r="V396" t="str">
            <v>NULL</v>
          </cell>
          <cell r="W396" t="str">
            <v/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13</v>
          </cell>
          <cell r="AD396">
            <v>6</v>
          </cell>
          <cell r="AE396" t="str">
            <v>everyone</v>
          </cell>
        </row>
        <row r="397">
          <cell r="A397" t="str">
            <v>30020_2</v>
          </cell>
          <cell r="B397">
            <v>3</v>
          </cell>
          <cell r="C397">
            <v>30020</v>
          </cell>
          <cell r="D397" t="str">
            <v>若造よ、身の程を知れ</v>
          </cell>
          <cell r="E397" t="str">
            <v>ドロップイベント5（マルチ専用）</v>
          </cell>
          <cell r="F397">
            <v>2</v>
          </cell>
          <cell r="G397" t="str">
            <v>ja</v>
          </cell>
          <cell r="H397" t="str">
            <v>【超絶級】若造よ、身の程を知れ</v>
          </cell>
          <cell r="I397" t="str">
            <v>超絶級</v>
          </cell>
          <cell r="J397">
            <v>459</v>
          </cell>
          <cell r="K397">
            <v>35</v>
          </cell>
          <cell r="L397">
            <v>4200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polygon</v>
          </cell>
          <cell r="T397">
            <v>1</v>
          </cell>
          <cell r="U397" t="str">
            <v>NULL</v>
          </cell>
          <cell r="V397" t="str">
            <v>NULL</v>
          </cell>
          <cell r="W397" t="str">
            <v/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13</v>
          </cell>
          <cell r="AD397">
            <v>6</v>
          </cell>
          <cell r="AE397" t="str">
            <v>everyone</v>
          </cell>
        </row>
        <row r="398">
          <cell r="A398" t="str">
            <v>30021_1</v>
          </cell>
          <cell r="B398">
            <v>3</v>
          </cell>
          <cell r="C398">
            <v>30021</v>
          </cell>
          <cell r="D398" t="str">
            <v>野獣死すべしっ！</v>
          </cell>
          <cell r="E398" t="str">
            <v>ドロップイベント6（マルチ専用）</v>
          </cell>
          <cell r="F398">
            <v>1</v>
          </cell>
          <cell r="G398" t="str">
            <v>ja</v>
          </cell>
          <cell r="H398" t="str">
            <v>【中級】野獣死すべしっ！</v>
          </cell>
          <cell r="I398" t="str">
            <v>中級</v>
          </cell>
          <cell r="J398">
            <v>502</v>
          </cell>
          <cell r="K398">
            <v>15</v>
          </cell>
          <cell r="L398">
            <v>1200</v>
          </cell>
          <cell r="M398">
            <v>1</v>
          </cell>
          <cell r="N398">
            <v>1</v>
          </cell>
          <cell r="O398">
            <v>0</v>
          </cell>
          <cell r="P398">
            <v>1</v>
          </cell>
          <cell r="Q398">
            <v>1</v>
          </cell>
          <cell r="R398">
            <v>3</v>
          </cell>
          <cell r="S398" t="str">
            <v>none</v>
          </cell>
          <cell r="T398">
            <v>0</v>
          </cell>
          <cell r="U398" t="str">
            <v>NULL</v>
          </cell>
          <cell r="V398" t="str">
            <v>NULL</v>
          </cell>
          <cell r="W398" t="str">
            <v/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14</v>
          </cell>
          <cell r="AD398">
            <v>6</v>
          </cell>
          <cell r="AE398" t="str">
            <v>everyone</v>
          </cell>
        </row>
        <row r="399">
          <cell r="A399" t="str">
            <v>30021_2</v>
          </cell>
          <cell r="B399">
            <v>3</v>
          </cell>
          <cell r="C399">
            <v>30021</v>
          </cell>
          <cell r="D399" t="str">
            <v>野獣死すべしっ！</v>
          </cell>
          <cell r="E399" t="str">
            <v>ドロップイベント6（マルチ専用）</v>
          </cell>
          <cell r="F399">
            <v>2</v>
          </cell>
          <cell r="G399" t="str">
            <v>ja</v>
          </cell>
          <cell r="H399" t="str">
            <v>【上級】野獣死すべしっ！</v>
          </cell>
          <cell r="I399" t="str">
            <v>上級</v>
          </cell>
          <cell r="J399">
            <v>502</v>
          </cell>
          <cell r="K399">
            <v>20</v>
          </cell>
          <cell r="L399">
            <v>2000</v>
          </cell>
          <cell r="M399">
            <v>1</v>
          </cell>
          <cell r="N399">
            <v>1</v>
          </cell>
          <cell r="O399">
            <v>0</v>
          </cell>
          <cell r="P399">
            <v>1</v>
          </cell>
          <cell r="Q399">
            <v>1</v>
          </cell>
          <cell r="R399">
            <v>3</v>
          </cell>
          <cell r="S399" t="str">
            <v>none</v>
          </cell>
          <cell r="T399">
            <v>0</v>
          </cell>
          <cell r="U399" t="str">
            <v>NULL</v>
          </cell>
          <cell r="V399" t="str">
            <v>NULL</v>
          </cell>
          <cell r="W399" t="str">
            <v/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14</v>
          </cell>
          <cell r="AD399">
            <v>6</v>
          </cell>
          <cell r="AE399" t="str">
            <v>everyone</v>
          </cell>
        </row>
        <row r="400">
          <cell r="A400" t="str">
            <v>30021_3</v>
          </cell>
          <cell r="B400">
            <v>3</v>
          </cell>
          <cell r="C400">
            <v>30021</v>
          </cell>
          <cell r="D400" t="str">
            <v>野獣死すべしっ！</v>
          </cell>
          <cell r="E400" t="str">
            <v>ドロップイベント6（マルチ専用）</v>
          </cell>
          <cell r="F400">
            <v>3</v>
          </cell>
          <cell r="G400" t="str">
            <v>ja</v>
          </cell>
          <cell r="H400" t="str">
            <v>【超級】野獣死すべしっ！</v>
          </cell>
          <cell r="I400" t="str">
            <v>超級</v>
          </cell>
          <cell r="J400">
            <v>503</v>
          </cell>
          <cell r="K400">
            <v>30</v>
          </cell>
          <cell r="L400">
            <v>3300</v>
          </cell>
          <cell r="M400">
            <v>1</v>
          </cell>
          <cell r="N400">
            <v>1</v>
          </cell>
          <cell r="O400">
            <v>0</v>
          </cell>
          <cell r="P400">
            <v>1</v>
          </cell>
          <cell r="Q400">
            <v>1</v>
          </cell>
          <cell r="R400">
            <v>3</v>
          </cell>
          <cell r="S400" t="str">
            <v>polygon</v>
          </cell>
          <cell r="T400">
            <v>1</v>
          </cell>
          <cell r="U400" t="str">
            <v>NULL</v>
          </cell>
          <cell r="V400" t="str">
            <v>NULL</v>
          </cell>
          <cell r="W400" t="str">
            <v/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14</v>
          </cell>
          <cell r="AD400">
            <v>6</v>
          </cell>
          <cell r="AE400" t="str">
            <v>everyone</v>
          </cell>
        </row>
        <row r="401">
          <cell r="A401" t="str">
            <v>30022_1</v>
          </cell>
          <cell r="B401">
            <v>3</v>
          </cell>
          <cell r="C401">
            <v>30022</v>
          </cell>
          <cell r="D401" t="str">
            <v>凶鼠ネコを咬む</v>
          </cell>
          <cell r="E401" t="str">
            <v>ドロップイベント6（マルチ専用）</v>
          </cell>
          <cell r="F401">
            <v>1</v>
          </cell>
          <cell r="G401" t="str">
            <v>ja</v>
          </cell>
          <cell r="H401" t="str">
            <v>【超級】凶鼠ネコを咬む</v>
          </cell>
          <cell r="I401" t="str">
            <v>超級</v>
          </cell>
          <cell r="J401">
            <v>504</v>
          </cell>
          <cell r="K401">
            <v>30</v>
          </cell>
          <cell r="L401">
            <v>3300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none</v>
          </cell>
          <cell r="T401">
            <v>0</v>
          </cell>
          <cell r="U401" t="str">
            <v>NULL</v>
          </cell>
          <cell r="V401" t="str">
            <v>NULL</v>
          </cell>
          <cell r="W401" t="str">
            <v/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6</v>
          </cell>
          <cell r="AD401">
            <v>6</v>
          </cell>
          <cell r="AE401" t="str">
            <v>everyone</v>
          </cell>
        </row>
        <row r="402">
          <cell r="A402" t="str">
            <v>30022_2</v>
          </cell>
          <cell r="B402">
            <v>3</v>
          </cell>
          <cell r="C402">
            <v>30022</v>
          </cell>
          <cell r="D402" t="str">
            <v>凶鼠ネコを咬む</v>
          </cell>
          <cell r="E402" t="str">
            <v>ドロップイベント6（マルチ専用）</v>
          </cell>
          <cell r="F402">
            <v>2</v>
          </cell>
          <cell r="G402" t="str">
            <v>ja</v>
          </cell>
          <cell r="H402" t="str">
            <v>【超絶級】凶鼠ネコを咬む</v>
          </cell>
          <cell r="I402" t="str">
            <v>超絶級</v>
          </cell>
          <cell r="J402">
            <v>505</v>
          </cell>
          <cell r="K402">
            <v>35</v>
          </cell>
          <cell r="L402">
            <v>4200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polygon</v>
          </cell>
          <cell r="T402">
            <v>1</v>
          </cell>
          <cell r="U402" t="str">
            <v>NULL</v>
          </cell>
          <cell r="V402" t="str">
            <v>NULL</v>
          </cell>
          <cell r="W402" t="str">
            <v/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6</v>
          </cell>
          <cell r="AD402">
            <v>6</v>
          </cell>
          <cell r="AE402" t="str">
            <v>everyone</v>
          </cell>
        </row>
        <row r="403">
          <cell r="A403" t="str">
            <v>30023_1</v>
          </cell>
          <cell r="B403">
            <v>3</v>
          </cell>
          <cell r="C403">
            <v>30023</v>
          </cell>
          <cell r="D403" t="str">
            <v>隔離からのエスケイプ</v>
          </cell>
          <cell r="E403" t="str">
            <v>ドロップイベント6（マルチ専用）</v>
          </cell>
          <cell r="F403">
            <v>1</v>
          </cell>
          <cell r="G403" t="str">
            <v>ja</v>
          </cell>
          <cell r="H403" t="str">
            <v>【中級】隔離からのエスケイプ</v>
          </cell>
          <cell r="I403" t="str">
            <v>中級</v>
          </cell>
          <cell r="J403">
            <v>506</v>
          </cell>
          <cell r="K403">
            <v>15</v>
          </cell>
          <cell r="L403">
            <v>1200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none</v>
          </cell>
          <cell r="T403">
            <v>0</v>
          </cell>
          <cell r="U403" t="str">
            <v>NULL</v>
          </cell>
          <cell r="V403" t="str">
            <v>NULL</v>
          </cell>
          <cell r="W403" t="str">
            <v/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25</v>
          </cell>
          <cell r="AD403">
            <v>6</v>
          </cell>
          <cell r="AE403" t="str">
            <v>everyone</v>
          </cell>
        </row>
        <row r="404">
          <cell r="A404" t="str">
            <v>30023_2</v>
          </cell>
          <cell r="B404">
            <v>3</v>
          </cell>
          <cell r="C404">
            <v>30023</v>
          </cell>
          <cell r="D404" t="str">
            <v>隔離からのエスケイプ</v>
          </cell>
          <cell r="E404" t="str">
            <v>ドロップイベント6（マルチ専用）</v>
          </cell>
          <cell r="F404">
            <v>2</v>
          </cell>
          <cell r="G404" t="str">
            <v>ja</v>
          </cell>
          <cell r="H404" t="str">
            <v>【上級】隔離からのエスケイプ</v>
          </cell>
          <cell r="I404" t="str">
            <v>上級</v>
          </cell>
          <cell r="J404">
            <v>506</v>
          </cell>
          <cell r="K404">
            <v>20</v>
          </cell>
          <cell r="L404">
            <v>2000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none</v>
          </cell>
          <cell r="T404">
            <v>0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25</v>
          </cell>
          <cell r="AD404">
            <v>6</v>
          </cell>
          <cell r="AE404" t="str">
            <v>everyone</v>
          </cell>
        </row>
        <row r="405">
          <cell r="A405" t="str">
            <v>30023_3</v>
          </cell>
          <cell r="B405">
            <v>3</v>
          </cell>
          <cell r="C405">
            <v>30023</v>
          </cell>
          <cell r="D405" t="str">
            <v>隔離からのエスケイプ</v>
          </cell>
          <cell r="E405" t="str">
            <v>ドロップイベント6（マルチ専用）</v>
          </cell>
          <cell r="F405">
            <v>3</v>
          </cell>
          <cell r="G405" t="str">
            <v>ja</v>
          </cell>
          <cell r="H405" t="str">
            <v>【超級】隔離からのエスケイプ</v>
          </cell>
          <cell r="I405" t="str">
            <v>超級</v>
          </cell>
          <cell r="J405">
            <v>507</v>
          </cell>
          <cell r="K405">
            <v>30</v>
          </cell>
          <cell r="L405">
            <v>3300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polygon</v>
          </cell>
          <cell r="T405">
            <v>1</v>
          </cell>
          <cell r="U405" t="str">
            <v>NULL</v>
          </cell>
          <cell r="V405" t="str">
            <v>NULL</v>
          </cell>
          <cell r="W405" t="str">
            <v/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25</v>
          </cell>
          <cell r="AD405">
            <v>6</v>
          </cell>
          <cell r="AE405" t="str">
            <v>everyone</v>
          </cell>
        </row>
        <row r="406">
          <cell r="A406" t="str">
            <v>30024_1</v>
          </cell>
          <cell r="B406">
            <v>3</v>
          </cell>
          <cell r="C406">
            <v>30024</v>
          </cell>
          <cell r="D406" t="str">
            <v>雷鎚の選定</v>
          </cell>
          <cell r="E406" t="str">
            <v>ドロップイベント7（マルチ専用）</v>
          </cell>
          <cell r="F406">
            <v>1</v>
          </cell>
          <cell r="G406" t="str">
            <v>ja</v>
          </cell>
          <cell r="H406" t="str">
            <v>【中級】雷鎚の選定</v>
          </cell>
          <cell r="I406" t="str">
            <v>中級</v>
          </cell>
          <cell r="J406">
            <v>583</v>
          </cell>
          <cell r="K406">
            <v>15</v>
          </cell>
          <cell r="L406">
            <v>1200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none</v>
          </cell>
          <cell r="T406">
            <v>0</v>
          </cell>
          <cell r="U406" t="str">
            <v>NULL</v>
          </cell>
          <cell r="V406" t="str">
            <v>NULL</v>
          </cell>
          <cell r="W406" t="str">
            <v/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20</v>
          </cell>
          <cell r="AD406">
            <v>6</v>
          </cell>
          <cell r="AE406" t="str">
            <v>multionly</v>
          </cell>
        </row>
        <row r="407">
          <cell r="A407" t="str">
            <v>30024_2</v>
          </cell>
          <cell r="B407">
            <v>3</v>
          </cell>
          <cell r="C407">
            <v>30024</v>
          </cell>
          <cell r="D407" t="str">
            <v>雷鎚の選定</v>
          </cell>
          <cell r="E407" t="str">
            <v>ドロップイベント7（マルチ専用）</v>
          </cell>
          <cell r="F407">
            <v>2</v>
          </cell>
          <cell r="G407" t="str">
            <v>ja</v>
          </cell>
          <cell r="H407" t="str">
            <v>【上級】雷鎚の選定</v>
          </cell>
          <cell r="I407" t="str">
            <v>上級</v>
          </cell>
          <cell r="J407">
            <v>583</v>
          </cell>
          <cell r="K407">
            <v>20</v>
          </cell>
          <cell r="L407">
            <v>2000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none</v>
          </cell>
          <cell r="T407">
            <v>0</v>
          </cell>
          <cell r="U407" t="str">
            <v>NULL</v>
          </cell>
          <cell r="V407" t="str">
            <v>NULL</v>
          </cell>
          <cell r="W407" t="str">
            <v/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20</v>
          </cell>
          <cell r="AD407">
            <v>6</v>
          </cell>
          <cell r="AE407" t="str">
            <v>multionly</v>
          </cell>
        </row>
        <row r="408">
          <cell r="A408" t="str">
            <v>30024_3</v>
          </cell>
          <cell r="B408">
            <v>3</v>
          </cell>
          <cell r="C408">
            <v>30024</v>
          </cell>
          <cell r="D408" t="str">
            <v>雷鎚の選定</v>
          </cell>
          <cell r="E408" t="str">
            <v>ドロップイベント7（マルチ専用）</v>
          </cell>
          <cell r="F408">
            <v>3</v>
          </cell>
          <cell r="G408" t="str">
            <v>ja</v>
          </cell>
          <cell r="H408" t="str">
            <v>【超級】雷鎚の選定</v>
          </cell>
          <cell r="I408" t="str">
            <v>超級</v>
          </cell>
          <cell r="J408">
            <v>584</v>
          </cell>
          <cell r="K408">
            <v>30</v>
          </cell>
          <cell r="L408">
            <v>3300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polygon</v>
          </cell>
          <cell r="T408">
            <v>1</v>
          </cell>
          <cell r="U408" t="str">
            <v>NULL</v>
          </cell>
          <cell r="V408" t="str">
            <v>NULL</v>
          </cell>
          <cell r="W408" t="str">
            <v/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20</v>
          </cell>
          <cell r="AD408">
            <v>6</v>
          </cell>
          <cell r="AE408" t="str">
            <v>multionly</v>
          </cell>
        </row>
        <row r="409">
          <cell r="A409" t="str">
            <v>30025_1</v>
          </cell>
          <cell r="B409">
            <v>3</v>
          </cell>
          <cell r="C409">
            <v>30025</v>
          </cell>
          <cell r="D409" t="str">
            <v>真実の探求者</v>
          </cell>
          <cell r="E409" t="str">
            <v>ドロップイベント7（マルチ専用）</v>
          </cell>
          <cell r="F409">
            <v>1</v>
          </cell>
          <cell r="G409" t="str">
            <v>ja</v>
          </cell>
          <cell r="H409" t="str">
            <v>【中級】真実の探求者</v>
          </cell>
          <cell r="I409" t="str">
            <v>中級</v>
          </cell>
          <cell r="J409">
            <v>579</v>
          </cell>
          <cell r="K409">
            <v>15</v>
          </cell>
          <cell r="L409">
            <v>1200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none</v>
          </cell>
          <cell r="T409">
            <v>0</v>
          </cell>
          <cell r="U409" t="str">
            <v>NULL</v>
          </cell>
          <cell r="V409" t="str">
            <v>NULL</v>
          </cell>
          <cell r="W409" t="str">
            <v/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7</v>
          </cell>
          <cell r="AD409">
            <v>6</v>
          </cell>
          <cell r="AE409" t="str">
            <v>everyone</v>
          </cell>
        </row>
        <row r="410">
          <cell r="A410" t="str">
            <v>30025_2</v>
          </cell>
          <cell r="B410">
            <v>3</v>
          </cell>
          <cell r="C410">
            <v>30025</v>
          </cell>
          <cell r="D410" t="str">
            <v>真実の探求者</v>
          </cell>
          <cell r="E410" t="str">
            <v>ドロップイベント7（マルチ専用）</v>
          </cell>
          <cell r="F410">
            <v>2</v>
          </cell>
          <cell r="G410" t="str">
            <v>ja</v>
          </cell>
          <cell r="H410" t="str">
            <v>【上級】真実の探求者</v>
          </cell>
          <cell r="I410" t="str">
            <v>上級</v>
          </cell>
          <cell r="J410">
            <v>579</v>
          </cell>
          <cell r="K410">
            <v>20</v>
          </cell>
          <cell r="L410">
            <v>2000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none</v>
          </cell>
          <cell r="T410">
            <v>0</v>
          </cell>
          <cell r="U410" t="str">
            <v>NULL</v>
          </cell>
          <cell r="V410" t="str">
            <v>NULL</v>
          </cell>
          <cell r="W410" t="str">
            <v/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7</v>
          </cell>
          <cell r="AD410">
            <v>6</v>
          </cell>
          <cell r="AE410" t="str">
            <v>everyone</v>
          </cell>
        </row>
        <row r="411">
          <cell r="A411" t="str">
            <v>30025_3</v>
          </cell>
          <cell r="B411">
            <v>3</v>
          </cell>
          <cell r="C411">
            <v>30025</v>
          </cell>
          <cell r="D411" t="str">
            <v>真実の探求者</v>
          </cell>
          <cell r="E411" t="str">
            <v>ドロップイベント7（マルチ専用）</v>
          </cell>
          <cell r="F411">
            <v>3</v>
          </cell>
          <cell r="G411" t="str">
            <v>ja</v>
          </cell>
          <cell r="H411" t="str">
            <v>【超級】真実の探求者</v>
          </cell>
          <cell r="I411" t="str">
            <v>超級</v>
          </cell>
          <cell r="J411">
            <v>580</v>
          </cell>
          <cell r="K411">
            <v>30</v>
          </cell>
          <cell r="L411">
            <v>3300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polygon</v>
          </cell>
          <cell r="T411">
            <v>1</v>
          </cell>
          <cell r="U411" t="str">
            <v>NULL</v>
          </cell>
          <cell r="V411" t="str">
            <v>NULL</v>
          </cell>
          <cell r="W411" t="str">
            <v/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7</v>
          </cell>
          <cell r="AD411">
            <v>6</v>
          </cell>
          <cell r="AE411" t="str">
            <v>everyone</v>
          </cell>
        </row>
        <row r="412">
          <cell r="A412" t="str">
            <v>30026_1</v>
          </cell>
          <cell r="B412">
            <v>1</v>
          </cell>
          <cell r="C412">
            <v>30026</v>
          </cell>
          <cell r="D412" t="str">
            <v>超級ビュグヴィルとベイラ</v>
          </cell>
          <cell r="E412" t="str">
            <v>ドロップイベント7（マルチ専用）</v>
          </cell>
          <cell r="F412">
            <v>1</v>
          </cell>
          <cell r="G412" t="str">
            <v>ja</v>
          </cell>
          <cell r="H412" t="str">
            <v>【中級】超級ビュグヴィルとベイラ</v>
          </cell>
          <cell r="I412" t="str">
            <v>中級</v>
          </cell>
          <cell r="J412">
            <v>577</v>
          </cell>
          <cell r="K412">
            <v>15</v>
          </cell>
          <cell r="L412">
            <v>1200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none</v>
          </cell>
          <cell r="T412">
            <v>0</v>
          </cell>
          <cell r="U412" t="str">
            <v>NULL</v>
          </cell>
          <cell r="V412" t="str">
            <v>NULL</v>
          </cell>
          <cell r="W412" t="str">
            <v/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7</v>
          </cell>
          <cell r="AD412">
            <v>6</v>
          </cell>
          <cell r="AE412" t="str">
            <v>everyone</v>
          </cell>
        </row>
        <row r="413">
          <cell r="A413" t="str">
            <v>30026_2</v>
          </cell>
          <cell r="B413">
            <v>1</v>
          </cell>
          <cell r="C413">
            <v>30026</v>
          </cell>
          <cell r="D413" t="str">
            <v>超級ビュグヴィルとベイラ</v>
          </cell>
          <cell r="E413" t="str">
            <v>ドロップイベント7（マルチ専用）</v>
          </cell>
          <cell r="F413">
            <v>2</v>
          </cell>
          <cell r="G413" t="str">
            <v>ja</v>
          </cell>
          <cell r="H413" t="str">
            <v>【上級】超級ビュグヴィルとベイラ</v>
          </cell>
          <cell r="I413" t="str">
            <v>上級</v>
          </cell>
          <cell r="J413">
            <v>577</v>
          </cell>
          <cell r="K413">
            <v>20</v>
          </cell>
          <cell r="L413">
            <v>2000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none</v>
          </cell>
          <cell r="T413">
            <v>0</v>
          </cell>
          <cell r="U413" t="str">
            <v>NULL</v>
          </cell>
          <cell r="V413" t="str">
            <v>NULL</v>
          </cell>
          <cell r="W413" t="str">
            <v/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7</v>
          </cell>
          <cell r="AD413">
            <v>6</v>
          </cell>
          <cell r="AE413" t="str">
            <v>everyone</v>
          </cell>
        </row>
        <row r="414">
          <cell r="A414" t="str">
            <v>30026_3</v>
          </cell>
          <cell r="B414">
            <v>1</v>
          </cell>
          <cell r="C414">
            <v>30026</v>
          </cell>
          <cell r="D414" t="str">
            <v>超級ビュグヴィルとベイラ</v>
          </cell>
          <cell r="E414" t="str">
            <v>ドロップイベント7（マルチ専用）</v>
          </cell>
          <cell r="F414">
            <v>3</v>
          </cell>
          <cell r="G414" t="str">
            <v>ja</v>
          </cell>
          <cell r="H414" t="str">
            <v>【超級】超級ビュグヴィルとベイラ</v>
          </cell>
          <cell r="I414" t="str">
            <v>超級</v>
          </cell>
          <cell r="J414">
            <v>578</v>
          </cell>
          <cell r="K414">
            <v>30</v>
          </cell>
          <cell r="L414">
            <v>3300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polygon</v>
          </cell>
          <cell r="T414">
            <v>1</v>
          </cell>
          <cell r="U414" t="str">
            <v>NULL</v>
          </cell>
          <cell r="V414" t="str">
            <v>NULL</v>
          </cell>
          <cell r="W414" t="str">
            <v/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7</v>
          </cell>
          <cell r="AD414">
            <v>6</v>
          </cell>
          <cell r="AE414" t="str">
            <v>everyone</v>
          </cell>
        </row>
        <row r="415">
          <cell r="A415" t="str">
            <v>30027_1</v>
          </cell>
          <cell r="B415">
            <v>1</v>
          </cell>
          <cell r="C415">
            <v>30027</v>
          </cell>
          <cell r="D415" t="str">
            <v>雪女クエスト</v>
          </cell>
          <cell r="E415" t="str">
            <v>ドロップイベント7（マルチ専用）</v>
          </cell>
          <cell r="F415">
            <v>1</v>
          </cell>
          <cell r="G415" t="str">
            <v>ja</v>
          </cell>
          <cell r="H415" t="str">
            <v>【中級】雪女クエスト</v>
          </cell>
          <cell r="I415" t="str">
            <v>中級</v>
          </cell>
          <cell r="J415">
            <v>1</v>
          </cell>
          <cell r="K415">
            <v>15</v>
          </cell>
          <cell r="L415">
            <v>1200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none</v>
          </cell>
          <cell r="T415">
            <v>0</v>
          </cell>
          <cell r="U415" t="str">
            <v>NULL</v>
          </cell>
          <cell r="V415" t="str">
            <v>NULL</v>
          </cell>
          <cell r="W415" t="str">
            <v/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7</v>
          </cell>
          <cell r="AD415">
            <v>6</v>
          </cell>
          <cell r="AE415" t="str">
            <v>everyone</v>
          </cell>
        </row>
        <row r="416">
          <cell r="A416" t="str">
            <v>30027_2</v>
          </cell>
          <cell r="B416">
            <v>1</v>
          </cell>
          <cell r="C416">
            <v>30027</v>
          </cell>
          <cell r="D416" t="str">
            <v>雪女クエスト</v>
          </cell>
          <cell r="E416" t="str">
            <v>ドロップイベント7（マルチ専用）</v>
          </cell>
          <cell r="F416">
            <v>2</v>
          </cell>
          <cell r="G416" t="str">
            <v>ja</v>
          </cell>
          <cell r="H416" t="str">
            <v>【上級】雪女クエスト</v>
          </cell>
          <cell r="I416" t="str">
            <v>上級</v>
          </cell>
          <cell r="J416">
            <v>2</v>
          </cell>
          <cell r="K416">
            <v>20</v>
          </cell>
          <cell r="L416">
            <v>2000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none</v>
          </cell>
          <cell r="T416">
            <v>0</v>
          </cell>
          <cell r="U416" t="str">
            <v>NULL</v>
          </cell>
          <cell r="V416" t="str">
            <v>NULL</v>
          </cell>
          <cell r="W416" t="str">
            <v/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7</v>
          </cell>
          <cell r="AD416">
            <v>6</v>
          </cell>
          <cell r="AE416" t="str">
            <v>everyone</v>
          </cell>
        </row>
        <row r="417">
          <cell r="A417" t="str">
            <v>30027_3</v>
          </cell>
          <cell r="B417">
            <v>1</v>
          </cell>
          <cell r="C417">
            <v>30027</v>
          </cell>
          <cell r="D417" t="str">
            <v>雪女クエスト</v>
          </cell>
          <cell r="E417" t="str">
            <v>ドロップイベント7（マルチ専用）</v>
          </cell>
          <cell r="F417">
            <v>3</v>
          </cell>
          <cell r="G417" t="str">
            <v>ja</v>
          </cell>
          <cell r="H417" t="str">
            <v>【超級】雪女クエスト</v>
          </cell>
          <cell r="I417" t="str">
            <v>超級</v>
          </cell>
          <cell r="J417">
            <v>3</v>
          </cell>
          <cell r="K417">
            <v>30</v>
          </cell>
          <cell r="L417">
            <v>3300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3</v>
          </cell>
          <cell r="S417" t="str">
            <v>polygon</v>
          </cell>
          <cell r="T417">
            <v>1</v>
          </cell>
          <cell r="U417" t="str">
            <v>NULL</v>
          </cell>
          <cell r="V417" t="str">
            <v>NULL</v>
          </cell>
          <cell r="W417" t="str">
            <v/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7</v>
          </cell>
          <cell r="AD417">
            <v>6</v>
          </cell>
          <cell r="AE417" t="str">
            <v>everyone</v>
          </cell>
        </row>
        <row r="418">
          <cell r="A418" t="str">
            <v>39001_1</v>
          </cell>
          <cell r="B418">
            <v>3</v>
          </cell>
          <cell r="C418">
            <v>39001</v>
          </cell>
          <cell r="D418" t="str">
            <v>雪の歌姫</v>
          </cell>
          <cell r="E418" t="str">
            <v>コラボクエスト</v>
          </cell>
          <cell r="F418">
            <v>1</v>
          </cell>
          <cell r="G418" t="str">
            <v>ja</v>
          </cell>
          <cell r="H418" t="str">
            <v>【初級】雪の歌姫</v>
          </cell>
          <cell r="I418" t="str">
            <v>初級</v>
          </cell>
          <cell r="J418">
            <v>525</v>
          </cell>
          <cell r="K418">
            <v>8</v>
          </cell>
          <cell r="L418">
            <v>384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none</v>
          </cell>
          <cell r="T418">
            <v>0</v>
          </cell>
          <cell r="U418" t="str">
            <v>NULL</v>
          </cell>
          <cell r="V418" t="str">
            <v>NULL</v>
          </cell>
          <cell r="W418" t="str">
            <v/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909</v>
          </cell>
          <cell r="AD418">
            <v>6</v>
          </cell>
          <cell r="AE418" t="str">
            <v>everyone</v>
          </cell>
        </row>
        <row r="419">
          <cell r="A419" t="str">
            <v>39001_2</v>
          </cell>
          <cell r="B419">
            <v>3</v>
          </cell>
          <cell r="C419">
            <v>39001</v>
          </cell>
          <cell r="D419" t="str">
            <v>雪の歌姫</v>
          </cell>
          <cell r="E419" t="str">
            <v>コラボクエスト</v>
          </cell>
          <cell r="F419">
            <v>2</v>
          </cell>
          <cell r="G419" t="str">
            <v>ja</v>
          </cell>
          <cell r="H419" t="str">
            <v>【中級】雪の歌姫</v>
          </cell>
          <cell r="I419" t="str">
            <v>中級</v>
          </cell>
          <cell r="J419">
            <v>525</v>
          </cell>
          <cell r="K419">
            <v>15</v>
          </cell>
          <cell r="L419">
            <v>1200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1</v>
          </cell>
          <cell r="R419">
            <v>3</v>
          </cell>
          <cell r="S419" t="str">
            <v>none</v>
          </cell>
          <cell r="T419">
            <v>0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909</v>
          </cell>
          <cell r="AD419">
            <v>6</v>
          </cell>
          <cell r="AE419" t="str">
            <v>everyone</v>
          </cell>
        </row>
        <row r="420">
          <cell r="A420" t="str">
            <v>39001_3</v>
          </cell>
          <cell r="B420">
            <v>3</v>
          </cell>
          <cell r="C420">
            <v>39001</v>
          </cell>
          <cell r="D420" t="str">
            <v>雪の歌姫</v>
          </cell>
          <cell r="E420" t="str">
            <v>コラボクエスト</v>
          </cell>
          <cell r="F420">
            <v>3</v>
          </cell>
          <cell r="G420" t="str">
            <v>ja</v>
          </cell>
          <cell r="H420" t="str">
            <v>【上級】雪の歌姫</v>
          </cell>
          <cell r="I420" t="str">
            <v>上級</v>
          </cell>
          <cell r="J420">
            <v>525</v>
          </cell>
          <cell r="K420">
            <v>20</v>
          </cell>
          <cell r="L420">
            <v>2000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1</v>
          </cell>
          <cell r="R420">
            <v>3</v>
          </cell>
          <cell r="S420" t="str">
            <v>none</v>
          </cell>
          <cell r="T420">
            <v>0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909</v>
          </cell>
          <cell r="AD420">
            <v>6</v>
          </cell>
          <cell r="AE420" t="str">
            <v>everyone</v>
          </cell>
        </row>
        <row r="421">
          <cell r="A421" t="str">
            <v>39001_4</v>
          </cell>
          <cell r="B421">
            <v>3</v>
          </cell>
          <cell r="C421">
            <v>39001</v>
          </cell>
          <cell r="D421" t="str">
            <v>雪の歌姫</v>
          </cell>
          <cell r="E421" t="str">
            <v>コラボクエスト</v>
          </cell>
          <cell r="F421">
            <v>4</v>
          </cell>
          <cell r="G421" t="str">
            <v>ja</v>
          </cell>
          <cell r="H421" t="str">
            <v>【超級】雪の歌姫</v>
          </cell>
          <cell r="I421" t="str">
            <v>超級</v>
          </cell>
          <cell r="J421">
            <v>526</v>
          </cell>
          <cell r="K421">
            <v>30</v>
          </cell>
          <cell r="L421">
            <v>3300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1</v>
          </cell>
          <cell r="R421">
            <v>3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909</v>
          </cell>
          <cell r="AD421">
            <v>6</v>
          </cell>
          <cell r="AE421" t="str">
            <v>everyone</v>
          </cell>
        </row>
        <row r="422">
          <cell r="A422" t="str">
            <v>39001_5</v>
          </cell>
          <cell r="B422">
            <v>3</v>
          </cell>
          <cell r="C422">
            <v>39001</v>
          </cell>
          <cell r="D422" t="str">
            <v>雪の歌姫</v>
          </cell>
          <cell r="E422" t="str">
            <v>コラボクエスト</v>
          </cell>
          <cell r="F422">
            <v>5</v>
          </cell>
          <cell r="G422" t="str">
            <v>ja</v>
          </cell>
          <cell r="H422" t="str">
            <v>【超絶級】雪の歌姫</v>
          </cell>
          <cell r="I422" t="str">
            <v>超絶級</v>
          </cell>
          <cell r="J422">
            <v>526</v>
          </cell>
          <cell r="K422">
            <v>35</v>
          </cell>
          <cell r="L422">
            <v>4200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1</v>
          </cell>
          <cell r="R422">
            <v>3</v>
          </cell>
          <cell r="S422" t="str">
            <v>polygon</v>
          </cell>
          <cell r="T422">
            <v>1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909</v>
          </cell>
          <cell r="AD422">
            <v>6</v>
          </cell>
          <cell r="AE422" t="str">
            <v>everyone</v>
          </cell>
        </row>
        <row r="423">
          <cell r="A423" t="str">
            <v>40001_1</v>
          </cell>
          <cell r="B423">
            <v>3</v>
          </cell>
          <cell r="C423">
            <v>40001</v>
          </cell>
          <cell r="D423" t="str">
            <v>アマテラス襲来！</v>
          </cell>
          <cell r="E423" t="str">
            <v>降臨1</v>
          </cell>
          <cell r="F423">
            <v>1</v>
          </cell>
          <cell r="G423" t="str">
            <v>ja</v>
          </cell>
          <cell r="H423" t="str">
            <v xml:space="preserve">【ウィザード級】アマテラス襲来 </v>
          </cell>
          <cell r="I423" t="str">
            <v>地獄級</v>
          </cell>
          <cell r="J423">
            <v>278</v>
          </cell>
          <cell r="K423">
            <v>35</v>
          </cell>
          <cell r="L423">
            <v>4200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1</v>
          </cell>
          <cell r="R423">
            <v>3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901</v>
          </cell>
          <cell r="AD423">
            <v>6</v>
          </cell>
          <cell r="AE423" t="str">
            <v>everyone</v>
          </cell>
        </row>
        <row r="424">
          <cell r="A424" t="str">
            <v>40002_1</v>
          </cell>
          <cell r="B424">
            <v>3</v>
          </cell>
          <cell r="C424">
            <v>40002</v>
          </cell>
          <cell r="D424" t="str">
            <v>アザゼル襲来！</v>
          </cell>
          <cell r="E424" t="str">
            <v>降臨2</v>
          </cell>
          <cell r="F424">
            <v>1</v>
          </cell>
          <cell r="G424" t="str">
            <v>ja</v>
          </cell>
          <cell r="H424" t="str">
            <v xml:space="preserve">【超級】アザゼル襲来 </v>
          </cell>
          <cell r="I424" t="str">
            <v>超級</v>
          </cell>
          <cell r="J424">
            <v>296</v>
          </cell>
          <cell r="K424">
            <v>25</v>
          </cell>
          <cell r="L424">
            <v>2000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1</v>
          </cell>
          <cell r="R424">
            <v>3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902</v>
          </cell>
          <cell r="AD424">
            <v>6</v>
          </cell>
          <cell r="AE424" t="str">
            <v>everyone</v>
          </cell>
        </row>
        <row r="425">
          <cell r="A425" t="str">
            <v>40002_2</v>
          </cell>
          <cell r="B425">
            <v>3</v>
          </cell>
          <cell r="C425">
            <v>40002</v>
          </cell>
          <cell r="D425" t="str">
            <v>アザゼル襲来！</v>
          </cell>
          <cell r="E425" t="str">
            <v>降臨2</v>
          </cell>
          <cell r="F425">
            <v>2</v>
          </cell>
          <cell r="G425" t="str">
            <v>ja</v>
          </cell>
          <cell r="H425" t="str">
            <v>【超絶級】アザゼル襲来</v>
          </cell>
          <cell r="I425" t="str">
            <v>超絶級</v>
          </cell>
          <cell r="J425">
            <v>297</v>
          </cell>
          <cell r="K425">
            <v>30</v>
          </cell>
          <cell r="L425">
            <v>3300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1</v>
          </cell>
          <cell r="R425">
            <v>3</v>
          </cell>
          <cell r="S425" t="str">
            <v>none</v>
          </cell>
          <cell r="T425">
            <v>0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902</v>
          </cell>
          <cell r="AD425">
            <v>6</v>
          </cell>
          <cell r="AE425" t="str">
            <v>everyone</v>
          </cell>
        </row>
        <row r="426">
          <cell r="A426" t="str">
            <v>40002_3</v>
          </cell>
          <cell r="B426">
            <v>3</v>
          </cell>
          <cell r="C426">
            <v>40002</v>
          </cell>
          <cell r="D426" t="str">
            <v>アザゼル襲来！</v>
          </cell>
          <cell r="E426" t="str">
            <v>降臨2</v>
          </cell>
          <cell r="F426">
            <v>3</v>
          </cell>
          <cell r="G426" t="str">
            <v>ja</v>
          </cell>
          <cell r="H426" t="str">
            <v xml:space="preserve">【ウィザード級】アザゼル襲来 </v>
          </cell>
          <cell r="I426" t="str">
            <v>地獄級</v>
          </cell>
          <cell r="J426">
            <v>297</v>
          </cell>
          <cell r="K426">
            <v>35</v>
          </cell>
          <cell r="L426">
            <v>4200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1</v>
          </cell>
          <cell r="R426">
            <v>3</v>
          </cell>
          <cell r="S426" t="str">
            <v>character</v>
          </cell>
          <cell r="T426">
            <v>296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902</v>
          </cell>
          <cell r="AD426">
            <v>6</v>
          </cell>
          <cell r="AE426" t="str">
            <v>everyone</v>
          </cell>
        </row>
        <row r="427">
          <cell r="A427" t="str">
            <v>40003_1</v>
          </cell>
          <cell r="B427">
            <v>3</v>
          </cell>
          <cell r="C427">
            <v>40003</v>
          </cell>
          <cell r="D427" t="str">
            <v>ジャンヌ襲来！</v>
          </cell>
          <cell r="E427" t="str">
            <v>降臨3</v>
          </cell>
          <cell r="F427">
            <v>1</v>
          </cell>
          <cell r="G427" t="str">
            <v>ja</v>
          </cell>
          <cell r="H427" t="str">
            <v xml:space="preserve">【ウィザード級】ジャンヌ襲来 </v>
          </cell>
          <cell r="I427" t="str">
            <v>地獄級</v>
          </cell>
          <cell r="J427">
            <v>315</v>
          </cell>
          <cell r="K427">
            <v>35</v>
          </cell>
          <cell r="L427">
            <v>4200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1</v>
          </cell>
          <cell r="R427">
            <v>3</v>
          </cell>
          <cell r="S427" t="str">
            <v>character</v>
          </cell>
          <cell r="T427">
            <v>314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903</v>
          </cell>
          <cell r="AD427">
            <v>6</v>
          </cell>
          <cell r="AE427" t="str">
            <v>everyone</v>
          </cell>
        </row>
        <row r="428">
          <cell r="A428" t="str">
            <v>40004_1</v>
          </cell>
          <cell r="B428">
            <v>3</v>
          </cell>
          <cell r="C428">
            <v>40004</v>
          </cell>
          <cell r="D428" t="str">
            <v>宮本武蔵襲来！</v>
          </cell>
          <cell r="E428" t="str">
            <v>降臨4</v>
          </cell>
          <cell r="F428">
            <v>1</v>
          </cell>
          <cell r="G428" t="str">
            <v>ja</v>
          </cell>
          <cell r="H428" t="str">
            <v xml:space="preserve">【ウィザード級】宮本武蔵襲来 </v>
          </cell>
          <cell r="I428" t="str">
            <v>地獄級</v>
          </cell>
          <cell r="J428">
            <v>427</v>
          </cell>
          <cell r="K428">
            <v>35</v>
          </cell>
          <cell r="L428">
            <v>4200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1</v>
          </cell>
          <cell r="R428">
            <v>3</v>
          </cell>
          <cell r="S428" t="str">
            <v>character</v>
          </cell>
          <cell r="T428">
            <v>426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904</v>
          </cell>
          <cell r="AD428">
            <v>6</v>
          </cell>
          <cell r="AE428" t="str">
            <v>everyone</v>
          </cell>
        </row>
        <row r="429">
          <cell r="A429" t="str">
            <v>40005_1</v>
          </cell>
          <cell r="B429">
            <v>3</v>
          </cell>
          <cell r="C429">
            <v>40005</v>
          </cell>
          <cell r="D429" t="str">
            <v>オズ襲来！</v>
          </cell>
          <cell r="E429" t="str">
            <v>降臨5</v>
          </cell>
          <cell r="F429">
            <v>1</v>
          </cell>
          <cell r="G429" t="str">
            <v>ja</v>
          </cell>
          <cell r="H429" t="str">
            <v xml:space="preserve">【ウィザード級】オズ襲来 </v>
          </cell>
          <cell r="I429" t="str">
            <v>地獄級</v>
          </cell>
          <cell r="J429">
            <v>461</v>
          </cell>
          <cell r="K429">
            <v>35</v>
          </cell>
          <cell r="L429">
            <v>4200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1</v>
          </cell>
          <cell r="R429">
            <v>3</v>
          </cell>
          <cell r="S429" t="str">
            <v>character</v>
          </cell>
          <cell r="T429">
            <v>460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906</v>
          </cell>
          <cell r="AD429">
            <v>6</v>
          </cell>
          <cell r="AE429" t="str">
            <v>everyone</v>
          </cell>
        </row>
        <row r="430">
          <cell r="A430" t="str">
            <v>40006_1</v>
          </cell>
          <cell r="B430">
            <v>3</v>
          </cell>
          <cell r="C430">
            <v>40006</v>
          </cell>
          <cell r="D430" t="str">
            <v>アーサー襲来！</v>
          </cell>
          <cell r="E430" t="str">
            <v>降臨6</v>
          </cell>
          <cell r="F430">
            <v>1</v>
          </cell>
          <cell r="G430" t="str">
            <v>ja</v>
          </cell>
          <cell r="H430" t="str">
            <v xml:space="preserve">【ウィザード級】アーサー襲来 </v>
          </cell>
          <cell r="I430" t="str">
            <v>地獄級</v>
          </cell>
          <cell r="J430">
            <v>473</v>
          </cell>
          <cell r="K430">
            <v>35</v>
          </cell>
          <cell r="L430">
            <v>4200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1</v>
          </cell>
          <cell r="R430">
            <v>3</v>
          </cell>
          <cell r="S430" t="str">
            <v>character</v>
          </cell>
          <cell r="T430">
            <v>472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907</v>
          </cell>
          <cell r="AD430">
            <v>6</v>
          </cell>
          <cell r="AE430" t="str">
            <v>everyone</v>
          </cell>
        </row>
        <row r="431">
          <cell r="A431" t="str">
            <v>40007_1</v>
          </cell>
          <cell r="B431">
            <v>3</v>
          </cell>
          <cell r="C431">
            <v>40007</v>
          </cell>
          <cell r="D431" t="str">
            <v>グリム襲来！</v>
          </cell>
          <cell r="E431" t="str">
            <v>降臨7</v>
          </cell>
          <cell r="F431">
            <v>1</v>
          </cell>
          <cell r="G431" t="str">
            <v>ja</v>
          </cell>
          <cell r="H431" t="str">
            <v xml:space="preserve">【ウィザード級】グリム襲来 </v>
          </cell>
          <cell r="I431" t="str">
            <v>地獄級</v>
          </cell>
          <cell r="J431">
            <v>491</v>
          </cell>
          <cell r="K431">
            <v>35</v>
          </cell>
          <cell r="L431">
            <v>4200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1</v>
          </cell>
          <cell r="R431">
            <v>3</v>
          </cell>
          <cell r="S431" t="str">
            <v>character</v>
          </cell>
          <cell r="T431">
            <v>490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908</v>
          </cell>
          <cell r="AD431">
            <v>6</v>
          </cell>
          <cell r="AE431" t="str">
            <v>everyone</v>
          </cell>
        </row>
        <row r="432">
          <cell r="A432" t="str">
            <v>40008_1</v>
          </cell>
          <cell r="B432">
            <v>3</v>
          </cell>
          <cell r="C432">
            <v>40008</v>
          </cell>
          <cell r="D432" t="str">
            <v>Gスター襲来！</v>
          </cell>
          <cell r="E432" t="str">
            <v>降臨8</v>
          </cell>
          <cell r="F432">
            <v>1</v>
          </cell>
          <cell r="G432" t="str">
            <v>ja</v>
          </cell>
          <cell r="H432" t="str">
            <v xml:space="preserve">【ウィザード級】Gスター襲来 </v>
          </cell>
          <cell r="I432" t="str">
            <v>地獄級</v>
          </cell>
          <cell r="J432">
            <v>509</v>
          </cell>
          <cell r="K432">
            <v>35</v>
          </cell>
          <cell r="L432">
            <v>4200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1</v>
          </cell>
          <cell r="R432">
            <v>3</v>
          </cell>
          <cell r="S432" t="str">
            <v>character</v>
          </cell>
          <cell r="T432">
            <v>508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2601</v>
          </cell>
          <cell r="AD432">
            <v>6</v>
          </cell>
          <cell r="AE432" t="str">
            <v>everyone</v>
          </cell>
        </row>
        <row r="433">
          <cell r="A433" t="str">
            <v>40009_1</v>
          </cell>
          <cell r="B433">
            <v>3</v>
          </cell>
          <cell r="C433">
            <v>40009</v>
          </cell>
          <cell r="D433" t="str">
            <v>フギンとムニン襲来！</v>
          </cell>
          <cell r="E433" t="str">
            <v>降臨9</v>
          </cell>
          <cell r="F433">
            <v>1</v>
          </cell>
          <cell r="G433" t="str">
            <v>ja</v>
          </cell>
          <cell r="H433" t="str">
            <v xml:space="preserve">【ウィザード級】フギンとムニン襲来 </v>
          </cell>
          <cell r="I433" t="str">
            <v>地獄級</v>
          </cell>
          <cell r="J433">
            <v>582</v>
          </cell>
          <cell r="K433">
            <v>35</v>
          </cell>
          <cell r="L433">
            <v>4200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1</v>
          </cell>
          <cell r="R433">
            <v>3</v>
          </cell>
          <cell r="S433" t="str">
            <v>character</v>
          </cell>
          <cell r="T433">
            <v>581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25</v>
          </cell>
          <cell r="AD433">
            <v>6</v>
          </cell>
          <cell r="AE433" t="str">
            <v>everyone</v>
          </cell>
        </row>
        <row r="434">
          <cell r="A434" t="str">
            <v>40010_1</v>
          </cell>
          <cell r="B434">
            <v>1</v>
          </cell>
          <cell r="C434">
            <v>40010</v>
          </cell>
          <cell r="D434" t="str">
            <v>フレイ襲来！</v>
          </cell>
          <cell r="E434" t="str">
            <v>降臨10</v>
          </cell>
          <cell r="F434">
            <v>1</v>
          </cell>
          <cell r="G434" t="str">
            <v>ja</v>
          </cell>
          <cell r="H434" t="str">
            <v xml:space="preserve">【ウィザード級】フレイ襲来 </v>
          </cell>
          <cell r="I434" t="str">
            <v>地獄級</v>
          </cell>
          <cell r="J434">
            <v>582</v>
          </cell>
          <cell r="K434">
            <v>35</v>
          </cell>
          <cell r="L434">
            <v>4200</v>
          </cell>
          <cell r="M434">
            <v>1</v>
          </cell>
          <cell r="N434">
            <v>1</v>
          </cell>
          <cell r="O434">
            <v>1</v>
          </cell>
          <cell r="P434">
            <v>0</v>
          </cell>
          <cell r="Q434">
            <v>1</v>
          </cell>
          <cell r="R434">
            <v>3</v>
          </cell>
          <cell r="S434" t="str">
            <v>character</v>
          </cell>
          <cell r="T434">
            <v>581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907</v>
          </cell>
          <cell r="AD434">
            <v>6</v>
          </cell>
          <cell r="AE434" t="str">
            <v>everyone</v>
          </cell>
        </row>
        <row r="435">
          <cell r="A435" t="str">
            <v>49001_1</v>
          </cell>
          <cell r="B435">
            <v>3</v>
          </cell>
          <cell r="C435">
            <v>49001</v>
          </cell>
          <cell r="D435" t="str">
            <v>熱唱！初音ミクV3</v>
          </cell>
          <cell r="E435" t="str">
            <v>コラボ降臨1</v>
          </cell>
          <cell r="F435">
            <v>1</v>
          </cell>
          <cell r="G435" t="str">
            <v>ja</v>
          </cell>
          <cell r="H435" t="str">
            <v>【ウィザード級】熱唱！初音ミクV3</v>
          </cell>
          <cell r="I435" t="str">
            <v>地獄級</v>
          </cell>
          <cell r="J435">
            <v>528</v>
          </cell>
          <cell r="K435">
            <v>35</v>
          </cell>
          <cell r="L435">
            <v>4200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1</v>
          </cell>
          <cell r="R435">
            <v>3</v>
          </cell>
          <cell r="S435" t="str">
            <v>polygon</v>
          </cell>
          <cell r="T435">
            <v>1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910</v>
          </cell>
          <cell r="AD435">
            <v>6</v>
          </cell>
          <cell r="AE435" t="str">
            <v>everyone</v>
          </cell>
        </row>
        <row r="436">
          <cell r="A436" t="str">
            <v>50001_1</v>
          </cell>
          <cell r="B436">
            <v>3</v>
          </cell>
          <cell r="C436">
            <v>50001</v>
          </cell>
          <cell r="D436" t="str">
            <v>麒麟襲来！</v>
          </cell>
          <cell r="E436" t="str">
            <v>超降臨1</v>
          </cell>
          <cell r="F436">
            <v>1</v>
          </cell>
          <cell r="G436" t="str">
            <v>ja</v>
          </cell>
          <cell r="H436" t="str">
            <v xml:space="preserve">【超ウィザード級】麒麟襲来 </v>
          </cell>
          <cell r="I436" t="str">
            <v>超地獄級</v>
          </cell>
          <cell r="J436">
            <v>328</v>
          </cell>
          <cell r="K436">
            <v>40</v>
          </cell>
          <cell r="L436">
            <v>5200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1</v>
          </cell>
          <cell r="R436">
            <v>3</v>
          </cell>
          <cell r="S436" t="str">
            <v>character</v>
          </cell>
          <cell r="T436">
            <v>432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905</v>
          </cell>
          <cell r="AD436">
            <v>6</v>
          </cell>
          <cell r="AE436" t="str">
            <v>everyone</v>
          </cell>
        </row>
        <row r="437">
          <cell r="A437" t="str">
            <v>50002_1</v>
          </cell>
          <cell r="B437">
            <v>3</v>
          </cell>
          <cell r="C437">
            <v>50002</v>
          </cell>
          <cell r="D437" t="str">
            <v>オーディン襲来！</v>
          </cell>
          <cell r="E437" t="str">
            <v>超降臨2</v>
          </cell>
          <cell r="F437">
            <v>1</v>
          </cell>
          <cell r="G437" t="str">
            <v>ja</v>
          </cell>
          <cell r="H437" t="str">
            <v xml:space="preserve">【超ウィザード級】オーディン襲来 </v>
          </cell>
          <cell r="I437" t="str">
            <v>超地獄級</v>
          </cell>
          <cell r="J437">
            <v>331</v>
          </cell>
          <cell r="K437">
            <v>40</v>
          </cell>
          <cell r="L437">
            <v>5200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1</v>
          </cell>
          <cell r="R437">
            <v>3</v>
          </cell>
          <cell r="S437" t="str">
            <v>character</v>
          </cell>
          <cell r="T437">
            <v>573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911</v>
          </cell>
          <cell r="AD437">
            <v>6</v>
          </cell>
          <cell r="AE437" t="str">
            <v>everyone</v>
          </cell>
        </row>
        <row r="438">
          <cell r="A438" t="str">
            <v>65535_1</v>
          </cell>
          <cell r="B438">
            <v>1</v>
          </cell>
          <cell r="C438">
            <v>65535</v>
          </cell>
          <cell r="D438" t="str">
            <v>★検証専用クエスト★</v>
          </cell>
          <cell r="E438" t="str">
            <v>検証</v>
          </cell>
          <cell r="F438">
            <v>1</v>
          </cell>
          <cell r="G438" t="str">
            <v>ja</v>
          </cell>
          <cell r="H438" t="str">
            <v>テンプレート</v>
          </cell>
          <cell r="I438" t="str">
            <v>検証</v>
          </cell>
          <cell r="J438" t="str">
            <v>NULL</v>
          </cell>
          <cell r="K438">
            <v>1</v>
          </cell>
          <cell r="L438">
            <v>1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1</v>
          </cell>
          <cell r="R438">
            <v>3</v>
          </cell>
          <cell r="S438" t="str">
            <v>none</v>
          </cell>
          <cell r="T438">
            <v>0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903</v>
          </cell>
          <cell r="AD438">
            <v>6</v>
          </cell>
          <cell r="AE438" t="str">
            <v>everyone</v>
          </cell>
        </row>
        <row r="439">
          <cell r="A439" t="str">
            <v>65535_2</v>
          </cell>
          <cell r="B439">
            <v>1</v>
          </cell>
          <cell r="C439">
            <v>65535</v>
          </cell>
          <cell r="D439" t="str">
            <v>★検証専用クエスト★</v>
          </cell>
          <cell r="E439" t="str">
            <v>検証</v>
          </cell>
          <cell r="F439">
            <v>2</v>
          </cell>
          <cell r="G439" t="str">
            <v>ja</v>
          </cell>
          <cell r="H439" t="str">
            <v>ランクアップクエスト</v>
          </cell>
          <cell r="I439" t="str">
            <v>検証</v>
          </cell>
          <cell r="J439" t="str">
            <v>NULL</v>
          </cell>
          <cell r="K439">
            <v>1</v>
          </cell>
          <cell r="L439">
            <v>65535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1</v>
          </cell>
          <cell r="R439">
            <v>3</v>
          </cell>
          <cell r="S439" t="str">
            <v>none</v>
          </cell>
          <cell r="T439">
            <v>0</v>
          </cell>
          <cell r="U439" t="str">
            <v>NULL</v>
          </cell>
          <cell r="V439" t="str">
            <v>NULL</v>
          </cell>
          <cell r="W439" t="str">
            <v/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 t="str">
            <v>anytime</v>
          </cell>
          <cell r="AC439">
            <v>903</v>
          </cell>
          <cell r="AD439">
            <v>6</v>
          </cell>
          <cell r="AE439" t="str">
            <v>everyone</v>
          </cell>
        </row>
        <row r="440">
          <cell r="A440" t="str">
            <v>65535_3</v>
          </cell>
          <cell r="B440">
            <v>1</v>
          </cell>
          <cell r="C440">
            <v>65535</v>
          </cell>
          <cell r="D440" t="str">
            <v>★検証専用クエスト★</v>
          </cell>
          <cell r="E440" t="str">
            <v>検証</v>
          </cell>
          <cell r="F440">
            <v>3</v>
          </cell>
          <cell r="G440" t="str">
            <v>ja</v>
          </cell>
          <cell r="H440" t="str">
            <v>サンドボックス</v>
          </cell>
          <cell r="I440" t="str">
            <v>検証</v>
          </cell>
          <cell r="J440" t="str">
            <v>NULL</v>
          </cell>
          <cell r="K440">
            <v>1</v>
          </cell>
          <cell r="L440">
            <v>1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1</v>
          </cell>
          <cell r="R440">
            <v>3</v>
          </cell>
          <cell r="S440" t="str">
            <v>none</v>
          </cell>
          <cell r="T440">
            <v>0</v>
          </cell>
          <cell r="U440" t="str">
            <v>NULL</v>
          </cell>
          <cell r="V440" t="str">
            <v>NULL</v>
          </cell>
          <cell r="W440" t="str">
            <v/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 t="str">
            <v>anytime</v>
          </cell>
          <cell r="AC440">
            <v>105</v>
          </cell>
          <cell r="AD440">
            <v>6</v>
          </cell>
          <cell r="AE440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D13"/>
  <sheetViews>
    <sheetView topLeftCell="A2" workbookViewId="0">
      <selection activeCell="F15" sqref="F15"/>
    </sheetView>
  </sheetViews>
  <sheetFormatPr baseColWidth="12" defaultRowHeight="18" x14ac:dyDescent="0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>
      <c r="A2" s="61" t="s">
        <v>209</v>
      </c>
      <c r="B2" s="57" t="s">
        <v>107</v>
      </c>
      <c r="C2" s="62">
        <v>50002</v>
      </c>
      <c r="D2" s="57" t="s">
        <v>108</v>
      </c>
      <c r="E2" s="56" t="str">
        <f>B2&amp;C2&amp;D2</f>
        <v>floors_50002.tmp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>
      <c r="A3" s="61" t="s">
        <v>209</v>
      </c>
      <c r="B3" s="57" t="s">
        <v>110</v>
      </c>
      <c r="C3" s="62">
        <v>50002</v>
      </c>
      <c r="D3" s="57" t="s">
        <v>108</v>
      </c>
      <c r="E3" s="56" t="str">
        <f>B3&amp;C3&amp;D3</f>
        <v>enemy_habitats_50002.tmp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>
      <c r="A4" s="61" t="s">
        <v>209</v>
      </c>
      <c r="B4" s="57" t="s">
        <v>112</v>
      </c>
      <c r="C4" s="62">
        <v>50002</v>
      </c>
      <c r="D4" s="57" t="s">
        <v>108</v>
      </c>
      <c r="E4" s="56" t="str">
        <f>B4&amp;C4&amp;D4</f>
        <v>enemy_habitat_S_50002.tmp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>
      <c r="A5" s="61" t="s">
        <v>209</v>
      </c>
      <c r="B5" s="57" t="s">
        <v>114</v>
      </c>
      <c r="C5" s="62">
        <v>50002</v>
      </c>
      <c r="D5" s="57" t="s">
        <v>108</v>
      </c>
      <c r="E5" s="56" t="str">
        <f>B5&amp;C5&amp;D5</f>
        <v>enemy_skill_sets_50002.tmp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>
      <c r="A6" s="61" t="s">
        <v>209</v>
      </c>
      <c r="B6" s="57" t="s">
        <v>116</v>
      </c>
      <c r="C6" s="62">
        <v>50002</v>
      </c>
      <c r="D6" s="57" t="s">
        <v>117</v>
      </c>
      <c r="E6" s="56" t="str">
        <f t="shared" ref="E6:E11" si="0">B6&amp;C6&amp;D6</f>
        <v>enemy_skills_tmp_50002.tmp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>
      <c r="A7" s="61" t="s">
        <v>209</v>
      </c>
      <c r="B7" s="57" t="s">
        <v>118</v>
      </c>
      <c r="C7" s="62">
        <v>50002</v>
      </c>
      <c r="D7" s="57" t="s">
        <v>108</v>
      </c>
      <c r="E7" s="56" t="str">
        <f>B7&amp;C7&amp;D7</f>
        <v>enemy_skills_i18n_50002.tmp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>
      <c r="A8" s="61" t="s">
        <v>209</v>
      </c>
      <c r="B8" s="57" t="s">
        <v>120</v>
      </c>
      <c r="C8" s="62">
        <v>50002</v>
      </c>
      <c r="D8" s="57" t="s">
        <v>121</v>
      </c>
      <c r="E8" s="56" t="str">
        <f t="shared" si="0"/>
        <v>enemy_skill_triggers_50002.tmp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>
      <c r="A9" s="61" t="s">
        <v>275</v>
      </c>
      <c r="B9" s="67" t="s">
        <v>178</v>
      </c>
      <c r="C9" s="62">
        <v>50002</v>
      </c>
      <c r="D9" s="67" t="s">
        <v>172</v>
      </c>
      <c r="E9" s="68" t="str">
        <f t="shared" si="0"/>
        <v>stage_bug_bonuses_50002.tmp</v>
      </c>
      <c r="F9" s="67" t="s">
        <v>173</v>
      </c>
      <c r="G9" s="64" t="s">
        <v>151</v>
      </c>
      <c r="H9" s="64" t="s">
        <v>174</v>
      </c>
      <c r="I9" s="64" t="s">
        <v>175</v>
      </c>
      <c r="J9" s="66" t="s">
        <v>176</v>
      </c>
      <c r="K9" s="64" t="s">
        <v>177</v>
      </c>
      <c r="L9" s="64" t="s">
        <v>157</v>
      </c>
      <c r="M9" s="64" t="s">
        <v>158</v>
      </c>
      <c r="N9" s="64" t="s">
        <v>159</v>
      </c>
      <c r="O9" s="64" t="s">
        <v>160</v>
      </c>
      <c r="P9" s="64" t="s">
        <v>161</v>
      </c>
      <c r="Q9" s="64" t="s">
        <v>162</v>
      </c>
      <c r="R9" s="64" t="s">
        <v>163</v>
      </c>
      <c r="S9" s="64" t="s">
        <v>164</v>
      </c>
      <c r="T9" s="64" t="s">
        <v>165</v>
      </c>
      <c r="U9" s="64" t="s">
        <v>166</v>
      </c>
      <c r="V9" s="64" t="s">
        <v>167</v>
      </c>
      <c r="W9" s="64" t="s">
        <v>168</v>
      </c>
    </row>
    <row r="10" spans="1:30" s="75" customFormat="1">
      <c r="A10" s="61" t="s">
        <v>365</v>
      </c>
      <c r="B10" s="67" t="s">
        <v>204</v>
      </c>
      <c r="C10" s="62">
        <v>50002</v>
      </c>
      <c r="D10" s="67" t="s">
        <v>181</v>
      </c>
      <c r="E10" s="68" t="str">
        <f t="shared" si="0"/>
        <v>stage_hints_data_c_50002.tmp</v>
      </c>
      <c r="F10" s="67" t="s">
        <v>207</v>
      </c>
      <c r="G10" s="72" t="s">
        <v>182</v>
      </c>
      <c r="H10" s="72" t="s">
        <v>174</v>
      </c>
      <c r="I10" s="73" t="s">
        <v>183</v>
      </c>
      <c r="J10" s="66" t="s">
        <v>184</v>
      </c>
      <c r="K10" s="74" t="s">
        <v>185</v>
      </c>
    </row>
    <row r="11" spans="1:30" s="75" customFormat="1">
      <c r="A11" s="67" t="s">
        <v>367</v>
      </c>
      <c r="B11" s="67" t="s">
        <v>206</v>
      </c>
      <c r="C11" s="62">
        <v>50002</v>
      </c>
      <c r="D11" s="67" t="s">
        <v>172</v>
      </c>
      <c r="E11" s="68" t="str">
        <f t="shared" si="0"/>
        <v>stage_hints_i18n_50002.tmp</v>
      </c>
      <c r="F11" s="67" t="s">
        <v>371</v>
      </c>
      <c r="G11" s="72" t="s">
        <v>183</v>
      </c>
      <c r="H11" s="72" t="s">
        <v>127</v>
      </c>
      <c r="I11" s="72" t="s">
        <v>187</v>
      </c>
      <c r="J11" s="73" t="s">
        <v>186</v>
      </c>
      <c r="K11" s="58" t="s">
        <v>197</v>
      </c>
    </row>
    <row r="12" spans="1:30" s="75" customFormat="1">
      <c r="A12" s="61" t="s">
        <v>188</v>
      </c>
      <c r="B12" s="67" t="s">
        <v>205</v>
      </c>
      <c r="C12" s="62">
        <v>50002</v>
      </c>
      <c r="D12" s="67" t="s">
        <v>172</v>
      </c>
      <c r="E12" s="68" t="str">
        <f t="shared" ref="E12:E13" si="1">B12&amp;C12&amp;D12</f>
        <v>stage_hints_data_f_50002.tmp</v>
      </c>
      <c r="F12" s="67" t="s">
        <v>208</v>
      </c>
      <c r="G12" s="72" t="s">
        <v>182</v>
      </c>
      <c r="H12" s="72" t="s">
        <v>174</v>
      </c>
      <c r="I12" s="73" t="s">
        <v>183</v>
      </c>
      <c r="J12" s="66" t="s">
        <v>184</v>
      </c>
      <c r="K12" s="74" t="s">
        <v>185</v>
      </c>
    </row>
    <row r="13" spans="1:30" s="75" customFormat="1">
      <c r="A13" s="67" t="s">
        <v>370</v>
      </c>
      <c r="B13" s="67" t="s">
        <v>206</v>
      </c>
      <c r="C13" s="62">
        <v>50002</v>
      </c>
      <c r="D13" s="67" t="s">
        <v>172</v>
      </c>
      <c r="E13" s="68" t="str">
        <f t="shared" si="1"/>
        <v>stage_hints_i18n_50002.tmp</v>
      </c>
      <c r="F13" s="67" t="s">
        <v>369</v>
      </c>
      <c r="G13" s="72" t="s">
        <v>183</v>
      </c>
      <c r="H13" s="72" t="s">
        <v>127</v>
      </c>
      <c r="I13" s="72" t="s">
        <v>187</v>
      </c>
      <c r="J13" s="73" t="s">
        <v>186</v>
      </c>
      <c r="K13" s="58" t="s">
        <v>197</v>
      </c>
    </row>
  </sheetData>
  <phoneticPr fontId="5"/>
  <dataValidations count="1">
    <dataValidation type="list" allowBlank="1" showInputMessage="1" showErrorMessage="1" sqref="A2:A10 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J13" sqref="J13"/>
    </sheetView>
  </sheetViews>
  <sheetFormatPr baseColWidth="12" defaultColWidth="13" defaultRowHeight="21" customHeight="1" outlineLevelCol="1" x14ac:dyDescent="0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>
      <c r="A2" s="16" t="str">
        <f>G2&amp;"-"&amp;I2</f>
        <v>50002_1-1</v>
      </c>
      <c r="B2" s="16" t="str">
        <f>IF(COUNTIF(enemy_habitats!$H:$H,A2),"OK","NG")</f>
        <v>OK</v>
      </c>
      <c r="C2" s="7">
        <v>50002</v>
      </c>
      <c r="D2" s="11" t="e">
        <f ca="1">VLOOKUP($C2,OFFSET([2]quests!$A$1,0,0,COUNTA([2]quests!$A:$A),MATCH(D$1,[2]quests!$1:$1,0)-MATCH($C$1,[2]quests!$1:$1,0)+1),MATCH(D$1,[2]quests!$1:$1,0)-MATCH($C$1,[2]quests!$1:$1,0)+1,FALSE)</f>
        <v>#VALUE!</v>
      </c>
      <c r="E2" s="18" t="e">
        <f ca="1">VLOOKUP($C2,OFFSET([2]quests!$A$1,0,0,COUNTA([2]quests!$A:$A),MATCH(E$1,[2]quests!$1:$1,0)-MATCH($C$1,[2]quests!$1:$1,0)+1),MATCH(E$1,[2]quests!$1:$1,0)-MATCH($C$1,[2]quests!$1:$1,0)+1,FALSE)</f>
        <v>#VALUE!</v>
      </c>
      <c r="F2" s="21">
        <v>1</v>
      </c>
      <c r="G2" s="23" t="str">
        <f>C2&amp;"_"&amp;F2</f>
        <v>50002_1</v>
      </c>
      <c r="H2" s="15" t="e">
        <f ca="1">VLOOKUP($G2,OFFSET([2]stages!$A$1,0,0,COUNTA([2]stages!$A:$A),MATCH(H$1,[2]stages!$2:$2,0)-MATCH($G$1,[2]stages!$2:$2,0)+1),MATCH(H$1,[2]stages!$2:$2,0)-MATCH($G$1,[2]stages!$2:$2,0)+1,FALSE)</f>
        <v>#VALUE!</v>
      </c>
      <c r="I2" s="21">
        <v>1</v>
      </c>
      <c r="J2" s="12">
        <v>60</v>
      </c>
      <c r="K2" s="12">
        <v>60</v>
      </c>
    </row>
    <row r="3" spans="1:11" ht="21" customHeight="1">
      <c r="A3" s="16" t="str">
        <f t="shared" ref="A3:A5" si="0">G3&amp;"-"&amp;I3</f>
        <v>50002_1-2</v>
      </c>
      <c r="B3" s="16" t="str">
        <f>IF(COUNTIF(enemy_habitats!$H:$H,A3),"OK","NG")</f>
        <v>OK</v>
      </c>
      <c r="C3" s="7">
        <v>50002</v>
      </c>
      <c r="D3" s="11" t="e">
        <f ca="1">VLOOKUP($C3,OFFSET([2]quests!$A$1,0,0,COUNTA([2]quests!$A:$A),MATCH(D$1,[2]quests!$1:$1,0)-MATCH($C$1,[2]quests!$1:$1,0)+1),MATCH(D$1,[2]quests!$1:$1,0)-MATCH($C$1,[2]quests!$1:$1,0)+1,FALSE)</f>
        <v>#VALUE!</v>
      </c>
      <c r="E3" s="18" t="e">
        <f ca="1">VLOOKUP($C3,OFFSET([2]quests!$A$1,0,0,COUNTA([2]quests!$A:$A),MATCH(E$1,[2]quests!$1:$1,0)-MATCH($C$1,[2]quests!$1:$1,0)+1),MATCH(E$1,[2]quests!$1:$1,0)-MATCH($C$1,[2]quests!$1:$1,0)+1,FALSE)</f>
        <v>#VALUE!</v>
      </c>
      <c r="F3" s="21">
        <v>1</v>
      </c>
      <c r="G3" s="23" t="str">
        <f t="shared" ref="G3:G5" si="1">C3&amp;"_"&amp;F3</f>
        <v>50002_1</v>
      </c>
      <c r="H3" s="15" t="e">
        <f ca="1">VLOOKUP($G3,OFFSET([2]stages!$A$1,0,0,COUNTA([2]stages!$A:$A),MATCH(H$1,[2]stages!$2:$2,0)-MATCH($G$1,[2]stages!$2:$2,0)+1),MATCH(H$1,[2]stages!$2:$2,0)-MATCH($G$1,[2]stages!$2:$2,0)+1,FALSE)</f>
        <v>#VALUE!</v>
      </c>
      <c r="I3" s="21">
        <v>2</v>
      </c>
      <c r="J3" s="12">
        <v>60</v>
      </c>
      <c r="K3" s="12">
        <v>60</v>
      </c>
    </row>
    <row r="4" spans="1:11" ht="21" customHeight="1">
      <c r="A4" s="16" t="str">
        <f t="shared" si="0"/>
        <v>50002_1-3</v>
      </c>
      <c r="B4" s="16" t="str">
        <f>IF(COUNTIF(enemy_habitats!$H:$H,A4),"OK","NG")</f>
        <v>OK</v>
      </c>
      <c r="C4" s="7">
        <v>50002</v>
      </c>
      <c r="D4" s="11" t="e">
        <f ca="1">VLOOKUP($C4,OFFSET([2]quests!$A$1,0,0,COUNTA([2]quests!$A:$A),MATCH(D$1,[2]quests!$1:$1,0)-MATCH($C$1,[2]quests!$1:$1,0)+1),MATCH(D$1,[2]quests!$1:$1,0)-MATCH($C$1,[2]quests!$1:$1,0)+1,FALSE)</f>
        <v>#VALUE!</v>
      </c>
      <c r="E4" s="18" t="e">
        <f ca="1">VLOOKUP($C4,OFFSET([2]quests!$A$1,0,0,COUNTA([2]quests!$A:$A),MATCH(E$1,[2]quests!$1:$1,0)-MATCH($C$1,[2]quests!$1:$1,0)+1),MATCH(E$1,[2]quests!$1:$1,0)-MATCH($C$1,[2]quests!$1:$1,0)+1,FALSE)</f>
        <v>#VALUE!</v>
      </c>
      <c r="F4" s="21">
        <v>1</v>
      </c>
      <c r="G4" s="23" t="str">
        <f t="shared" si="1"/>
        <v>50002_1</v>
      </c>
      <c r="H4" s="15" t="e">
        <f ca="1">VLOOKUP($G4,OFFSET([2]stages!$A$1,0,0,COUNTA([2]stages!$A:$A),MATCH(H$1,[2]stages!$2:$2,0)-MATCH($G$1,[2]stages!$2:$2,0)+1),MATCH(H$1,[2]stages!$2:$2,0)-MATCH($G$1,[2]stages!$2:$2,0)+1,FALSE)</f>
        <v>#VALUE!</v>
      </c>
      <c r="I4" s="21">
        <v>3</v>
      </c>
      <c r="J4" s="12">
        <v>60</v>
      </c>
      <c r="K4" s="12">
        <v>60</v>
      </c>
    </row>
    <row r="5" spans="1:11" ht="21" customHeight="1">
      <c r="A5" s="16" t="str">
        <f t="shared" si="0"/>
        <v>50002_1-4</v>
      </c>
      <c r="B5" s="16" t="str">
        <f>IF(COUNTIF(enemy_habitats!$H:$H,A5),"OK","NG")</f>
        <v>OK</v>
      </c>
      <c r="C5" s="7">
        <v>50002</v>
      </c>
      <c r="D5" s="11" t="e">
        <f ca="1">VLOOKUP($C5,OFFSET([2]quests!$A$1,0,0,COUNTA([2]quests!$A:$A),MATCH(D$1,[2]quests!$1:$1,0)-MATCH($C$1,[2]quests!$1:$1,0)+1),MATCH(D$1,[2]quests!$1:$1,0)-MATCH($C$1,[2]quests!$1:$1,0)+1,FALSE)</f>
        <v>#VALUE!</v>
      </c>
      <c r="E5" s="18" t="e">
        <f ca="1">VLOOKUP($C5,OFFSET([2]quests!$A$1,0,0,COUNTA([2]quests!$A:$A),MATCH(E$1,[2]quests!$1:$1,0)-MATCH($C$1,[2]quests!$1:$1,0)+1),MATCH(E$1,[2]quests!$1:$1,0)-MATCH($C$1,[2]quests!$1:$1,0)+1,FALSE)</f>
        <v>#VALUE!</v>
      </c>
      <c r="F5" s="21">
        <v>1</v>
      </c>
      <c r="G5" s="23" t="str">
        <f t="shared" si="1"/>
        <v>50002_1</v>
      </c>
      <c r="H5" s="15" t="e">
        <f ca="1">VLOOKUP($G5,OFFSET([2]stages!$A$1,0,0,COUNTA([2]stages!$A:$A),MATCH(H$1,[2]stages!$2:$2,0)-MATCH($G$1,[2]stages!$2:$2,0)+1),MATCH(H$1,[2]stages!$2:$2,0)-MATCH($G$1,[2]stages!$2:$2,0)+1,FALSE)</f>
        <v>#VALUE!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N9"/>
  <sheetViews>
    <sheetView showGridLines="0" workbookViewId="0">
      <pane xSplit="17" ySplit="1" topLeftCell="V2" activePane="bottomRight" state="frozen"/>
      <selection pane="topRight" activeCell="N1" sqref="N1"/>
      <selection pane="bottomLeft" activeCell="A2" sqref="A2"/>
      <selection pane="bottomRight" activeCell="G19" sqref="G19:K20"/>
    </sheetView>
  </sheetViews>
  <sheetFormatPr baseColWidth="12" defaultColWidth="13" defaultRowHeight="21" customHeight="1" outlineLevelCol="1" x14ac:dyDescent="0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180</v>
      </c>
    </row>
    <row r="2" spans="1:40" ht="21" customHeight="1">
      <c r="A2" s="16" t="e">
        <f ca="1">B2&amp;"_"&amp;C2&amp;"-"&amp;G2&amp;"/"&amp;L2&amp;"&lt;lv"&amp;R2&amp;"&gt;s"&amp;AA2</f>
        <v>#VALUE!</v>
      </c>
      <c r="B2" s="22">
        <v>50002</v>
      </c>
      <c r="C2" s="21">
        <v>1</v>
      </c>
      <c r="D2" s="2" t="str">
        <f>B2&amp;"_"&amp;C2</f>
        <v>50002_1</v>
      </c>
      <c r="E2" s="4" t="e">
        <f ca="1">VLOOKUP($B2,OFFSET([2]quests!$A$1,0,0,COUNTA([2]quests!$A:$A),MATCH(E$1,[2]quests!$1:$1,0)-MATCH($B$1,[2]quests!$1:$1,0)+1),MATCH(E$1,[2]quests!$1:$1,0)-MATCH($B$1,[2]quests!$1:$1,0)+1,FALSE)</f>
        <v>#VALUE!</v>
      </c>
      <c r="F2" s="4" t="e">
        <f ca="1">VLOOKUP($D2,OFFSET([2]stages!$A$1,0,0,COUNTA([2]stages!$A:$A),MATCH(F$1,[2]stages!$2:$2,0)-MATCH($D$1,[2]stages!$2:$2,0)+1),MATCH(F$1,[2]stages!$2:$2,0)-MATCH($D$1,[2]stages!$2:$2,0)+1,FALSE)</f>
        <v>#VALUE!</v>
      </c>
      <c r="G2" s="21">
        <v>1</v>
      </c>
      <c r="H2" s="15" t="str">
        <f>B2&amp;"_"&amp;C2&amp;"-"&amp;G2</f>
        <v>50002_1-1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600</v>
      </c>
      <c r="M2" s="17" t="e">
        <f ca="1">VLOOKUP($L2,OFFSET([3]enemies!$A$1,0,0,COUNTA([3]enemies!$A:$A),MATCH(M$1,[3]enemies!$1:$1,0)-MATCH($L$1,[3]enemies!$1:$1,0)+1),MATCH(M$1,[3]enemies!$1:$1,0)-MATCH($L$1,[3]enemies!$1:$1,0)+1,FALSE)</f>
        <v>#VALUE!</v>
      </c>
      <c r="N2" s="17" t="e">
        <f ca="1">VLOOKUP($L2,OFFSET([3]enemies!$A$1,0,0,COUNTA([3]enemies!$A:$A),MATCH(N$1,[3]enemies!$1:$1,0)-MATCH($L$1,[3]enemies!$1:$1,0)+1),MATCH(N$1,[3]enemies!$1:$1,0)-MATCH($L$1,[3]enemies!$1:$1,0)+1,FALSE)</f>
        <v>#VALUE!</v>
      </c>
      <c r="O2" s="17" t="e">
        <f ca="1">VLOOKUP($L2,OFFSET([4]characters!$A$1,0,0,COUNTA([4]characters!$A:$A),MATCH(O$1,[4]characters!$1:$1,0)-MATCH($L$1,[4]characters!$1:$1,0)+1),MATCH(O$1,[4]characters!$1:$1,0)-MATCH($L$1,[4]characters!$1:$1,0)+1,FALSE)</f>
        <v>#VALUE!</v>
      </c>
      <c r="P2" s="17" t="e">
        <f ca="1">VLOOKUP($L2,OFFSET([3]enemies!$A$1,0,0,COUNTA([3]enemies!$A:$A),MATCH(P$1,[3]enemies!$1:$1,0)-MATCH($L$1,[3]enemies!$1:$1,0)+1),MATCH(P$1,[3]enemies!$1:$1,0)-MATCH($L$1,[3]enemies!$1:$1,0)+1,FALSE)</f>
        <v>#VALUE!</v>
      </c>
      <c r="Q2" s="17" t="e">
        <f ca="1">VLOOKUP($L2,OFFSET([3]enemies!$A$1,0,0,COUNTA([3]enemies!$A:$A),MATCH(Q$1,[3]enemies!$1:$1,0)-MATCH($L$1,[3]enemies!$1:$1,0)+1),MATCH(Q$1,[3]enemies!$1:$1,0)-MATCH($L$1,[3]enemies!$1:$1,0)+1,FALSE)</f>
        <v>#VALUE!</v>
      </c>
      <c r="R2" s="5">
        <v>52</v>
      </c>
      <c r="S2" s="25">
        <v>2</v>
      </c>
      <c r="T2" s="25">
        <v>0.8</v>
      </c>
      <c r="U2" s="5">
        <v>0</v>
      </c>
      <c r="V2" s="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2" s="22">
        <v>50002002</v>
      </c>
      <c r="X2" s="6">
        <v>1</v>
      </c>
      <c r="Y2" s="6">
        <v>100</v>
      </c>
      <c r="Z2" s="6">
        <v>1</v>
      </c>
      <c r="AA2" s="17" t="e">
        <f ca="1">VLOOKUP($L2,OFFSET([3]enemies!$A$1,0,0,COUNTA([3]enemies!$A:$A),MATCH(AA$1,[3]enemies!$1:$1,0)-MATCH($L$1,[3]enemies!$1:$1,0)+1),MATCH(AA$1,[3]enemies!$1:$1,0)-MATCH($L$1,[3]enemies!$1:$1,0)+1,FALSE)</f>
        <v>#VALUE!</v>
      </c>
      <c r="AB2" s="24">
        <v>599</v>
      </c>
      <c r="AC2" s="4" t="e">
        <f ca="1">VLOOKUP($AB2,OFFSET([4]characters!$A$1,0,0,COUNTA([4]characters!$A:$A),MATCH(AC$1,[4]characters!$1:$1,0)-MATCH("character_id",[4]characters!$1:$1,0)+1),MATCH(AC$1,[4]characters!$1:$1,0)-MATCH("character_id",[4]characters!$1:$1,0)+1,FALSE)</f>
        <v>#VALUE!</v>
      </c>
      <c r="AD2" s="4" t="e">
        <f ca="1">VLOOKUP($AB2,OFFSET([4]characters!$A$1,0,0,COUNTA([4]characters!$A:$A),MATCH(AD$1,[4]characters!$1:$1,0)-MATCH("character_id",[4]characters!$1:$1,0)+1),MATCH(AD$1,[4]characters!$1:$1,0)-MATCH("character_id",[4]characters!$1:$1,0)+1,FALSE)</f>
        <v>#VALUE!</v>
      </c>
      <c r="AE2" s="4" t="e">
        <f ca="1">VLOOKUP($AB2,OFFSET([4]characters!$A$1,0,0,COUNTA([4]characters!$A:$A),MATCH(AE$1,[4]characters!$1:$1,0)-MATCH("character_id",[4]characters!$1:$1,0)+1),MATCH(AE$1,[4]characters!$1:$1,0)-MATCH("character_id",[4]characters!$1:$1,0)+1,FALSE)</f>
        <v>#VALUE!</v>
      </c>
      <c r="AF2" s="7">
        <v>1</v>
      </c>
      <c r="AG2" s="24" t="e">
        <f ca="1">AD2</f>
        <v>#VALUE!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>
      <c r="A3" s="16" t="e">
        <f t="shared" ref="A3" ca="1" si="0">B3&amp;"_"&amp;C3&amp;"-"&amp;G3&amp;"/"&amp;L3&amp;"&lt;lv"&amp;R3&amp;"&gt;s"&amp;AA3</f>
        <v>#VALUE!</v>
      </c>
      <c r="B3" s="22">
        <v>50002</v>
      </c>
      <c r="C3" s="21">
        <v>1</v>
      </c>
      <c r="D3" s="2" t="str">
        <f t="shared" ref="D3" si="1">B3&amp;"_"&amp;C3</f>
        <v>50002_1</v>
      </c>
      <c r="E3" s="4" t="e">
        <f ca="1">VLOOKUP($B3,OFFSET([2]quests!$A$1,0,0,COUNTA([2]quests!$A:$A),MATCH(E$1,[2]quests!$1:$1,0)-MATCH($B$1,[2]quests!$1:$1,0)+1),MATCH(E$1,[2]quests!$1:$1,0)-MATCH($B$1,[2]quests!$1:$1,0)+1,FALSE)</f>
        <v>#VALUE!</v>
      </c>
      <c r="F3" s="4" t="e">
        <f ca="1">VLOOKUP($D3,OFFSET([2]stages!$A$1,0,0,COUNTA([2]stages!$A:$A),MATCH(F$1,[2]stages!$2:$2,0)-MATCH($D$1,[2]stages!$2:$2,0)+1),MATCH(F$1,[2]stages!$2:$2,0)-MATCH($D$1,[2]stages!$2:$2,0)+1,FALSE)</f>
        <v>#VALUE!</v>
      </c>
      <c r="G3" s="21">
        <v>1</v>
      </c>
      <c r="H3" s="15" t="str">
        <f t="shared" ref="H3" si="2">B3&amp;"_"&amp;C3&amp;"-"&amp;G3</f>
        <v>50002_1-1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210</v>
      </c>
      <c r="L3" s="20">
        <v>5</v>
      </c>
      <c r="M3" s="17" t="e">
        <f ca="1">VLOOKUP($L3,OFFSET([3]enemies!$A$1,0,0,COUNTA([3]enemies!$A:$A),MATCH(M$1,[3]enemies!$1:$1,0)-MATCH($L$1,[3]enemies!$1:$1,0)+1),MATCH(M$1,[3]enemies!$1:$1,0)-MATCH($L$1,[3]enemies!$1:$1,0)+1,FALSE)</f>
        <v>#VALUE!</v>
      </c>
      <c r="N3" s="17" t="e">
        <f ca="1">VLOOKUP($L3,OFFSET([3]enemies!$A$1,0,0,COUNTA([3]enemies!$A:$A),MATCH(N$1,[3]enemies!$1:$1,0)-MATCH($L$1,[3]enemies!$1:$1,0)+1),MATCH(N$1,[3]enemies!$1:$1,0)-MATCH($L$1,[3]enemies!$1:$1,0)+1,FALSE)</f>
        <v>#VALUE!</v>
      </c>
      <c r="O3" s="17" t="e">
        <f ca="1">VLOOKUP($L3,OFFSET([4]characters!$A$1,0,0,COUNTA([4]characters!$A:$A),MATCH(O$1,[4]characters!$1:$1,0)-MATCH($L$1,[4]characters!$1:$1,0)+1),MATCH(O$1,[4]characters!$1:$1,0)-MATCH($L$1,[4]characters!$1:$1,0)+1,FALSE)</f>
        <v>#VALUE!</v>
      </c>
      <c r="P3" s="17" t="e">
        <f ca="1">VLOOKUP($L3,OFFSET([3]enemies!$A$1,0,0,COUNTA([3]enemies!$A:$A),MATCH(P$1,[3]enemies!$1:$1,0)-MATCH($L$1,[3]enemies!$1:$1,0)+1),MATCH(P$1,[3]enemies!$1:$1,0)-MATCH($L$1,[3]enemies!$1:$1,0)+1,FALSE)</f>
        <v>#VALUE!</v>
      </c>
      <c r="Q3" s="17" t="e">
        <f ca="1">VLOOKUP($L3,OFFSET([3]enemies!$A$1,0,0,COUNTA([3]enemies!$A:$A),MATCH(Q$1,[3]enemies!$1:$1,0)-MATCH($L$1,[3]enemies!$1:$1,0)+1),MATCH(Q$1,[3]enemies!$1:$1,0)-MATCH($L$1,[3]enemies!$1:$1,0)+1,FALSE)</f>
        <v>#VALUE!</v>
      </c>
      <c r="R3" s="5">
        <v>60</v>
      </c>
      <c r="S3" s="25">
        <v>1.5</v>
      </c>
      <c r="T3" s="25">
        <v>1.2</v>
      </c>
      <c r="U3" s="5">
        <v>0</v>
      </c>
      <c r="V3" s="4" t="e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3" s="22">
        <v>50002001</v>
      </c>
      <c r="X3" s="6">
        <v>1</v>
      </c>
      <c r="Y3" s="6">
        <v>100</v>
      </c>
      <c r="Z3" s="6">
        <v>0</v>
      </c>
      <c r="AA3" s="17" t="e">
        <f ca="1">VLOOKUP($L3,OFFSET([3]enemies!$A$1,0,0,COUNTA([3]enemies!$A:$A),MATCH(AA$1,[3]enemies!$1:$1,0)-MATCH($L$1,[3]enemies!$1:$1,0)+1),MATCH(AA$1,[3]enemies!$1:$1,0)-MATCH($L$1,[3]enemies!$1:$1,0)+1,FALSE)</f>
        <v>#VALUE!</v>
      </c>
      <c r="AB3" s="24">
        <f t="shared" ref="AB3" si="3">L3</f>
        <v>5</v>
      </c>
      <c r="AC3" s="4" t="e">
        <f ca="1">VLOOKUP($AB3,OFFSET([4]characters!$A$1,0,0,COUNTA([4]characters!$A:$A),MATCH(AC$1,[4]characters!$1:$1,0)-MATCH("character_id",[4]characters!$1:$1,0)+1),MATCH(AC$1,[4]characters!$1:$1,0)-MATCH("character_id",[4]characters!$1:$1,0)+1,FALSE)</f>
        <v>#VALUE!</v>
      </c>
      <c r="AD3" s="4" t="e">
        <f ca="1">VLOOKUP($AB3,OFFSET([4]characters!$A$1,0,0,COUNTA([4]characters!$A:$A),MATCH(AD$1,[4]characters!$1:$1,0)-MATCH("character_id",[4]characters!$1:$1,0)+1),MATCH(AD$1,[4]characters!$1:$1,0)-MATCH("character_id",[4]characters!$1:$1,0)+1,FALSE)</f>
        <v>#VALUE!</v>
      </c>
      <c r="AE3" s="4" t="e">
        <f ca="1">VLOOKUP($AB3,OFFSET([4]characters!$A$1,0,0,COUNTA([4]characters!$A:$A),MATCH(AE$1,[4]characters!$1:$1,0)-MATCH("character_id",[4]characters!$1:$1,0)+1),MATCH(AE$1,[4]characters!$1:$1,0)-MATCH("character_id",[4]characters!$1:$1,0)+1,FALSE)</f>
        <v>#VALUE!</v>
      </c>
      <c r="AF3" s="7">
        <v>1</v>
      </c>
      <c r="AG3" s="24" t="e">
        <f t="shared" ref="AG3" ca="1" si="4">AD3</f>
        <v>#VALUE!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>
      <c r="A4" s="16" t="e">
        <f t="shared" ref="A4" ca="1" si="5">B4&amp;"_"&amp;C4&amp;"-"&amp;G4&amp;"/"&amp;L4&amp;"&lt;lv"&amp;R4&amp;"&gt;s"&amp;AA4</f>
        <v>#VALUE!</v>
      </c>
      <c r="B4" s="22">
        <v>50002</v>
      </c>
      <c r="C4" s="21">
        <v>1</v>
      </c>
      <c r="D4" s="2" t="str">
        <f t="shared" ref="D4" si="6">B4&amp;"_"&amp;C4</f>
        <v>50002_1</v>
      </c>
      <c r="E4" s="4" t="e">
        <f ca="1">VLOOKUP($B4,OFFSET([2]quests!$A$1,0,0,COUNTA([2]quests!$A:$A),MATCH(E$1,[2]quests!$1:$1,0)-MATCH($B$1,[2]quests!$1:$1,0)+1),MATCH(E$1,[2]quests!$1:$1,0)-MATCH($B$1,[2]quests!$1:$1,0)+1,FALSE)</f>
        <v>#VALUE!</v>
      </c>
      <c r="F4" s="4" t="e">
        <f ca="1">VLOOKUP($D4,OFFSET([2]stages!$A$1,0,0,COUNTA([2]stages!$A:$A),MATCH(F$1,[2]stages!$2:$2,0)-MATCH($D$1,[2]stages!$2:$2,0)+1),MATCH(F$1,[2]stages!$2:$2,0)-MATCH($D$1,[2]stages!$2:$2,0)+1,FALSE)</f>
        <v>#VALUE!</v>
      </c>
      <c r="G4" s="21">
        <v>1</v>
      </c>
      <c r="H4" s="15" t="str">
        <f t="shared" ref="H4" si="7">B4&amp;"_"&amp;C4&amp;"-"&amp;G4</f>
        <v>50002_1-1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210</v>
      </c>
      <c r="L4" s="20">
        <v>7</v>
      </c>
      <c r="M4" s="17" t="e">
        <f ca="1">VLOOKUP($L4,OFFSET([3]enemies!$A$1,0,0,COUNTA([3]enemies!$A:$A),MATCH(M$1,[3]enemies!$1:$1,0)-MATCH($L$1,[3]enemies!$1:$1,0)+1),MATCH(M$1,[3]enemies!$1:$1,0)-MATCH($L$1,[3]enemies!$1:$1,0)+1,FALSE)</f>
        <v>#VALUE!</v>
      </c>
      <c r="N4" s="17" t="e">
        <f ca="1">VLOOKUP($L4,OFFSET([3]enemies!$A$1,0,0,COUNTA([3]enemies!$A:$A),MATCH(N$1,[3]enemies!$1:$1,0)-MATCH($L$1,[3]enemies!$1:$1,0)+1),MATCH(N$1,[3]enemies!$1:$1,0)-MATCH($L$1,[3]enemies!$1:$1,0)+1,FALSE)</f>
        <v>#VALUE!</v>
      </c>
      <c r="O4" s="17" t="e">
        <f ca="1">VLOOKUP($L4,OFFSET([4]characters!$A$1,0,0,COUNTA([4]characters!$A:$A),MATCH(O$1,[4]characters!$1:$1,0)-MATCH($L$1,[4]characters!$1:$1,0)+1),MATCH(O$1,[4]characters!$1:$1,0)-MATCH($L$1,[4]characters!$1:$1,0)+1,FALSE)</f>
        <v>#VALUE!</v>
      </c>
      <c r="P4" s="17" t="e">
        <f ca="1">VLOOKUP($L4,OFFSET([3]enemies!$A$1,0,0,COUNTA([3]enemies!$A:$A),MATCH(P$1,[3]enemies!$1:$1,0)-MATCH($L$1,[3]enemies!$1:$1,0)+1),MATCH(P$1,[3]enemies!$1:$1,0)-MATCH($L$1,[3]enemies!$1:$1,0)+1,FALSE)</f>
        <v>#VALUE!</v>
      </c>
      <c r="Q4" s="17" t="e">
        <f ca="1">VLOOKUP($L4,OFFSET([3]enemies!$A$1,0,0,COUNTA([3]enemies!$A:$A),MATCH(Q$1,[3]enemies!$1:$1,0)-MATCH($L$1,[3]enemies!$1:$1,0)+1),MATCH(Q$1,[3]enemies!$1:$1,0)-MATCH($L$1,[3]enemies!$1:$1,0)+1,FALSE)</f>
        <v>#VALUE!</v>
      </c>
      <c r="R4" s="5">
        <v>60</v>
      </c>
      <c r="S4" s="25">
        <v>1.5</v>
      </c>
      <c r="T4" s="25">
        <v>1</v>
      </c>
      <c r="U4" s="5">
        <v>0</v>
      </c>
      <c r="V4" s="4" t="e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4" s="22">
        <v>50002001</v>
      </c>
      <c r="X4" s="6">
        <v>1</v>
      </c>
      <c r="Y4" s="6">
        <v>100</v>
      </c>
      <c r="Z4" s="6">
        <v>0</v>
      </c>
      <c r="AA4" s="17" t="e">
        <f ca="1">VLOOKUP($L4,OFFSET([3]enemies!$A$1,0,0,COUNTA([3]enemies!$A:$A),MATCH(AA$1,[3]enemies!$1:$1,0)-MATCH($L$1,[3]enemies!$1:$1,0)+1),MATCH(AA$1,[3]enemies!$1:$1,0)-MATCH($L$1,[3]enemies!$1:$1,0)+1,FALSE)</f>
        <v>#VALUE!</v>
      </c>
      <c r="AB4" s="24">
        <v>11</v>
      </c>
      <c r="AC4" s="4" t="e">
        <f ca="1">VLOOKUP($AB4,OFFSET([4]characters!$A$1,0,0,COUNTA([4]characters!$A:$A),MATCH(AC$1,[4]characters!$1:$1,0)-MATCH("character_id",[4]characters!$1:$1,0)+1),MATCH(AC$1,[4]characters!$1:$1,0)-MATCH("character_id",[4]characters!$1:$1,0)+1,FALSE)</f>
        <v>#VALUE!</v>
      </c>
      <c r="AD4" s="4" t="e">
        <f ca="1">VLOOKUP($AB4,OFFSET([4]characters!$A$1,0,0,COUNTA([4]characters!$A:$A),MATCH(AD$1,[4]characters!$1:$1,0)-MATCH("character_id",[4]characters!$1:$1,0)+1),MATCH(AD$1,[4]characters!$1:$1,0)-MATCH("character_id",[4]characters!$1:$1,0)+1,FALSE)</f>
        <v>#VALUE!</v>
      </c>
      <c r="AE4" s="4" t="e">
        <f ca="1">VLOOKUP($AB4,OFFSET([4]characters!$A$1,0,0,COUNTA([4]characters!$A:$A),MATCH(AE$1,[4]characters!$1:$1,0)-MATCH("character_id",[4]characters!$1:$1,0)+1),MATCH(AE$1,[4]characters!$1:$1,0)-MATCH("character_id",[4]characters!$1:$1,0)+1,FALSE)</f>
        <v>#VALUE!</v>
      </c>
      <c r="AF4" s="7">
        <v>1</v>
      </c>
      <c r="AG4" s="24" t="e">
        <f t="shared" ref="AG4" ca="1" si="8">AD4</f>
        <v>#VALUE!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>
      <c r="A5" s="16" t="e">
        <f t="shared" ref="A5:A9" ca="1" si="9">B5&amp;"_"&amp;C5&amp;"-"&amp;G5&amp;"/"&amp;L5&amp;"&lt;lv"&amp;R5&amp;"&gt;s"&amp;AA5</f>
        <v>#VALUE!</v>
      </c>
      <c r="B5" s="22">
        <v>50002</v>
      </c>
      <c r="C5" s="21">
        <v>1</v>
      </c>
      <c r="D5" s="2" t="str">
        <f t="shared" ref="D5:D9" si="10">B5&amp;"_"&amp;C5</f>
        <v>50002_1</v>
      </c>
      <c r="E5" s="4" t="e">
        <f ca="1">VLOOKUP($B5,OFFSET([2]quests!$A$1,0,0,COUNTA([2]quests!$A:$A),MATCH(E$1,[2]quests!$1:$1,0)-MATCH($B$1,[2]quests!$1:$1,0)+1),MATCH(E$1,[2]quests!$1:$1,0)-MATCH($B$1,[2]quests!$1:$1,0)+1,FALSE)</f>
        <v>#VALUE!</v>
      </c>
      <c r="F5" s="4" t="e">
        <f ca="1">VLOOKUP($D5,OFFSET([2]stages!$A$1,0,0,COUNTA([2]stages!$A:$A),MATCH(F$1,[2]stages!$2:$2,0)-MATCH($D$1,[2]stages!$2:$2,0)+1),MATCH(F$1,[2]stages!$2:$2,0)-MATCH($D$1,[2]stages!$2:$2,0)+1,FALSE)</f>
        <v>#VALUE!</v>
      </c>
      <c r="G5" s="21">
        <v>2</v>
      </c>
      <c r="H5" s="15" t="str">
        <f t="shared" ref="H5:H9" si="11">B5&amp;"_"&amp;C5&amp;"-"&amp;G5</f>
        <v>50002_1-2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210</v>
      </c>
      <c r="L5" s="20">
        <v>68</v>
      </c>
      <c r="M5" s="17" t="e">
        <f ca="1">VLOOKUP($L5,OFFSET([3]enemies!$A$1,0,0,COUNTA([3]enemies!$A:$A),MATCH(M$1,[3]enemies!$1:$1,0)-MATCH($L$1,[3]enemies!$1:$1,0)+1),MATCH(M$1,[3]enemies!$1:$1,0)-MATCH($L$1,[3]enemies!$1:$1,0)+1,FALSE)</f>
        <v>#VALUE!</v>
      </c>
      <c r="N5" s="17" t="e">
        <f ca="1">VLOOKUP($L5,OFFSET([3]enemies!$A$1,0,0,COUNTA([3]enemies!$A:$A),MATCH(N$1,[3]enemies!$1:$1,0)-MATCH($L$1,[3]enemies!$1:$1,0)+1),MATCH(N$1,[3]enemies!$1:$1,0)-MATCH($L$1,[3]enemies!$1:$1,0)+1,FALSE)</f>
        <v>#VALUE!</v>
      </c>
      <c r="O5" s="17" t="e">
        <f ca="1">VLOOKUP($L5,OFFSET([4]characters!$A$1,0,0,COUNTA([4]characters!$A:$A),MATCH(O$1,[4]characters!$1:$1,0)-MATCH($L$1,[4]characters!$1:$1,0)+1),MATCH(O$1,[4]characters!$1:$1,0)-MATCH($L$1,[4]characters!$1:$1,0)+1,FALSE)</f>
        <v>#VALUE!</v>
      </c>
      <c r="P5" s="17" t="e">
        <f ca="1">VLOOKUP($L5,OFFSET([3]enemies!$A$1,0,0,COUNTA([3]enemies!$A:$A),MATCH(P$1,[3]enemies!$1:$1,0)-MATCH($L$1,[3]enemies!$1:$1,0)+1),MATCH(P$1,[3]enemies!$1:$1,0)-MATCH($L$1,[3]enemies!$1:$1,0)+1,FALSE)</f>
        <v>#VALUE!</v>
      </c>
      <c r="Q5" s="17" t="e">
        <f ca="1">VLOOKUP($L5,OFFSET([3]enemies!$A$1,0,0,COUNTA([3]enemies!$A:$A),MATCH(Q$1,[3]enemies!$1:$1,0)-MATCH($L$1,[3]enemies!$1:$1,0)+1),MATCH(Q$1,[3]enemies!$1:$1,0)-MATCH($L$1,[3]enemies!$1:$1,0)+1,FALSE)</f>
        <v>#VALUE!</v>
      </c>
      <c r="R5" s="5">
        <v>65</v>
      </c>
      <c r="S5" s="25">
        <v>1.5</v>
      </c>
      <c r="T5" s="25">
        <v>1</v>
      </c>
      <c r="U5" s="5">
        <v>0</v>
      </c>
      <c r="V5" s="4" t="e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5" s="22">
        <v>50002003</v>
      </c>
      <c r="X5" s="6">
        <v>1</v>
      </c>
      <c r="Y5" s="6">
        <v>100</v>
      </c>
      <c r="Z5" s="6">
        <v>0</v>
      </c>
      <c r="AA5" s="17" t="e">
        <f ca="1">VLOOKUP($L5,OFFSET([3]enemies!$A$1,0,0,COUNTA([3]enemies!$A:$A),MATCH(AA$1,[3]enemies!$1:$1,0)-MATCH($L$1,[3]enemies!$1:$1,0)+1),MATCH(AA$1,[3]enemies!$1:$1,0)-MATCH($L$1,[3]enemies!$1:$1,0)+1,FALSE)</f>
        <v>#VALUE!</v>
      </c>
      <c r="AB5" s="24">
        <v>68</v>
      </c>
      <c r="AC5" s="4" t="e">
        <f ca="1">VLOOKUP($AB5,OFFSET([4]characters!$A$1,0,0,COUNTA([4]characters!$A:$A),MATCH(AC$1,[4]characters!$1:$1,0)-MATCH("character_id",[4]characters!$1:$1,0)+1),MATCH(AC$1,[4]characters!$1:$1,0)-MATCH("character_id",[4]characters!$1:$1,0)+1,FALSE)</f>
        <v>#VALUE!</v>
      </c>
      <c r="AD5" s="4" t="e">
        <f ca="1">VLOOKUP($AB5,OFFSET([4]characters!$A$1,0,0,COUNTA([4]characters!$A:$A),MATCH(AD$1,[4]characters!$1:$1,0)-MATCH("character_id",[4]characters!$1:$1,0)+1),MATCH(AD$1,[4]characters!$1:$1,0)-MATCH("character_id",[4]characters!$1:$1,0)+1,FALSE)</f>
        <v>#VALUE!</v>
      </c>
      <c r="AE5" s="4" t="e">
        <f ca="1">VLOOKUP($AB5,OFFSET([4]characters!$A$1,0,0,COUNTA([4]characters!$A:$A),MATCH(AE$1,[4]characters!$1:$1,0)-MATCH("character_id",[4]characters!$1:$1,0)+1),MATCH(AE$1,[4]characters!$1:$1,0)-MATCH("character_id",[4]characters!$1:$1,0)+1,FALSE)</f>
        <v>#VALUE!</v>
      </c>
      <c r="AF5" s="7">
        <v>1</v>
      </c>
      <c r="AG5" s="24" t="e">
        <f t="shared" ref="AG5:AG9" ca="1" si="12">AD5</f>
        <v>#VALUE!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>
      <c r="A6" s="16" t="e">
        <f t="shared" ref="A6" ca="1" si="13">B6&amp;"_"&amp;C6&amp;"-"&amp;G6&amp;"/"&amp;L6&amp;"&lt;lv"&amp;R6&amp;"&gt;s"&amp;AA6</f>
        <v>#VALUE!</v>
      </c>
      <c r="B6" s="22">
        <v>50002</v>
      </c>
      <c r="C6" s="21">
        <v>1</v>
      </c>
      <c r="D6" s="2" t="str">
        <f t="shared" ref="D6" si="14">B6&amp;"_"&amp;C6</f>
        <v>50002_1</v>
      </c>
      <c r="E6" s="4" t="e">
        <f ca="1">VLOOKUP($B6,OFFSET([2]quests!$A$1,0,0,COUNTA([2]quests!$A:$A),MATCH(E$1,[2]quests!$1:$1,0)-MATCH($B$1,[2]quests!$1:$1,0)+1),MATCH(E$1,[2]quests!$1:$1,0)-MATCH($B$1,[2]quests!$1:$1,0)+1,FALSE)</f>
        <v>#VALUE!</v>
      </c>
      <c r="F6" s="4" t="e">
        <f ca="1">VLOOKUP($D6,OFFSET([2]stages!$A$1,0,0,COUNTA([2]stages!$A:$A),MATCH(F$1,[2]stages!$2:$2,0)-MATCH($D$1,[2]stages!$2:$2,0)+1),MATCH(F$1,[2]stages!$2:$2,0)-MATCH($D$1,[2]stages!$2:$2,0)+1,FALSE)</f>
        <v>#VALUE!</v>
      </c>
      <c r="G6" s="21">
        <v>2</v>
      </c>
      <c r="H6" s="15" t="str">
        <f t="shared" ref="H6" si="15">B6&amp;"_"&amp;C6&amp;"-"&amp;G6</f>
        <v>50002_1-2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210</v>
      </c>
      <c r="L6" s="20">
        <v>68</v>
      </c>
      <c r="M6" s="17" t="e">
        <f ca="1">VLOOKUP($L6,OFFSET([3]enemies!$A$1,0,0,COUNTA([3]enemies!$A:$A),MATCH(M$1,[3]enemies!$1:$1,0)-MATCH($L$1,[3]enemies!$1:$1,0)+1),MATCH(M$1,[3]enemies!$1:$1,0)-MATCH($L$1,[3]enemies!$1:$1,0)+1,FALSE)</f>
        <v>#VALUE!</v>
      </c>
      <c r="N6" s="17" t="e">
        <f ca="1">VLOOKUP($L6,OFFSET([3]enemies!$A$1,0,0,COUNTA([3]enemies!$A:$A),MATCH(N$1,[3]enemies!$1:$1,0)-MATCH($L$1,[3]enemies!$1:$1,0)+1),MATCH(N$1,[3]enemies!$1:$1,0)-MATCH($L$1,[3]enemies!$1:$1,0)+1,FALSE)</f>
        <v>#VALUE!</v>
      </c>
      <c r="O6" s="17" t="e">
        <f ca="1">VLOOKUP($L6,OFFSET([4]characters!$A$1,0,0,COUNTA([4]characters!$A:$A),MATCH(O$1,[4]characters!$1:$1,0)-MATCH($L$1,[4]characters!$1:$1,0)+1),MATCH(O$1,[4]characters!$1:$1,0)-MATCH($L$1,[4]characters!$1:$1,0)+1,FALSE)</f>
        <v>#VALUE!</v>
      </c>
      <c r="P6" s="17" t="e">
        <f ca="1">VLOOKUP($L6,OFFSET([3]enemies!$A$1,0,0,COUNTA([3]enemies!$A:$A),MATCH(P$1,[3]enemies!$1:$1,0)-MATCH($L$1,[3]enemies!$1:$1,0)+1),MATCH(P$1,[3]enemies!$1:$1,0)-MATCH($L$1,[3]enemies!$1:$1,0)+1,FALSE)</f>
        <v>#VALUE!</v>
      </c>
      <c r="Q6" s="17" t="e">
        <f ca="1">VLOOKUP($L6,OFFSET([3]enemies!$A$1,0,0,COUNTA([3]enemies!$A:$A),MATCH(Q$1,[3]enemies!$1:$1,0)-MATCH($L$1,[3]enemies!$1:$1,0)+1),MATCH(Q$1,[3]enemies!$1:$1,0)-MATCH($L$1,[3]enemies!$1:$1,0)+1,FALSE)</f>
        <v>#VALUE!</v>
      </c>
      <c r="R6" s="5">
        <v>66</v>
      </c>
      <c r="S6" s="25">
        <v>1.5</v>
      </c>
      <c r="T6" s="25">
        <v>1</v>
      </c>
      <c r="U6" s="5">
        <v>0</v>
      </c>
      <c r="V6" s="4" t="e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6" s="22">
        <v>50002004</v>
      </c>
      <c r="X6" s="6">
        <v>1</v>
      </c>
      <c r="Y6" s="6">
        <v>100</v>
      </c>
      <c r="Z6" s="6">
        <v>0</v>
      </c>
      <c r="AA6" s="17" t="e">
        <f ca="1">VLOOKUP($L6,OFFSET([3]enemies!$A$1,0,0,COUNTA([3]enemies!$A:$A),MATCH(AA$1,[3]enemies!$1:$1,0)-MATCH($L$1,[3]enemies!$1:$1,0)+1),MATCH(AA$1,[3]enemies!$1:$1,0)-MATCH($L$1,[3]enemies!$1:$1,0)+1,FALSE)</f>
        <v>#VALUE!</v>
      </c>
      <c r="AB6" s="24">
        <v>68</v>
      </c>
      <c r="AC6" s="4" t="e">
        <f ca="1">VLOOKUP($AB6,OFFSET([4]characters!$A$1,0,0,COUNTA([4]characters!$A:$A),MATCH(AC$1,[4]characters!$1:$1,0)-MATCH("character_id",[4]characters!$1:$1,0)+1),MATCH(AC$1,[4]characters!$1:$1,0)-MATCH("character_id",[4]characters!$1:$1,0)+1,FALSE)</f>
        <v>#VALUE!</v>
      </c>
      <c r="AD6" s="4" t="e">
        <f ca="1">VLOOKUP($AB6,OFFSET([4]characters!$A$1,0,0,COUNTA([4]characters!$A:$A),MATCH(AD$1,[4]characters!$1:$1,0)-MATCH("character_id",[4]characters!$1:$1,0)+1),MATCH(AD$1,[4]characters!$1:$1,0)-MATCH("character_id",[4]characters!$1:$1,0)+1,FALSE)</f>
        <v>#VALUE!</v>
      </c>
      <c r="AE6" s="4" t="e">
        <f ca="1">VLOOKUP($AB6,OFFSET([4]characters!$A$1,0,0,COUNTA([4]characters!$A:$A),MATCH(AE$1,[4]characters!$1:$1,0)-MATCH("character_id",[4]characters!$1:$1,0)+1),MATCH(AE$1,[4]characters!$1:$1,0)-MATCH("character_id",[4]characters!$1:$1,0)+1,FALSE)</f>
        <v>#VALUE!</v>
      </c>
      <c r="AF6" s="7">
        <v>1</v>
      </c>
      <c r="AG6" s="24" t="e">
        <f t="shared" ref="AG6" ca="1" si="16">AD6</f>
        <v>#VALUE!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>
      <c r="A7" s="16" t="str">
        <f t="shared" ref="A7" si="17">B7&amp;"_"&amp;C7&amp;"-"&amp;G7&amp;"/"&amp;L7&amp;"&lt;lv"&amp;R7&amp;"&gt;s"&amp;AA7</f>
        <v>50002_1-2/245&lt;lv70&gt;s1</v>
      </c>
      <c r="B7" s="22">
        <v>50002</v>
      </c>
      <c r="C7" s="21">
        <v>1</v>
      </c>
      <c r="D7" s="2" t="str">
        <f t="shared" ref="D7" si="18">B7&amp;"_"&amp;C7</f>
        <v>50002_1</v>
      </c>
      <c r="E7" s="4" t="e">
        <f ca="1">VLOOKUP($B7,OFFSET([2]quests!$A$1,0,0,COUNTA([2]quests!$A:$A),MATCH(E$1,[2]quests!$1:$1,0)-MATCH($B$1,[2]quests!$1:$1,0)+1),MATCH(E$1,[2]quests!$1:$1,0)-MATCH($B$1,[2]quests!$1:$1,0)+1,FALSE)</f>
        <v>#VALUE!</v>
      </c>
      <c r="F7" s="4" t="e">
        <f ca="1">VLOOKUP($D7,OFFSET([2]stages!$A$1,0,0,COUNTA([2]stages!$A:$A),MATCH(F$1,[2]stages!$2:$2,0)-MATCH($D$1,[2]stages!$2:$2,0)+1),MATCH(F$1,[2]stages!$2:$2,0)-MATCH($D$1,[2]stages!$2:$2,0)+1,FALSE)</f>
        <v>#VALUE!</v>
      </c>
      <c r="G7" s="21">
        <v>2</v>
      </c>
      <c r="H7" s="15" t="str">
        <f t="shared" ref="H7" si="19">B7&amp;"_"&amp;C7&amp;"-"&amp;G7</f>
        <v>50002_1-2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210</v>
      </c>
      <c r="L7" s="20">
        <v>245</v>
      </c>
      <c r="M7" s="17" t="e">
        <f ca="1">VLOOKUP($L7,OFFSET([3]enemies!$A$1,0,0,COUNTA([3]enemies!$A:$A),MATCH(M$1,[3]enemies!$1:$1,0)-MATCH($L$1,[3]enemies!$1:$1,0)+1),MATCH(M$1,[3]enemies!$1:$1,0)-MATCH($L$1,[3]enemies!$1:$1,0)+1,FALSE)</f>
        <v>#VALUE!</v>
      </c>
      <c r="N7" s="17" t="e">
        <f ca="1">VLOOKUP($L7,OFFSET([3]enemies!$A$1,0,0,COUNTA([3]enemies!$A:$A),MATCH(N$1,[3]enemies!$1:$1,0)-MATCH($L$1,[3]enemies!$1:$1,0)+1),MATCH(N$1,[3]enemies!$1:$1,0)-MATCH($L$1,[3]enemies!$1:$1,0)+1,FALSE)</f>
        <v>#VALUE!</v>
      </c>
      <c r="O7" s="17" t="e">
        <f ca="1">VLOOKUP($L7,OFFSET([4]characters!$A$1,0,0,COUNTA([4]characters!$A:$A),MATCH(O$1,[4]characters!$1:$1,0)-MATCH($L$1,[4]characters!$1:$1,0)+1),MATCH(O$1,[4]characters!$1:$1,0)-MATCH($L$1,[4]characters!$1:$1,0)+1,FALSE)</f>
        <v>#VALUE!</v>
      </c>
      <c r="P7" s="17" t="e">
        <f ca="1">VLOOKUP($L7,OFFSET([3]enemies!$A$1,0,0,COUNTA([3]enemies!$A:$A),MATCH(P$1,[3]enemies!$1:$1,0)-MATCH($L$1,[3]enemies!$1:$1,0)+1),MATCH(P$1,[3]enemies!$1:$1,0)-MATCH($L$1,[3]enemies!$1:$1,0)+1,FALSE)</f>
        <v>#VALUE!</v>
      </c>
      <c r="Q7" s="17" t="e">
        <f ca="1">VLOOKUP($L7,OFFSET([3]enemies!$A$1,0,0,COUNTA([3]enemies!$A:$A),MATCH(Q$1,[3]enemies!$1:$1,0)-MATCH($L$1,[3]enemies!$1:$1,0)+1),MATCH(Q$1,[3]enemies!$1:$1,0)-MATCH($L$1,[3]enemies!$1:$1,0)+1,FALSE)</f>
        <v>#VALUE!</v>
      </c>
      <c r="R7" s="5">
        <v>70</v>
      </c>
      <c r="S7" s="25">
        <v>1.5</v>
      </c>
      <c r="T7" s="25">
        <v>2.7</v>
      </c>
      <c r="U7" s="5">
        <v>0</v>
      </c>
      <c r="V7" s="4" t="e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7" s="22">
        <v>50002005</v>
      </c>
      <c r="X7" s="6">
        <v>1</v>
      </c>
      <c r="Y7" s="6">
        <v>100</v>
      </c>
      <c r="Z7" s="6">
        <v>1</v>
      </c>
      <c r="AA7" s="17">
        <v>1</v>
      </c>
      <c r="AB7" s="24">
        <v>244</v>
      </c>
      <c r="AC7" s="4" t="e">
        <f ca="1">VLOOKUP($AB7,OFFSET([4]characters!$A$1,0,0,COUNTA([4]characters!$A:$A),MATCH(AC$1,[4]characters!$1:$1,0)-MATCH("character_id",[4]characters!$1:$1,0)+1),MATCH(AC$1,[4]characters!$1:$1,0)-MATCH("character_id",[4]characters!$1:$1,0)+1,FALSE)</f>
        <v>#VALUE!</v>
      </c>
      <c r="AD7" s="4" t="e">
        <f ca="1">VLOOKUP($AB7,OFFSET([4]characters!$A$1,0,0,COUNTA([4]characters!$A:$A),MATCH(AD$1,[4]characters!$1:$1,0)-MATCH("character_id",[4]characters!$1:$1,0)+1),MATCH(AD$1,[4]characters!$1:$1,0)-MATCH("character_id",[4]characters!$1:$1,0)+1,FALSE)</f>
        <v>#VALUE!</v>
      </c>
      <c r="AE7" s="4" t="e">
        <f ca="1">VLOOKUP($AB7,OFFSET([4]characters!$A$1,0,0,COUNTA([4]characters!$A:$A),MATCH(AE$1,[4]characters!$1:$1,0)-MATCH("character_id",[4]characters!$1:$1,0)+1),MATCH(AE$1,[4]characters!$1:$1,0)-MATCH("character_id",[4]characters!$1:$1,0)+1,FALSE)</f>
        <v>#VALUE!</v>
      </c>
      <c r="AF7" s="7">
        <v>1</v>
      </c>
      <c r="AG7" s="24" t="e">
        <f t="shared" ref="AG7" ca="1" si="20">AD7</f>
        <v>#VALUE!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>
      <c r="A8" s="16" t="str">
        <f t="shared" si="9"/>
        <v>50002_1-3/581&lt;lv70&gt;s2</v>
      </c>
      <c r="B8" s="22">
        <v>50002</v>
      </c>
      <c r="C8" s="21">
        <v>1</v>
      </c>
      <c r="D8" s="2" t="str">
        <f t="shared" si="10"/>
        <v>50002_1</v>
      </c>
      <c r="E8" s="4" t="e">
        <f ca="1">VLOOKUP($B8,OFFSET([2]quests!$A$1,0,0,COUNTA([2]quests!$A:$A),MATCH(E$1,[2]quests!$1:$1,0)-MATCH($B$1,[2]quests!$1:$1,0)+1),MATCH(E$1,[2]quests!$1:$1,0)-MATCH($B$1,[2]quests!$1:$1,0)+1,FALSE)</f>
        <v>#VALUE!</v>
      </c>
      <c r="F8" s="4" t="e">
        <f ca="1">VLOOKUP($D8,OFFSET([2]stages!$A$1,0,0,COUNTA([2]stages!$A:$A),MATCH(F$1,[2]stages!$2:$2,0)-MATCH($D$1,[2]stages!$2:$2,0)+1),MATCH(F$1,[2]stages!$2:$2,0)-MATCH($D$1,[2]stages!$2:$2,0)+1,FALSE)</f>
        <v>#VALUE!</v>
      </c>
      <c r="G8" s="21">
        <v>3</v>
      </c>
      <c r="H8" s="15" t="str">
        <f t="shared" si="11"/>
        <v>50002_1-3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1</v>
      </c>
      <c r="L8" s="20">
        <v>581</v>
      </c>
      <c r="M8" s="17" t="e">
        <f ca="1">VLOOKUP($L8,OFFSET([3]enemies!$A$1,0,0,COUNTA([3]enemies!$A:$A),MATCH(M$1,[3]enemies!$1:$1,0)-MATCH($L$1,[3]enemies!$1:$1,0)+1),MATCH(M$1,[3]enemies!$1:$1,0)-MATCH($L$1,[3]enemies!$1:$1,0)+1,FALSE)</f>
        <v>#VALUE!</v>
      </c>
      <c r="N8" s="17" t="e">
        <f ca="1">VLOOKUP($L8,OFFSET([3]enemies!$A$1,0,0,COUNTA([3]enemies!$A:$A),MATCH(N$1,[3]enemies!$1:$1,0)-MATCH($L$1,[3]enemies!$1:$1,0)+1),MATCH(N$1,[3]enemies!$1:$1,0)-MATCH($L$1,[3]enemies!$1:$1,0)+1,FALSE)</f>
        <v>#VALUE!</v>
      </c>
      <c r="O8" s="17" t="e">
        <f ca="1">VLOOKUP($L8,OFFSET([4]characters!$A$1,0,0,COUNTA([4]characters!$A:$A),MATCH(O$1,[4]characters!$1:$1,0)-MATCH($L$1,[4]characters!$1:$1,0)+1),MATCH(O$1,[4]characters!$1:$1,0)-MATCH($L$1,[4]characters!$1:$1,0)+1,FALSE)</f>
        <v>#VALUE!</v>
      </c>
      <c r="P8" s="17" t="e">
        <f ca="1">VLOOKUP($L8,OFFSET([3]enemies!$A$1,0,0,COUNTA([3]enemies!$A:$A),MATCH(P$1,[3]enemies!$1:$1,0)-MATCH($L$1,[3]enemies!$1:$1,0)+1),MATCH(P$1,[3]enemies!$1:$1,0)-MATCH($L$1,[3]enemies!$1:$1,0)+1,FALSE)</f>
        <v>#VALUE!</v>
      </c>
      <c r="Q8" s="17" t="e">
        <f ca="1">VLOOKUP($L8,OFFSET([3]enemies!$A$1,0,0,COUNTA([3]enemies!$A:$A),MATCH(Q$1,[3]enemies!$1:$1,0)-MATCH($L$1,[3]enemies!$1:$1,0)+1),MATCH(Q$1,[3]enemies!$1:$1,0)-MATCH($L$1,[3]enemies!$1:$1,0)+1,FALSE)</f>
        <v>#VALUE!</v>
      </c>
      <c r="R8" s="5">
        <v>70</v>
      </c>
      <c r="S8" s="25">
        <v>3</v>
      </c>
      <c r="T8" s="25">
        <v>1.3</v>
      </c>
      <c r="U8" s="5">
        <v>0</v>
      </c>
      <c r="V8" s="4" t="e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8" s="22">
        <v>50002006</v>
      </c>
      <c r="X8" s="6">
        <v>1</v>
      </c>
      <c r="Y8" s="6">
        <v>100</v>
      </c>
      <c r="Z8" s="6">
        <v>1</v>
      </c>
      <c r="AA8" s="17">
        <v>2</v>
      </c>
      <c r="AB8" s="24">
        <f t="shared" ref="AB8:AB9" si="21">L8</f>
        <v>581</v>
      </c>
      <c r="AC8" s="4" t="e">
        <f ca="1">VLOOKUP($AB8,OFFSET([4]characters!$A$1,0,0,COUNTA([4]characters!$A:$A),MATCH(AC$1,[4]characters!$1:$1,0)-MATCH("character_id",[4]characters!$1:$1,0)+1),MATCH(AC$1,[4]characters!$1:$1,0)-MATCH("character_id",[4]characters!$1:$1,0)+1,FALSE)</f>
        <v>#VALUE!</v>
      </c>
      <c r="AD8" s="4" t="e">
        <f ca="1">VLOOKUP($AB8,OFFSET([4]characters!$A$1,0,0,COUNTA([4]characters!$A:$A),MATCH(AD$1,[4]characters!$1:$1,0)-MATCH("character_id",[4]characters!$1:$1,0)+1),MATCH(AD$1,[4]characters!$1:$1,0)-MATCH("character_id",[4]characters!$1:$1,0)+1,FALSE)</f>
        <v>#VALUE!</v>
      </c>
      <c r="AE8" s="4" t="e">
        <f ca="1">VLOOKUP($AB8,OFFSET([4]characters!$A$1,0,0,COUNTA([4]characters!$A:$A),MATCH(AE$1,[4]characters!$1:$1,0)-MATCH("character_id",[4]characters!$1:$1,0)+1),MATCH(AE$1,[4]characters!$1:$1,0)-MATCH("character_id",[4]characters!$1:$1,0)+1,FALSE)</f>
        <v>#VALUE!</v>
      </c>
      <c r="AF8" s="7">
        <v>1</v>
      </c>
      <c r="AG8" s="24" t="e">
        <f t="shared" ca="1" si="12"/>
        <v>#VALUE!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ht="21" customHeight="1">
      <c r="A9" s="16" t="e">
        <f t="shared" ca="1" si="9"/>
        <v>#VALUE!</v>
      </c>
      <c r="B9" s="22">
        <v>50002</v>
      </c>
      <c r="C9" s="21">
        <v>1</v>
      </c>
      <c r="D9" s="2" t="str">
        <f t="shared" si="10"/>
        <v>50002_1</v>
      </c>
      <c r="E9" s="4" t="e">
        <f ca="1">VLOOKUP($B9,OFFSET([2]quests!$A$1,0,0,COUNTA([2]quests!$A:$A),MATCH(E$1,[2]quests!$1:$1,0)-MATCH($B$1,[2]quests!$1:$1,0)+1),MATCH(E$1,[2]quests!$1:$1,0)-MATCH($B$1,[2]quests!$1:$1,0)+1,FALSE)</f>
        <v>#VALUE!</v>
      </c>
      <c r="F9" s="4" t="e">
        <f ca="1">VLOOKUP($D9,OFFSET([2]stages!$A$1,0,0,COUNTA([2]stages!$A:$A),MATCH(F$1,[2]stages!$2:$2,0)-MATCH($D$1,[2]stages!$2:$2,0)+1),MATCH(F$1,[2]stages!$2:$2,0)-MATCH($D$1,[2]stages!$2:$2,0)+1,FALSE)</f>
        <v>#VALUE!</v>
      </c>
      <c r="G9" s="21">
        <v>4</v>
      </c>
      <c r="H9" s="15" t="str">
        <f t="shared" si="11"/>
        <v>50002_1-4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2</v>
      </c>
      <c r="L9" s="20">
        <v>573</v>
      </c>
      <c r="M9" s="17" t="e">
        <f ca="1">VLOOKUP($L9,OFFSET([3]enemies!$A$1,0,0,COUNTA([3]enemies!$A:$A),MATCH(M$1,[3]enemies!$1:$1,0)-MATCH($L$1,[3]enemies!$1:$1,0)+1),MATCH(M$1,[3]enemies!$1:$1,0)-MATCH($L$1,[3]enemies!$1:$1,0)+1,FALSE)</f>
        <v>#VALUE!</v>
      </c>
      <c r="N9" s="17" t="e">
        <f ca="1">VLOOKUP($L9,OFFSET([3]enemies!$A$1,0,0,COUNTA([3]enemies!$A:$A),MATCH(N$1,[3]enemies!$1:$1,0)-MATCH($L$1,[3]enemies!$1:$1,0)+1),MATCH(N$1,[3]enemies!$1:$1,0)-MATCH($L$1,[3]enemies!$1:$1,0)+1,FALSE)</f>
        <v>#VALUE!</v>
      </c>
      <c r="O9" s="17" t="e">
        <f ca="1">VLOOKUP($L9,OFFSET([4]characters!$A$1,0,0,COUNTA([4]characters!$A:$A),MATCH(O$1,[4]characters!$1:$1,0)-MATCH($L$1,[4]characters!$1:$1,0)+1),MATCH(O$1,[4]characters!$1:$1,0)-MATCH($L$1,[4]characters!$1:$1,0)+1,FALSE)</f>
        <v>#VALUE!</v>
      </c>
      <c r="P9" s="17" t="e">
        <f ca="1">VLOOKUP($L9,OFFSET([3]enemies!$A$1,0,0,COUNTA([3]enemies!$A:$A),MATCH(P$1,[3]enemies!$1:$1,0)-MATCH($L$1,[3]enemies!$1:$1,0)+1),MATCH(P$1,[3]enemies!$1:$1,0)-MATCH($L$1,[3]enemies!$1:$1,0)+1,FALSE)</f>
        <v>#VALUE!</v>
      </c>
      <c r="Q9" s="17" t="e">
        <f ca="1">VLOOKUP($L9,OFFSET([3]enemies!$A$1,0,0,COUNTA([3]enemies!$A:$A),MATCH(Q$1,[3]enemies!$1:$1,0)-MATCH($L$1,[3]enemies!$1:$1,0)+1),MATCH(Q$1,[3]enemies!$1:$1,0)-MATCH($L$1,[3]enemies!$1:$1,0)+1,FALSE)</f>
        <v>#VALUE!</v>
      </c>
      <c r="R9" s="5">
        <v>70</v>
      </c>
      <c r="S9" s="25">
        <v>1.2</v>
      </c>
      <c r="T9" s="25">
        <v>2.2999999999999998</v>
      </c>
      <c r="U9" s="5">
        <v>10000</v>
      </c>
      <c r="V9" s="4" t="e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9" s="22">
        <v>50002008</v>
      </c>
      <c r="X9" s="6">
        <v>1</v>
      </c>
      <c r="Y9" s="6">
        <v>100</v>
      </c>
      <c r="Z9" s="6">
        <v>1</v>
      </c>
      <c r="AA9" s="17" t="e">
        <f ca="1">VLOOKUP($L9,OFFSET([3]enemies!$A$1,0,0,COUNTA([3]enemies!$A:$A),MATCH(AA$1,[3]enemies!$1:$1,0)-MATCH($L$1,[3]enemies!$1:$1,0)+1),MATCH(AA$1,[3]enemies!$1:$1,0)-MATCH($L$1,[3]enemies!$1:$1,0)+1,FALSE)</f>
        <v>#VALUE!</v>
      </c>
      <c r="AB9" s="24">
        <f t="shared" si="21"/>
        <v>573</v>
      </c>
      <c r="AC9" s="4" t="e">
        <f ca="1">VLOOKUP($AB9,OFFSET([4]characters!$A$1,0,0,COUNTA([4]characters!$A:$A),MATCH(AC$1,[4]characters!$1:$1,0)-MATCH("character_id",[4]characters!$1:$1,0)+1),MATCH(AC$1,[4]characters!$1:$1,0)-MATCH("character_id",[4]characters!$1:$1,0)+1,FALSE)</f>
        <v>#VALUE!</v>
      </c>
      <c r="AD9" s="4" t="e">
        <f ca="1">VLOOKUP($AB9,OFFSET([4]characters!$A$1,0,0,COUNTA([4]characters!$A:$A),MATCH(AD$1,[4]characters!$1:$1,0)-MATCH("character_id",[4]characters!$1:$1,0)+1),MATCH(AD$1,[4]characters!$1:$1,0)-MATCH("character_id",[4]characters!$1:$1,0)+1,FALSE)</f>
        <v>#VALUE!</v>
      </c>
      <c r="AE9" s="4" t="e">
        <f ca="1">VLOOKUP($AB9,OFFSET([4]characters!$A$1,0,0,COUNTA([4]characters!$A:$A),MATCH(AE$1,[4]characters!$1:$1,0)-MATCH("character_id",[4]characters!$1:$1,0)+1),MATCH(AE$1,[4]characters!$1:$1,0)-MATCH("character_id",[4]characters!$1:$1,0)+1,FALSE)</f>
        <v>#VALUE!</v>
      </c>
      <c r="AF9" s="7">
        <v>1</v>
      </c>
      <c r="AG9" s="24" t="e">
        <f t="shared" ca="1" si="12"/>
        <v>#VALUE!</v>
      </c>
      <c r="AH9" s="97">
        <v>30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9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X4" sqref="X4"/>
    </sheetView>
  </sheetViews>
  <sheetFormatPr baseColWidth="12" defaultColWidth="13" defaultRowHeight="21" customHeight="1" outlineLevelCol="1" x14ac:dyDescent="0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>
      <c r="A2" s="16" t="str">
        <f>B2&amp;"_"&amp;C2&amp;"-"&amp;G2&amp;"/"&amp;M2&amp;"&lt;lv"&amp;S2&amp;"&gt;sq"&amp;K2&amp;"st"&amp;L2</f>
        <v>50002_1-3/581&lt;lv70&gt;sq1st2</v>
      </c>
      <c r="B2" s="22">
        <v>50002</v>
      </c>
      <c r="C2" s="21">
        <v>1</v>
      </c>
      <c r="D2" s="2" t="str">
        <f>B2&amp;"_"&amp;C2</f>
        <v>50002_1</v>
      </c>
      <c r="E2" s="4" t="e">
        <f ca="1">VLOOKUP($B2,OFFSET([2]quests!$A$1,0,0,COUNTA([2]quests!$A:$A),MATCH(E$1,[2]quests!$1:$1,0)-MATCH($B$1,[2]quests!$1:$1,0)+1),MATCH(E$1,[2]quests!$1:$1,0)-MATCH($B$1,[2]quests!$1:$1,0)+1,FALSE)</f>
        <v>#VALUE!</v>
      </c>
      <c r="F2" s="4" t="e">
        <f ca="1">VLOOKUP($D2,OFFSET([2]stages!$A$1,0,0,COUNTA([2]stages!$A:$A),MATCH(F$1,[2]stages!$2:$2,0)-MATCH($D$1,[2]stages!$2:$2,0)+1),MATCH(F$1,[2]stages!$2:$2,0)-MATCH($D$1,[2]stages!$2:$2,0)+1,FALSE)</f>
        <v>#VALUE!</v>
      </c>
      <c r="G2" s="21">
        <v>3</v>
      </c>
      <c r="H2" s="15" t="str">
        <f>B2&amp;"_"&amp;C2&amp;"-"&amp;G2</f>
        <v>50002_1-3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581</v>
      </c>
      <c r="N2" s="17" t="e">
        <f ca="1">VLOOKUP($M2,OFFSET([3]enemies!$A$1,0,0,COUNTA([3]enemies!$A:$A),MATCH(N$1,[3]enemies!$1:$1,0)-MATCH($M$1,[3]enemies!$1:$1,0)+1),MATCH(N$1,[3]enemies!$1:$1,0)-MATCH($M$1,[3]enemies!$1:$1,0)+1,FALSE)</f>
        <v>#VALUE!</v>
      </c>
      <c r="O2" s="17" t="e">
        <f ca="1">VLOOKUP($M2,OFFSET([3]enemies!$A$1,0,0,COUNTA([3]enemies!$A:$A),MATCH(O$1,[3]enemies!$1:$1,0)-MATCH($M$1,[3]enemies!$1:$1,0)+1),MATCH(O$1,[3]enemies!$1:$1,0)-MATCH($M$1,[3]enemies!$1:$1,0)+1,FALSE)</f>
        <v>#VALUE!</v>
      </c>
      <c r="P2" s="17" t="e">
        <f ca="1">VLOOKUP($M2,OFFSET([4]characters!$A$1,0,0,COUNTA([4]characters!$A:$A),MATCH(P$1,[4]characters!$1:$1,0)-MATCH($M$1,[4]characters!$1:$1,0)+1),MATCH(P$1,[4]characters!$1:$1,0)-MATCH($M$1,[4]characters!$1:$1,0)+1,FALSE)</f>
        <v>#VALUE!</v>
      </c>
      <c r="Q2" s="17" t="e">
        <f ca="1">VLOOKUP($M2,OFFSET([3]enemies!$A$1,0,0,COUNTA([3]enemies!$A:$A),MATCH(Q$1,[3]enemies!$1:$1,0)-MATCH($M$1,[3]enemies!$1:$1,0)+1),MATCH(Q$1,[3]enemies!$1:$1,0)-MATCH($M$1,[3]enemies!$1:$1,0)+1,FALSE)</f>
        <v>#VALUE!</v>
      </c>
      <c r="R2" s="17" t="e">
        <f ca="1">VLOOKUP($M2,OFFSET([3]enemies!$A$1,0,0,COUNTA([3]enemies!$A:$A),MATCH(R$1,[3]enemies!$1:$1,0)-MATCH($M$1,[3]enemies!$1:$1,0)+1),MATCH(R$1,[3]enemies!$1:$1,0)-MATCH($M$1,[3]enemies!$1:$1,0)+1,FALSE)</f>
        <v>#VALUE!</v>
      </c>
      <c r="S2" s="5">
        <v>70</v>
      </c>
      <c r="T2" s="25">
        <v>3</v>
      </c>
      <c r="U2" s="25">
        <v>1.22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2" s="22">
        <v>50002007</v>
      </c>
      <c r="Y2" s="70">
        <v>2</v>
      </c>
    </row>
    <row r="3" spans="1:25" ht="21" customHeight="1">
      <c r="A3" s="16" t="str">
        <f>B3&amp;"_"&amp;C3&amp;"-"&amp;G3&amp;"/"&amp;M3&amp;"&lt;lv"&amp;S3&amp;"&gt;sq"&amp;K3&amp;"st"&amp;L3</f>
        <v>50002_1-4/574&lt;lv70&gt;sq2st2</v>
      </c>
      <c r="B3" s="22">
        <v>50002</v>
      </c>
      <c r="C3" s="21">
        <v>1</v>
      </c>
      <c r="D3" s="2" t="str">
        <f>B3&amp;"_"&amp;C3</f>
        <v>50002_1</v>
      </c>
      <c r="E3" s="4" t="e">
        <f ca="1">VLOOKUP($B3,OFFSET([2]quests!$A$1,0,0,COUNTA([2]quests!$A:$A),MATCH(E$1,[2]quests!$1:$1,0)-MATCH($B$1,[2]quests!$1:$1,0)+1),MATCH(E$1,[2]quests!$1:$1,0)-MATCH($B$1,[2]quests!$1:$1,0)+1,FALSE)</f>
        <v>#VALUE!</v>
      </c>
      <c r="F3" s="4" t="e">
        <f ca="1">VLOOKUP($D3,OFFSET([2]stages!$A$1,0,0,COUNTA([2]stages!$A:$A),MATCH(F$1,[2]stages!$2:$2,0)-MATCH($D$1,[2]stages!$2:$2,0)+1),MATCH(F$1,[2]stages!$2:$2,0)-MATCH($D$1,[2]stages!$2:$2,0)+1,FALSE)</f>
        <v>#VALUE!</v>
      </c>
      <c r="G3" s="21">
        <v>4</v>
      </c>
      <c r="H3" s="15" t="str">
        <f>B3&amp;"_"&amp;C3&amp;"-"&amp;G3</f>
        <v>50002_1-4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574</v>
      </c>
      <c r="N3" s="17" t="e">
        <f ca="1">VLOOKUP($M3,OFFSET([3]enemies!$A$1,0,0,COUNTA([3]enemies!$A:$A),MATCH(N$1,[3]enemies!$1:$1,0)-MATCH($M$1,[3]enemies!$1:$1,0)+1),MATCH(N$1,[3]enemies!$1:$1,0)-MATCH($M$1,[3]enemies!$1:$1,0)+1,FALSE)</f>
        <v>#VALUE!</v>
      </c>
      <c r="O3" s="17" t="e">
        <f ca="1">VLOOKUP($M3,OFFSET([3]enemies!$A$1,0,0,COUNTA([3]enemies!$A:$A),MATCH(O$1,[3]enemies!$1:$1,0)-MATCH($M$1,[3]enemies!$1:$1,0)+1),MATCH(O$1,[3]enemies!$1:$1,0)-MATCH($M$1,[3]enemies!$1:$1,0)+1,FALSE)</f>
        <v>#VALUE!</v>
      </c>
      <c r="P3" s="17" t="e">
        <f ca="1">VLOOKUP($M3,OFFSET([4]characters!$A$1,0,0,COUNTA([4]characters!$A:$A),MATCH(P$1,[4]characters!$1:$1,0)-MATCH($M$1,[4]characters!$1:$1,0)+1),MATCH(P$1,[4]characters!$1:$1,0)-MATCH($M$1,[4]characters!$1:$1,0)+1,FALSE)</f>
        <v>#VALUE!</v>
      </c>
      <c r="Q3" s="17" t="e">
        <f ca="1">VLOOKUP($M3,OFFSET([3]enemies!$A$1,0,0,COUNTA([3]enemies!$A:$A),MATCH(Q$1,[3]enemies!$1:$1,0)-MATCH($M$1,[3]enemies!$1:$1,0)+1),MATCH(Q$1,[3]enemies!$1:$1,0)-MATCH($M$1,[3]enemies!$1:$1,0)+1,FALSE)</f>
        <v>#VALUE!</v>
      </c>
      <c r="R3" s="17" t="e">
        <f ca="1">VLOOKUP($M3,OFFSET([3]enemies!$A$1,0,0,COUNTA([3]enemies!$A:$A),MATCH(R$1,[3]enemies!$1:$1,0)-MATCH($M$1,[3]enemies!$1:$1,0)+1),MATCH(R$1,[3]enemies!$1:$1,0)-MATCH($M$1,[3]enemies!$1:$1,0)+1,FALSE)</f>
        <v>#VALUE!</v>
      </c>
      <c r="S3" s="5">
        <v>70</v>
      </c>
      <c r="T3" s="25">
        <v>2.1</v>
      </c>
      <c r="U3" s="25">
        <v>2</v>
      </c>
      <c r="V3" s="5">
        <v>3000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3" s="22">
        <v>50002009</v>
      </c>
      <c r="Y3" s="70">
        <v>1</v>
      </c>
    </row>
    <row r="4" spans="1:25" ht="21" customHeight="1">
      <c r="A4" s="16" t="str">
        <f>B4&amp;"_"&amp;C4&amp;"-"&amp;G4&amp;"/"&amp;M4&amp;"&lt;lv"&amp;S4&amp;"&gt;sq"&amp;K4&amp;"st"&amp;L4</f>
        <v>50002_1-4/574&lt;lv75&gt;sq2st3</v>
      </c>
      <c r="B4" s="22">
        <v>50002</v>
      </c>
      <c r="C4" s="21">
        <v>1</v>
      </c>
      <c r="D4" s="2" t="str">
        <f>B4&amp;"_"&amp;C4</f>
        <v>50002_1</v>
      </c>
      <c r="E4" s="4" t="e">
        <f ca="1">VLOOKUP($B4,OFFSET([2]quests!$A$1,0,0,COUNTA([2]quests!$A:$A),MATCH(E$1,[2]quests!$1:$1,0)-MATCH($B$1,[2]quests!$1:$1,0)+1),MATCH(E$1,[2]quests!$1:$1,0)-MATCH($B$1,[2]quests!$1:$1,0)+1,FALSE)</f>
        <v>#VALUE!</v>
      </c>
      <c r="F4" s="4" t="e">
        <f ca="1">VLOOKUP($D4,OFFSET([2]stages!$A$1,0,0,COUNTA([2]stages!$A:$A),MATCH(F$1,[2]stages!$2:$2,0)-MATCH($D$1,[2]stages!$2:$2,0)+1),MATCH(F$1,[2]stages!$2:$2,0)-MATCH($D$1,[2]stages!$2:$2,0)+1,FALSE)</f>
        <v>#VALUE!</v>
      </c>
      <c r="G4" s="21">
        <v>4</v>
      </c>
      <c r="H4" s="15" t="str">
        <f>B4&amp;"_"&amp;C4&amp;"-"&amp;G4</f>
        <v>50002_1-4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574</v>
      </c>
      <c r="N4" s="17" t="e">
        <f ca="1">VLOOKUP($M4,OFFSET([3]enemies!$A$1,0,0,COUNTA([3]enemies!$A:$A),MATCH(N$1,[3]enemies!$1:$1,0)-MATCH($M$1,[3]enemies!$1:$1,0)+1),MATCH(N$1,[3]enemies!$1:$1,0)-MATCH($M$1,[3]enemies!$1:$1,0)+1,FALSE)</f>
        <v>#VALUE!</v>
      </c>
      <c r="O4" s="17" t="e">
        <f ca="1">VLOOKUP($M4,OFFSET([3]enemies!$A$1,0,0,COUNTA([3]enemies!$A:$A),MATCH(O$1,[3]enemies!$1:$1,0)-MATCH($M$1,[3]enemies!$1:$1,0)+1),MATCH(O$1,[3]enemies!$1:$1,0)-MATCH($M$1,[3]enemies!$1:$1,0)+1,FALSE)</f>
        <v>#VALUE!</v>
      </c>
      <c r="P4" s="17" t="e">
        <f ca="1">VLOOKUP($M4,OFFSET([4]characters!$A$1,0,0,COUNTA([4]characters!$A:$A),MATCH(P$1,[4]characters!$1:$1,0)-MATCH($M$1,[4]characters!$1:$1,0)+1),MATCH(P$1,[4]characters!$1:$1,0)-MATCH($M$1,[4]characters!$1:$1,0)+1,FALSE)</f>
        <v>#VALUE!</v>
      </c>
      <c r="Q4" s="17" t="e">
        <f ca="1">VLOOKUP($M4,OFFSET([3]enemies!$A$1,0,0,COUNTA([3]enemies!$A:$A),MATCH(Q$1,[3]enemies!$1:$1,0)-MATCH($M$1,[3]enemies!$1:$1,0)+1),MATCH(Q$1,[3]enemies!$1:$1,0)-MATCH($M$1,[3]enemies!$1:$1,0)+1,FALSE)</f>
        <v>#VALUE!</v>
      </c>
      <c r="R4" s="17" t="e">
        <f ca="1">VLOOKUP($M4,OFFSET([3]enemies!$A$1,0,0,COUNTA([3]enemies!$A:$A),MATCH(R$1,[3]enemies!$1:$1,0)-MATCH($M$1,[3]enemies!$1:$1,0)+1),MATCH(R$1,[3]enemies!$1:$1,0)-MATCH($M$1,[3]enemies!$1:$1,0)+1,FALSE)</f>
        <v>#VALUE!</v>
      </c>
      <c r="S4" s="5">
        <v>75</v>
      </c>
      <c r="T4" s="25">
        <v>2.4</v>
      </c>
      <c r="U4" s="25">
        <v>1.7</v>
      </c>
      <c r="V4" s="5">
        <v>3000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4" s="22">
        <v>50002010</v>
      </c>
      <c r="Y4" s="70">
        <v>1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R49"/>
  <sheetViews>
    <sheetView showGridLines="0" workbookViewId="0">
      <pane xSplit="5" ySplit="1" topLeftCell="G32" activePane="bottomRight" state="frozen"/>
      <selection pane="topRight"/>
      <selection pane="bottomLeft"/>
      <selection pane="bottomRight" activeCell="E40" sqref="E40"/>
    </sheetView>
  </sheetViews>
  <sheetFormatPr baseColWidth="12" defaultColWidth="12.83203125" defaultRowHeight="21" customHeight="1" outlineLevelCol="1" x14ac:dyDescent="0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>
      <c r="A2" s="39" t="str">
        <f t="shared" ref="A2:A36" si="0">B2&amp;"_"&amp;C2</f>
        <v>50002002_50002006</v>
      </c>
      <c r="B2" s="22">
        <v>50002002</v>
      </c>
      <c r="C2" s="22">
        <v>50002006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ジャマヲスルナ…!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味方全体にスキルバインド</v>
      </c>
      <c r="F2" s="22">
        <v>50002006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>
      <c r="A3" s="39" t="str">
        <f t="shared" si="0"/>
        <v>50002002_50002007</v>
      </c>
      <c r="B3" s="22">
        <v>50002002</v>
      </c>
      <c r="C3" s="22">
        <v>50002007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ルートバイオレーション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緑属性に対して大ダメージの攻撃</v>
      </c>
      <c r="F3" s="22">
        <v>50002007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" s="47"/>
      <c r="Q3" s="47"/>
      <c r="R3" s="47"/>
    </row>
    <row r="4" spans="1:18" ht="21" customHeight="1">
      <c r="A4" s="39" t="str">
        <f t="shared" si="0"/>
        <v>50002002_50002008</v>
      </c>
      <c r="B4" s="22">
        <v>50002002</v>
      </c>
      <c r="C4" s="22">
        <v>50002008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ゼンブ…クウ!!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仲間を吸収してパワーアップ</v>
      </c>
      <c r="F4" s="22">
        <v>50002008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>
      <c r="A5" s="39" t="str">
        <f t="shared" si="0"/>
        <v>50002002_50002010</v>
      </c>
      <c r="B5" s="22">
        <v>50002002</v>
      </c>
      <c r="C5" s="22">
        <v>50002010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加速する食欲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4ターンの間攻撃頻度アップ</v>
      </c>
      <c r="F5" s="22">
        <v>50002010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7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>
      <c r="A6" s="39" t="str">
        <f t="shared" si="0"/>
        <v>50002002_50002011</v>
      </c>
      <c r="B6" s="22">
        <v>50002002</v>
      </c>
      <c r="C6" s="22">
        <v>50002011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肥大する暴食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4ターンの間攻撃力アップ</v>
      </c>
      <c r="F6" s="22">
        <v>50002011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5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>
      <c r="A7" s="39" t="str">
        <f t="shared" si="0"/>
        <v>50002003_50002016</v>
      </c>
      <c r="B7" s="22">
        <v>50002003</v>
      </c>
      <c r="C7" s="22">
        <v>50002016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システムリペア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回復</v>
      </c>
      <c r="F7" s="22">
        <v>50002016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>
      <c r="A8" s="39" t="str">
        <f t="shared" si="0"/>
        <v>50002003_50002017</v>
      </c>
      <c r="B8" s="22">
        <v>50002003</v>
      </c>
      <c r="C8" s="22">
        <v>50002017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侵入者を発見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警戒態勢</v>
      </c>
      <c r="F8" s="22">
        <v>50002017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>
      <c r="A9" s="39" t="str">
        <f t="shared" ref="A9" si="1">B9&amp;"_"&amp;C9</f>
        <v>50002003_50002018</v>
      </c>
      <c r="B9" s="22">
        <v>50002003</v>
      </c>
      <c r="C9" s="22">
        <v>50002018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迎撃に失敗！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逃げ出した！</v>
      </c>
      <c r="F9" s="22">
        <v>50002018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245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>
      <c r="A10" s="39" t="str">
        <f t="shared" si="0"/>
        <v>50002004_50002021</v>
      </c>
      <c r="B10" s="22">
        <v>50002004</v>
      </c>
      <c r="C10" s="22">
        <v>50002021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システムリペア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回復</v>
      </c>
      <c r="F10" s="22">
        <v>50002021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>
      <c r="A11" s="39" t="str">
        <f t="shared" si="0"/>
        <v>50002004_50002022</v>
      </c>
      <c r="B11" s="22">
        <v>50002004</v>
      </c>
      <c r="C11" s="22">
        <v>50002022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これより迎撃します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警戒態勢</v>
      </c>
      <c r="F11" s="22">
        <v>50002022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>
      <c r="A12" s="39" t="str">
        <f t="shared" si="0"/>
        <v>50002004_50002023</v>
      </c>
      <c r="B12" s="22">
        <v>50002004</v>
      </c>
      <c r="C12" s="22">
        <v>50002023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警戒レベルを上昇！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逃げ出した！</v>
      </c>
      <c r="F12" s="22">
        <v>50002023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245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>
      <c r="A13" s="39" t="str">
        <f t="shared" si="0"/>
        <v>50002005_50002026</v>
      </c>
      <c r="B13" s="22">
        <v>50002005</v>
      </c>
      <c r="C13" s="22">
        <v>50002026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危険因子の隔離を実行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開幕フィーバーゲージ0に</v>
      </c>
      <c r="F13" s="22">
        <v>50002026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>
      <c r="A14" s="39" t="str">
        <f t="shared" ref="A14" si="2">B14&amp;"_"&amp;C14</f>
        <v>50002005_50002027</v>
      </c>
      <c r="B14" s="22">
        <v>50002005</v>
      </c>
      <c r="C14" s="22">
        <v>50002027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ブルーパニッシュメント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青属性に対して大ダメージの攻撃</v>
      </c>
      <c r="F14" s="22">
        <v>50002027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4" s="47"/>
      <c r="Q14" s="47"/>
      <c r="R14" s="47"/>
    </row>
    <row r="15" spans="1:18" ht="21" customHeight="1">
      <c r="A15" s="39" t="str">
        <f t="shared" si="0"/>
        <v>50002006_50002031</v>
      </c>
      <c r="B15" s="22">
        <v>50002006</v>
      </c>
      <c r="C15" s="22">
        <v>50002031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敵襲である！警戒すべし！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5" s="22">
        <v>50002031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>
      <c r="A16" s="39" t="str">
        <f t="shared" si="0"/>
        <v>50002006_50002032</v>
      </c>
      <c r="B16" s="22">
        <v>50002006</v>
      </c>
      <c r="C16" s="22">
        <v>50002032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ダブルレイヴン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連続攻撃</v>
      </c>
      <c r="F16" s="22">
        <v>50002032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6" s="47"/>
      <c r="Q16" s="47"/>
      <c r="R16" s="47"/>
    </row>
    <row r="17" spans="1:18" ht="21" customHeight="1">
      <c r="A17" s="39" t="str">
        <f t="shared" si="0"/>
        <v>50002006_50002034</v>
      </c>
      <c r="B17" s="22">
        <v>50002006</v>
      </c>
      <c r="C17" s="22">
        <v>50002034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不届き者は排除すべし！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種族マシンにスキルバインド</v>
      </c>
      <c r="F17" s="22">
        <v>50002034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>
      <c r="A18" s="39" t="str">
        <f t="shared" si="0"/>
        <v>50002006_50002035</v>
      </c>
      <c r="B18" s="22">
        <v>50002006</v>
      </c>
      <c r="C18" s="22">
        <v>50002035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アンチハート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5ターンの間ハートパネルが出現しない</v>
      </c>
      <c r="F18" s="22">
        <v>50002035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>
      <c r="A19" s="39" t="str">
        <f t="shared" si="0"/>
        <v>50002007_50002041</v>
      </c>
      <c r="B19" s="22">
        <v>50002007</v>
      </c>
      <c r="C19" s="22">
        <v>50002041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セキュリティ再構築せよ！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9" s="22">
        <v>50002041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>
      <c r="A20" s="39" t="str">
        <f t="shared" si="0"/>
        <v>50002007_50002042</v>
      </c>
      <c r="B20" s="22">
        <v>50002007</v>
      </c>
      <c r="C20" s="22">
        <v>50002042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無法者はデリートせよ！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種族アニマルに対して大ダメージの攻撃</v>
      </c>
      <c r="F20" s="22">
        <v>50002042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0" s="47"/>
      <c r="Q20" s="47"/>
      <c r="R20" s="47"/>
    </row>
    <row r="21" spans="1:18" ht="21" customHeight="1">
      <c r="A21" s="39" t="str">
        <f t="shared" si="0"/>
        <v>50002007_50002043</v>
      </c>
      <c r="B21" s="22">
        <v>50002007</v>
      </c>
      <c r="C21" s="22">
        <v>50002043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危険因子はフリーズすべし！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3ターン青パネルロック</v>
      </c>
      <c r="F21" s="22">
        <v>50002043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1" s="47"/>
      <c r="Q21" s="47"/>
      <c r="R21" s="47"/>
    </row>
    <row r="22" spans="1:18" ht="21" customHeight="1">
      <c r="A22" s="39" t="str">
        <f t="shared" si="0"/>
        <v>50002007_50002044</v>
      </c>
      <c r="B22" s="22">
        <v>50002007</v>
      </c>
      <c r="C22" s="22">
        <v>50002044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混沌たる戦場を刮目せよ！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パネル大量変換</v>
      </c>
      <c r="F22" s="22">
        <v>50002044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>
      <c r="A23" s="39" t="str">
        <f t="shared" ref="A23:A26" si="3">B23&amp;"_"&amp;C23</f>
        <v>50002007_50002045</v>
      </c>
      <c r="B23" s="22">
        <v>50002007</v>
      </c>
      <c r="C23" s="22">
        <v>50002045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レイヴンズトリック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ランダムで威力が変わる攻撃！</v>
      </c>
      <c r="F23" s="22">
        <v>50002045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>
      <c r="A24" s="39" t="str">
        <f t="shared" si="3"/>
        <v>50002007_50002046</v>
      </c>
      <c r="B24" s="22">
        <v>50002007</v>
      </c>
      <c r="C24" s="22">
        <v>50002046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レイヴンズトリック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ランダムで威力が変わる攻撃！</v>
      </c>
      <c r="F24" s="22">
        <v>50002046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>
      <c r="A25" s="39" t="str">
        <f t="shared" si="3"/>
        <v>50002007_50002047</v>
      </c>
      <c r="B25" s="22">
        <v>50002007</v>
      </c>
      <c r="C25" s="22">
        <v>50002047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レイヴンズトリック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ランダムで威力が変わる攻撃！</v>
      </c>
      <c r="F25" s="22">
        <v>50002047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>
      <c r="A26" s="39" t="str">
        <f t="shared" si="3"/>
        <v>50002007_50002048</v>
      </c>
      <c r="B26" s="22">
        <v>50002007</v>
      </c>
      <c r="C26" s="22">
        <v>50002048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レイヴンズトリック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ランダムで威力が変わる攻撃！</v>
      </c>
      <c r="F26" s="22">
        <v>50002048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>
      <c r="A27" s="39" t="str">
        <f t="shared" si="0"/>
        <v>50002008_50002051</v>
      </c>
      <c r="B27" s="22">
        <v>50002008</v>
      </c>
      <c r="C27" s="22">
        <v>50002051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ここまで来たか、待っていたぞ！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状態異常無効＋カウンター</v>
      </c>
      <c r="F27" s="22">
        <v>50002051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>
      <c r="A28" s="39" t="str">
        <f t="shared" si="0"/>
        <v>50002008_50002052</v>
      </c>
      <c r="B28" s="22">
        <v>50002008</v>
      </c>
      <c r="C28" s="22">
        <v>50002052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アンチ・ラグナロク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赤属性に対して大ダメージの攻撃</v>
      </c>
      <c r="F28" s="22">
        <v>50002052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8" s="47"/>
      <c r="Q28" s="47"/>
      <c r="R28" s="47"/>
    </row>
    <row r="29" spans="1:18" ht="21" customHeight="1">
      <c r="A29" s="39" t="str">
        <f t="shared" ref="A29" si="4">B29&amp;"_"&amp;C29</f>
        <v>50002008_50002053</v>
      </c>
      <c r="B29" s="22">
        <v>50002008</v>
      </c>
      <c r="C29" s="22">
        <v>50002053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グングニル起動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嫌な予感がする・・・</v>
      </c>
      <c r="F29" s="22">
        <v>50002053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>
      <c r="A30" s="39" t="str">
        <f t="shared" si="0"/>
        <v>50002008_50002054</v>
      </c>
      <c r="B30" s="22">
        <v>50002008</v>
      </c>
      <c r="C30" s="22">
        <v>50002054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イグニッション・グングニル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防御系スキル解除＋強力な一撃！</v>
      </c>
      <c r="F30" s="22">
        <v>50002054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>
      <c r="A31" s="39" t="str">
        <f t="shared" si="0"/>
        <v>50002008_50002055</v>
      </c>
      <c r="B31" s="22">
        <v>50002008</v>
      </c>
      <c r="C31" s="22">
        <v>50002055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こいつを耐えきれるか？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HPを全て消費して、大ダメージ！</v>
      </c>
      <c r="F31" s="22">
        <v>50002055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10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>
      <c r="A32" s="39" t="str">
        <f t="shared" si="0"/>
        <v>50002009_50002061</v>
      </c>
      <c r="B32" s="22">
        <v>50002009</v>
      </c>
      <c r="C32" s="22">
        <v>50002061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期待以上だ、レベルを上げるぞ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攻撃頻度アップ＋状態異常無効_x000D_＋青属性にスキルバインド</v>
      </c>
      <c r="F32" s="22">
        <v>50002061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8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>
      <c r="A33" s="39" t="str">
        <f t="shared" si="0"/>
        <v>50002009_50002062</v>
      </c>
      <c r="B33" s="22">
        <v>50002009</v>
      </c>
      <c r="C33" s="22">
        <v>50002062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ルーン・エングレイブ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3" s="22">
        <v>50002062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3" s="47"/>
      <c r="Q33" s="47"/>
      <c r="R33" s="47"/>
    </row>
    <row r="34" spans="1:18" ht="21" customHeight="1">
      <c r="A34" s="39" t="str">
        <f t="shared" si="0"/>
        <v>50002009_50002063</v>
      </c>
      <c r="B34" s="22">
        <v>50002009</v>
      </c>
      <c r="C34" s="22">
        <v>50002063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アンノーン・バスティング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種族unkownに対して大ダメージの攻撃</v>
      </c>
      <c r="F34" s="22">
        <v>50002063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4" s="47"/>
      <c r="Q34" s="47"/>
      <c r="R34" s="47"/>
    </row>
    <row r="35" spans="1:18" ht="21" customHeight="1">
      <c r="A35" s="39" t="str">
        <f t="shared" ref="A35" si="5">B35&amp;"_"&amp;C35</f>
        <v>50002009_50002064</v>
      </c>
      <c r="B35" s="22">
        <v>50002009</v>
      </c>
      <c r="C35" s="22">
        <v>50002064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グングニル出力上昇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力を溜め始めた・・・</v>
      </c>
      <c r="F35" s="22">
        <v>50002064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>
      <c r="A36" s="39" t="str">
        <f t="shared" si="0"/>
        <v>50002009_50002065</v>
      </c>
      <c r="B36" s="22">
        <v>50002009</v>
      </c>
      <c r="C36" s="22">
        <v>50002065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インパクト・グングニル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防御系スキル解除＋強力な一撃！</v>
      </c>
      <c r="F36" s="22">
        <v>50002065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>
      <c r="A37" s="39" t="str">
        <f t="shared" ref="A37:A44" si="6">B37&amp;"_"&amp;C37</f>
        <v>50002009_50002066</v>
      </c>
      <c r="B37" s="22">
        <v>50002009</v>
      </c>
      <c r="C37" s="22">
        <v>50002066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仕切り直しだ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ステータスアップ解除+ハートパネルが出現しない</v>
      </c>
      <c r="F37" s="22">
        <v>50002066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>
      <c r="A38" s="39" t="str">
        <f t="shared" si="6"/>
        <v>50002010_50002071</v>
      </c>
      <c r="B38" s="22">
        <v>50002010</v>
      </c>
      <c r="C38" s="22">
        <v>50002071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ラストスパートだ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ハートパネルを吸収して攻撃力アップ_x000D_＋ハートパネルが出現しない</v>
      </c>
      <c r="F38" s="22">
        <v>50002071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>
      <c r="A39" s="39" t="str">
        <f t="shared" si="6"/>
        <v>50002010_50002072</v>
      </c>
      <c r="B39" s="22">
        <v>50002010</v>
      </c>
      <c r="C39" s="22">
        <v>50002072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ルーン・ラストラヴァージ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フィーバーゲージ減少＋全体攻撃</v>
      </c>
      <c r="F39" s="22">
        <v>50002072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9" s="47"/>
      <c r="Q39" s="47"/>
      <c r="R39" s="47"/>
    </row>
    <row r="40" spans="1:18" ht="21" customHeight="1">
      <c r="A40" s="39" t="str">
        <f t="shared" si="6"/>
        <v>50002010_50002073</v>
      </c>
      <c r="B40" s="22">
        <v>50002010</v>
      </c>
      <c r="C40" s="22">
        <v>50002073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セクスタプル・グングニル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連続攻撃</v>
      </c>
      <c r="F40" s="22">
        <v>50002073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 t="str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0" s="47"/>
      <c r="Q40" s="47"/>
      <c r="R40" s="47"/>
    </row>
    <row r="41" spans="1:18" ht="21" customHeight="1">
      <c r="A41" s="39" t="str">
        <f t="shared" si="6"/>
        <v>50002010_50002074</v>
      </c>
      <c r="B41" s="22">
        <v>50002010</v>
      </c>
      <c r="C41" s="22">
        <v>50002074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全力を出そう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1" s="22">
        <v>50002074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 t="str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>
      <c r="A42" s="39" t="str">
        <f t="shared" ref="A42" si="7">B42&amp;"_"&amp;C42</f>
        <v>50002010_50002075</v>
      </c>
      <c r="B42" s="22">
        <v>50002010</v>
      </c>
      <c r="C42" s="22">
        <v>50002075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グングニル出力最大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力を溜め始めた・・・</v>
      </c>
      <c r="F42" s="22">
        <v>50002075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30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>
      <c r="A43" s="39" t="str">
        <f t="shared" si="6"/>
        <v>50002010_50002076</v>
      </c>
      <c r="B43" s="22">
        <v>50002010</v>
      </c>
      <c r="C43" s="22">
        <v>50002076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ルイネーション・グングニル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防御系スキル解除＋強力な一撃！</v>
      </c>
      <c r="F43" s="22">
        <v>50002076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30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>
      <c r="A44" s="39" t="str">
        <f t="shared" si="6"/>
        <v>50002010_50002077</v>
      </c>
      <c r="B44" s="22">
        <v>50002010</v>
      </c>
      <c r="C44" s="22">
        <v>50002077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これで決着をつけよう…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防御力アップ＋力を溜めている</v>
      </c>
      <c r="F44" s="22">
        <v>50002077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>
      <c r="A45" s="39" t="str">
        <f t="shared" ref="A45" si="8">B45&amp;"_"&amp;C45</f>
        <v>50002010_50002078</v>
      </c>
      <c r="B45" s="22">
        <v>50002010</v>
      </c>
      <c r="C45" s="22">
        <v>50002078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終焉のルーン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ステータスアップを解除＋激烈ダメージ！！</v>
      </c>
      <c r="F45" s="22">
        <v>50002078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46" spans="1:18" ht="21" customHeight="1">
      <c r="A46" s="39" t="str">
        <f t="shared" ref="A46" si="9">B46&amp;"_"&amp;C46</f>
        <v>50002001_50002081</v>
      </c>
      <c r="B46" s="22">
        <v>50002001</v>
      </c>
      <c r="C46" s="22">
        <v>50002081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逃走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逃げ出した！</v>
      </c>
      <c r="F46" s="22">
        <v>50002081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 t="str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600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47" spans="1:18" ht="21" customHeight="1">
      <c r="A47" s="39" t="str">
        <f t="shared" ref="A47" si="10">B47&amp;"_"&amp;C47</f>
        <v>50002008_50002083</v>
      </c>
      <c r="B47" s="22">
        <v>50002008</v>
      </c>
      <c r="C47" s="22">
        <v>50002083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それは”鍵”か？…道理でな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状態異常無効＋カウンター</v>
      </c>
      <c r="F47" s="22">
        <v>50002083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433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48" spans="1:18" ht="21" customHeight="1">
      <c r="A48" s="39" t="str">
        <f>B48&amp;"_"&amp;C48</f>
        <v>50002009_50002084</v>
      </c>
      <c r="B48" s="22">
        <v>50002009</v>
      </c>
      <c r="C48" s="22">
        <v>50002084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麒麟を手懐けただけはある…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攻撃頻度アップ＋状態異常無効_x000D_＋青属性にスキルバインド</v>
      </c>
      <c r="F48" s="22">
        <v>50002085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433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49" spans="1:15" ht="21" customHeight="1">
      <c r="A49" s="39" t="str">
        <f>B49&amp;"_"&amp;C49</f>
        <v>50002010_50002085</v>
      </c>
      <c r="B49" s="22">
        <v>50002010</v>
      </c>
      <c r="C49" s="101">
        <v>50002085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お前になら任せられるもしれない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ハートパネルを吸収して攻撃力アップ_x000D_＋ハートパネルが出現しない</v>
      </c>
      <c r="F49" s="22">
        <v>50002087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433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AB86"/>
  <sheetViews>
    <sheetView showGridLines="0" workbookViewId="0">
      <pane ySplit="1" topLeftCell="A70" activePane="bottomLeft" state="frozenSplit"/>
      <selection pane="bottomLeft" activeCell="C88" sqref="C88"/>
    </sheetView>
  </sheetViews>
  <sheetFormatPr baseColWidth="12" defaultColWidth="12.83203125" defaultRowHeight="21" customHeight="1" outlineLevelCol="1" x14ac:dyDescent="0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>
      <c r="A2" s="22">
        <v>50002001</v>
      </c>
      <c r="B2" s="47" t="s">
        <v>227</v>
      </c>
      <c r="C2" s="50">
        <v>3</v>
      </c>
      <c r="D2" s="50" t="s">
        <v>128</v>
      </c>
      <c r="E2" s="51" t="s">
        <v>212</v>
      </c>
      <c r="F2" s="51" t="s">
        <v>213</v>
      </c>
      <c r="G2" s="63" t="str">
        <f>IFERROR(LEFT(B2,FIND("],",B2)),B2)</f>
        <v>[effect:nothing]</v>
      </c>
      <c r="H2" s="63">
        <f>FIND("effect:",G2)+7</f>
        <v>9</v>
      </c>
      <c r="I2" s="63">
        <f>IFERROR(FIND(",",G2),LEN(G2))</f>
        <v>16</v>
      </c>
      <c r="J2" s="63" t="e">
        <f>FIND("target:",G2)+7</f>
        <v>#VALUE!</v>
      </c>
      <c r="K2" s="63" t="e">
        <f>FIND(",",G2,I2+1)</f>
        <v>#VALUE!</v>
      </c>
      <c r="L2" s="63" t="str">
        <f>IFERROR(VLOOKUP(MID(G2,J2,K2-J2),[6]skilldef!$C:$D,2,FALSE),"-") &amp; " / " &amp; IFERROR(VLOOKUP(MID(G2,H2,I2-H2),[6]skilldef!$A:$B,2,FALSE),"-")</f>
        <v>- / 何もしない</v>
      </c>
      <c r="M2" s="63" t="str">
        <f>IFERROR(RIGHT(B2,LEN(B2)-FIND("],",B2)-1),"none")</f>
        <v>none</v>
      </c>
      <c r="N2" s="48" t="str">
        <f>IFERROR(LEFT(M2,FIND("],",M2)+S12),M2)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>
      <c r="A3" s="22">
        <v>50002002</v>
      </c>
      <c r="B3" s="47" t="s">
        <v>227</v>
      </c>
      <c r="C3" s="50">
        <v>3</v>
      </c>
      <c r="D3" s="50" t="s">
        <v>128</v>
      </c>
      <c r="E3" s="51" t="s">
        <v>212</v>
      </c>
      <c r="F3" s="51" t="s">
        <v>213</v>
      </c>
      <c r="G3" s="63" t="str">
        <f t="shared" ref="G3:G66" si="0">IFERROR(LEFT(B3,FIND("],",B3)),B3)</f>
        <v>[effect:nothing]</v>
      </c>
      <c r="H3" s="63">
        <f t="shared" ref="H3:H66" si="1">FIND("effect:",G3)+7</f>
        <v>9</v>
      </c>
      <c r="I3" s="63">
        <f t="shared" ref="I3:I66" si="2">IFERROR(FIND(",",G3),LEN(G3))</f>
        <v>16</v>
      </c>
      <c r="J3" s="63" t="e">
        <f t="shared" ref="J3:J66" si="3">FIND("target:",G3)+7</f>
        <v>#VALUE!</v>
      </c>
      <c r="K3" s="63" t="e">
        <f t="shared" ref="K3:K66" si="4">FIND(",",G3,I3+1)</f>
        <v>#VALUE!</v>
      </c>
      <c r="L3" s="63" t="str">
        <f>IFERROR(VLOOKUP(MID(G3,J3,K3-J3),[6]skilldef!$C:$D,2,FALSE),"-") &amp; " / " &amp; IFERROR(VLOOKUP(MID(G3,H3,I3-H3),[6]skilldef!$A:$B,2,FALSE),"-")</f>
        <v>- / 何もしない</v>
      </c>
      <c r="M3" s="63" t="str">
        <f t="shared" ref="M3:M66" si="5">IFERROR(RIGHT(B3,LEN(B3)-FIND("],",B3)-1),"none")</f>
        <v>none</v>
      </c>
      <c r="N3" s="48" t="str">
        <f t="shared" ref="N3:N66" si="6">IFERROR(LEFT(M3,FIND("],",M3)+S13),M3)</f>
        <v>none</v>
      </c>
      <c r="O3" s="63" t="e">
        <f t="shared" ref="O3:O66" si="7">FIND("effect:",N3)+7</f>
        <v>#VALUE!</v>
      </c>
      <c r="P3" s="63">
        <f t="shared" ref="P3:P66" si="8">IFERROR(FIND(",",N3),LEN(N3))</f>
        <v>4</v>
      </c>
      <c r="Q3" s="63" t="e">
        <f t="shared" ref="Q3:Q66" si="9">FIND("target:",N3)+7</f>
        <v>#VALUE!</v>
      </c>
      <c r="R3" s="63" t="e">
        <f t="shared" ref="R3:R66" si="10"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ref="T3:T66" si="11">IFERROR(RIGHT(M3,LEN(M3)-FIND("],",M3)-1),"none")</f>
        <v>none</v>
      </c>
      <c r="U3" s="63" t="e">
        <f t="shared" ref="U3:U66" si="12">FIND("effect:",T3)+7</f>
        <v>#VALUE!</v>
      </c>
      <c r="V3" s="63">
        <f t="shared" ref="V3:V66" si="13">IFERROR(FIND(",",T3),LEN(T3))</f>
        <v>4</v>
      </c>
      <c r="W3" s="63" t="e">
        <f t="shared" ref="W3:W66" si="14">FIND("target:",T3)+7</f>
        <v>#VALUE!</v>
      </c>
      <c r="X3" s="63" t="e">
        <f t="shared" ref="X3:X66" si="15"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>
      <c r="A4" s="22">
        <v>50002003</v>
      </c>
      <c r="B4" s="47" t="s">
        <v>227</v>
      </c>
      <c r="C4" s="50">
        <v>3</v>
      </c>
      <c r="D4" s="50" t="s">
        <v>128</v>
      </c>
      <c r="E4" s="51" t="s">
        <v>212</v>
      </c>
      <c r="F4" s="51" t="s">
        <v>213</v>
      </c>
      <c r="G4" s="63" t="str">
        <f t="shared" si="0"/>
        <v>[effect:nothing]</v>
      </c>
      <c r="H4" s="63">
        <f t="shared" si="1"/>
        <v>9</v>
      </c>
      <c r="I4" s="63">
        <f t="shared" si="2"/>
        <v>16</v>
      </c>
      <c r="J4" s="63" t="e">
        <f t="shared" si="3"/>
        <v>#VALUE!</v>
      </c>
      <c r="K4" s="63" t="e">
        <f t="shared" si="4"/>
        <v>#VALUE!</v>
      </c>
      <c r="L4" s="63" t="str">
        <f>IFERROR(VLOOKUP(MID(G4,J4,K4-J4),[6]skilldef!$C:$D,2,FALSE),"-") &amp; " / " &amp; IFERROR(VLOOKUP(MID(G4,H4,I4-H4),[6]skilldef!$A:$B,2,FALSE),"-")</f>
        <v>- / 何もしない</v>
      </c>
      <c r="M4" s="63" t="str">
        <f t="shared" si="5"/>
        <v>none</v>
      </c>
      <c r="N4" s="48" t="str">
        <f t="shared" si="6"/>
        <v>none</v>
      </c>
      <c r="O4" s="63" t="e">
        <f t="shared" si="7"/>
        <v>#VALUE!</v>
      </c>
      <c r="P4" s="63">
        <f t="shared" si="8"/>
        <v>4</v>
      </c>
      <c r="Q4" s="63" t="e">
        <f t="shared" si="9"/>
        <v>#VALUE!</v>
      </c>
      <c r="R4" s="63" t="e">
        <f t="shared" si="10"/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1"/>
        <v>none</v>
      </c>
      <c r="U4" s="63" t="e">
        <f t="shared" si="12"/>
        <v>#VALUE!</v>
      </c>
      <c r="V4" s="63">
        <f t="shared" si="13"/>
        <v>4</v>
      </c>
      <c r="W4" s="63" t="e">
        <f t="shared" si="14"/>
        <v>#VALUE!</v>
      </c>
      <c r="X4" s="63" t="e">
        <f t="shared" si="15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>
      <c r="A5" s="22">
        <v>50002004</v>
      </c>
      <c r="B5" s="47" t="s">
        <v>227</v>
      </c>
      <c r="C5" s="50">
        <v>3</v>
      </c>
      <c r="D5" s="50" t="s">
        <v>128</v>
      </c>
      <c r="E5" s="51" t="s">
        <v>212</v>
      </c>
      <c r="F5" s="51" t="s">
        <v>213</v>
      </c>
      <c r="G5" s="63" t="str">
        <f t="shared" si="0"/>
        <v>[effect:nothing]</v>
      </c>
      <c r="H5" s="63">
        <f t="shared" si="1"/>
        <v>9</v>
      </c>
      <c r="I5" s="63">
        <f t="shared" si="2"/>
        <v>16</v>
      </c>
      <c r="J5" s="63" t="e">
        <f t="shared" si="3"/>
        <v>#VALUE!</v>
      </c>
      <c r="K5" s="63" t="e">
        <f t="shared" si="4"/>
        <v>#VALUE!</v>
      </c>
      <c r="L5" s="63" t="str">
        <f>IFERROR(VLOOKUP(MID(G5,J5,K5-J5),[6]skilldef!$C:$D,2,FALSE),"-") &amp; " / " &amp; IFERROR(VLOOKUP(MID(G5,H5,I5-H5),[6]skilldef!$A:$B,2,FALSE),"-")</f>
        <v>- / 何もしない</v>
      </c>
      <c r="M5" s="63" t="str">
        <f t="shared" si="5"/>
        <v>none</v>
      </c>
      <c r="N5" s="48" t="str">
        <f t="shared" si="6"/>
        <v>none</v>
      </c>
      <c r="O5" s="63" t="e">
        <f t="shared" si="7"/>
        <v>#VALUE!</v>
      </c>
      <c r="P5" s="63">
        <f t="shared" si="8"/>
        <v>4</v>
      </c>
      <c r="Q5" s="63" t="e">
        <f t="shared" si="9"/>
        <v>#VALUE!</v>
      </c>
      <c r="R5" s="63" t="e">
        <f t="shared" si="10"/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si="11"/>
        <v>none</v>
      </c>
      <c r="U5" s="63" t="e">
        <f t="shared" si="12"/>
        <v>#VALUE!</v>
      </c>
      <c r="V5" s="63">
        <f t="shared" si="13"/>
        <v>4</v>
      </c>
      <c r="W5" s="63" t="e">
        <f t="shared" si="14"/>
        <v>#VALUE!</v>
      </c>
      <c r="X5" s="63" t="e">
        <f t="shared" si="15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>
      <c r="A6" s="22">
        <v>50002005</v>
      </c>
      <c r="B6" s="47" t="s">
        <v>227</v>
      </c>
      <c r="C6" s="50">
        <v>3</v>
      </c>
      <c r="D6" s="50" t="s">
        <v>128</v>
      </c>
      <c r="E6" s="51" t="s">
        <v>212</v>
      </c>
      <c r="F6" s="51" t="s">
        <v>213</v>
      </c>
      <c r="G6" s="63" t="str">
        <f t="shared" si="0"/>
        <v>[effect:nothing]</v>
      </c>
      <c r="H6" s="63">
        <f t="shared" si="1"/>
        <v>9</v>
      </c>
      <c r="I6" s="63">
        <f t="shared" si="2"/>
        <v>16</v>
      </c>
      <c r="J6" s="63" t="e">
        <f t="shared" si="3"/>
        <v>#VALUE!</v>
      </c>
      <c r="K6" s="63" t="e">
        <f t="shared" si="4"/>
        <v>#VALUE!</v>
      </c>
      <c r="L6" s="63" t="str">
        <f>IFERROR(VLOOKUP(MID(G6,J6,K6-J6),[6]skilldef!$C:$D,2,FALSE),"-") &amp; " / " &amp; IFERROR(VLOOKUP(MID(G6,H6,I6-H6),[6]skilldef!$A:$B,2,FALSE),"-")</f>
        <v>- / 何もしない</v>
      </c>
      <c r="M6" s="63" t="str">
        <f t="shared" si="5"/>
        <v>none</v>
      </c>
      <c r="N6" s="48" t="str">
        <f t="shared" si="6"/>
        <v>none</v>
      </c>
      <c r="O6" s="63" t="e">
        <f t="shared" si="7"/>
        <v>#VALUE!</v>
      </c>
      <c r="P6" s="63">
        <f t="shared" si="8"/>
        <v>4</v>
      </c>
      <c r="Q6" s="63" t="e">
        <f t="shared" si="9"/>
        <v>#VALUE!</v>
      </c>
      <c r="R6" s="63" t="e">
        <f t="shared" si="10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>
      <c r="A7" s="22">
        <v>50002006</v>
      </c>
      <c r="B7" s="47" t="s">
        <v>318</v>
      </c>
      <c r="C7" s="50">
        <v>3</v>
      </c>
      <c r="D7" s="50" t="s">
        <v>128</v>
      </c>
      <c r="E7" s="51" t="s">
        <v>313</v>
      </c>
      <c r="F7" s="51" t="s">
        <v>234</v>
      </c>
      <c r="G7" s="63" t="str">
        <f t="shared" si="0"/>
        <v>[effect:hungup, target:unit_all, turn:3, rate:1, animation:hungup01]</v>
      </c>
      <c r="H7" s="63">
        <f t="shared" si="1"/>
        <v>9</v>
      </c>
      <c r="I7" s="63">
        <f t="shared" si="2"/>
        <v>15</v>
      </c>
      <c r="J7" s="63">
        <f t="shared" si="3"/>
        <v>24</v>
      </c>
      <c r="K7" s="63">
        <f t="shared" si="4"/>
        <v>32</v>
      </c>
      <c r="L7" s="63" t="str">
        <f>IFERROR(VLOOKUP(MID(G7,J7,K7-J7),[6]skilldef!$C:$D,2,FALSE),"-") &amp; " / " &amp; IFERROR(VLOOKUP(MID(G7,H7,I7-H7),[6]skilldef!$A:$B,2,FALSE),"-")</f>
        <v>味方全体に / ハングアップ</v>
      </c>
      <c r="M7" s="63" t="str">
        <f t="shared" si="5"/>
        <v>[effect:fix_speed, target:myself, turn:3]</v>
      </c>
      <c r="N7" s="48" t="str">
        <f t="shared" si="6"/>
        <v>[effect:fix_speed, target:myself, turn:3]</v>
      </c>
      <c r="O7" s="63">
        <f t="shared" si="7"/>
        <v>9</v>
      </c>
      <c r="P7" s="63">
        <f t="shared" si="8"/>
        <v>18</v>
      </c>
      <c r="Q7" s="63">
        <f t="shared" si="9"/>
        <v>27</v>
      </c>
      <c r="R7" s="63">
        <f t="shared" si="10"/>
        <v>33</v>
      </c>
      <c r="S7" s="63" t="str">
        <f>IFERROR(VLOOKUP(MID(N7,Q7,R7-Q7),[6]skilldef!$C:$D,2,FALSE),"-") &amp; " / " &amp; IFERROR(VLOOKUP(MID(N7,O7,P7-O7),[6]skilldef!$A:$B,2,FALSE),"-")</f>
        <v>自分自身に / 行動値設定</v>
      </c>
      <c r="T7" s="48" t="str">
        <f t="shared" si="11"/>
        <v>none</v>
      </c>
      <c r="U7" s="63" t="e">
        <f t="shared" si="12"/>
        <v>#VALUE!</v>
      </c>
      <c r="V7" s="63">
        <f t="shared" si="13"/>
        <v>4</v>
      </c>
      <c r="W7" s="63" t="e">
        <f t="shared" si="14"/>
        <v>#VALUE!</v>
      </c>
      <c r="X7" s="63" t="e">
        <f t="shared" si="15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>
      <c r="A8" s="22">
        <v>50002007</v>
      </c>
      <c r="B8" s="47" t="s">
        <v>262</v>
      </c>
      <c r="C8" s="50">
        <v>3</v>
      </c>
      <c r="D8" s="50" t="s">
        <v>128</v>
      </c>
      <c r="E8" s="51" t="s">
        <v>284</v>
      </c>
      <c r="F8" s="51" t="s">
        <v>233</v>
      </c>
      <c r="G8" s="63" t="str">
        <f t="shared" si="0"/>
        <v>[effect:damage_anti_color, target:unit_all, color:green, val1:1.2, val2:0.2]</v>
      </c>
      <c r="H8" s="63">
        <f t="shared" si="1"/>
        <v>9</v>
      </c>
      <c r="I8" s="63">
        <f t="shared" si="2"/>
        <v>26</v>
      </c>
      <c r="J8" s="63">
        <f t="shared" si="3"/>
        <v>35</v>
      </c>
      <c r="K8" s="63">
        <f t="shared" si="4"/>
        <v>43</v>
      </c>
      <c r="L8" s="63" t="str">
        <f>IFERROR(VLOOKUP(MID(G8,J8,K8-J8),[6]skilldef!$C:$D,2,FALSE),"-") &amp; " / " &amp; IFERROR(VLOOKUP(MID(G8,H8,I8-H8),[6]skilldef!$A:$B,2,FALSE),"-")</f>
        <v>味方全体に / 属性キラー</v>
      </c>
      <c r="M8" s="63" t="str">
        <f t="shared" si="5"/>
        <v>none</v>
      </c>
      <c r="N8" s="48" t="str">
        <f t="shared" si="6"/>
        <v>none</v>
      </c>
      <c r="O8" s="63" t="e">
        <f t="shared" si="7"/>
        <v>#VALUE!</v>
      </c>
      <c r="P8" s="63">
        <f t="shared" si="8"/>
        <v>4</v>
      </c>
      <c r="Q8" s="63" t="e">
        <f t="shared" si="9"/>
        <v>#VALUE!</v>
      </c>
      <c r="R8" s="63" t="e">
        <f t="shared" si="10"/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11"/>
        <v>none</v>
      </c>
      <c r="U8" s="63" t="e">
        <f t="shared" si="12"/>
        <v>#VALUE!</v>
      </c>
      <c r="V8" s="63">
        <f t="shared" si="13"/>
        <v>4</v>
      </c>
      <c r="W8" s="63" t="e">
        <f t="shared" si="14"/>
        <v>#VALUE!</v>
      </c>
      <c r="X8" s="63" t="e">
        <f t="shared" si="15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>
      <c r="A9" s="22">
        <v>50002008</v>
      </c>
      <c r="B9" s="47" t="s">
        <v>260</v>
      </c>
      <c r="C9" s="50">
        <v>3</v>
      </c>
      <c r="D9" s="50" t="s">
        <v>128</v>
      </c>
      <c r="E9" s="51" t="s">
        <v>285</v>
      </c>
      <c r="F9" s="51" t="s">
        <v>315</v>
      </c>
      <c r="G9" s="63" t="str">
        <f t="shared" si="0"/>
        <v>[effect:suicide, val:1, dead_type:suicide, target:enemy_unknown, animation:enemy_suicide]</v>
      </c>
      <c r="H9" s="63">
        <f t="shared" si="1"/>
        <v>9</v>
      </c>
      <c r="I9" s="63">
        <f t="shared" si="2"/>
        <v>16</v>
      </c>
      <c r="J9" s="63">
        <f t="shared" si="3"/>
        <v>51</v>
      </c>
      <c r="K9" s="63">
        <f t="shared" si="4"/>
        <v>23</v>
      </c>
      <c r="L9" s="63" t="str">
        <f>IFERROR(VLOOKUP(MID(G9,J9,K9-J9),[6]skilldef!$C:$D,2,FALSE),"-") &amp; " / " &amp; IFERROR(VLOOKUP(MID(G9,H9,I9-H9),[6]skilldef!$A:$B,2,FALSE),"-")</f>
        <v>- / -</v>
      </c>
      <c r="M9" s="63" t="str">
        <f t="shared" si="5"/>
        <v>none</v>
      </c>
      <c r="N9" s="48" t="str">
        <f t="shared" si="6"/>
        <v>none</v>
      </c>
      <c r="O9" s="63" t="e">
        <f t="shared" si="7"/>
        <v>#VALUE!</v>
      </c>
      <c r="P9" s="63">
        <f t="shared" si="8"/>
        <v>4</v>
      </c>
      <c r="Q9" s="63" t="e">
        <f t="shared" si="9"/>
        <v>#VALUE!</v>
      </c>
      <c r="R9" s="63" t="e">
        <f t="shared" si="10"/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si="11"/>
        <v>none</v>
      </c>
      <c r="U9" s="63" t="e">
        <f t="shared" si="12"/>
        <v>#VALUE!</v>
      </c>
      <c r="V9" s="63">
        <f t="shared" si="13"/>
        <v>4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>
      <c r="A10" s="22">
        <v>50002009</v>
      </c>
      <c r="B10" s="47" t="s">
        <v>310</v>
      </c>
      <c r="C10" s="50">
        <v>3</v>
      </c>
      <c r="D10" s="50" t="s">
        <v>128</v>
      </c>
      <c r="E10" s="51" t="s">
        <v>286</v>
      </c>
      <c r="F10" s="51" t="s">
        <v>235</v>
      </c>
      <c r="G10" s="63" t="str">
        <f t="shared" si="0"/>
        <v>[effect:remove_enhancement, target:unit_all, target_effect:enhance, target_type:buff, animation:frozen_wave]</v>
      </c>
      <c r="H10" s="63">
        <f t="shared" si="1"/>
        <v>9</v>
      </c>
      <c r="I10" s="63">
        <f t="shared" si="2"/>
        <v>27</v>
      </c>
      <c r="J10" s="63">
        <f t="shared" si="3"/>
        <v>36</v>
      </c>
      <c r="K10" s="63">
        <f t="shared" si="4"/>
        <v>44</v>
      </c>
      <c r="L10" s="63" t="str">
        <f>IFERROR(VLOOKUP(MID(G10,J10,K10-J10),[6]skilldef!$C:$D,2,FALSE),"-") &amp; " / " &amp; IFERROR(VLOOKUP(MID(G10,H10,I10-H10),[6]skilldef!$A:$B,2,FALSE),"-")</f>
        <v>味方全体に / -</v>
      </c>
      <c r="M10" s="63" t="str">
        <f t="shared" si="5"/>
        <v>none</v>
      </c>
      <c r="N10" s="48" t="str">
        <f t="shared" si="6"/>
        <v>none</v>
      </c>
      <c r="O10" s="63" t="e">
        <f t="shared" si="7"/>
        <v>#VALUE!</v>
      </c>
      <c r="P10" s="63">
        <f t="shared" si="8"/>
        <v>4</v>
      </c>
      <c r="Q10" s="63" t="e">
        <f t="shared" si="9"/>
        <v>#VALUE!</v>
      </c>
      <c r="R10" s="63" t="e">
        <f t="shared" si="10"/>
        <v>#VALUE!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11"/>
        <v>none</v>
      </c>
      <c r="U10" s="63" t="e">
        <f t="shared" si="12"/>
        <v>#VALUE!</v>
      </c>
      <c r="V10" s="63">
        <f t="shared" si="13"/>
        <v>4</v>
      </c>
      <c r="W10" s="63" t="e">
        <f t="shared" si="14"/>
        <v>#VALUE!</v>
      </c>
      <c r="X10" s="63" t="e">
        <f t="shared" si="15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>
      <c r="A11" s="22">
        <v>50002010</v>
      </c>
      <c r="B11" s="47" t="s">
        <v>271</v>
      </c>
      <c r="C11" s="50">
        <v>3</v>
      </c>
      <c r="D11" s="50" t="s">
        <v>128</v>
      </c>
      <c r="E11" s="51" t="s">
        <v>287</v>
      </c>
      <c r="F11" s="51" t="s">
        <v>266</v>
      </c>
      <c r="G11" s="63" t="str">
        <f t="shared" si="0"/>
        <v>[effect:freq_turn, target:myself, turn:4, val:1, animation:enemy_freq_turn]</v>
      </c>
      <c r="H11" s="63">
        <f t="shared" si="1"/>
        <v>9</v>
      </c>
      <c r="I11" s="63">
        <f t="shared" si="2"/>
        <v>18</v>
      </c>
      <c r="J11" s="63">
        <f t="shared" si="3"/>
        <v>27</v>
      </c>
      <c r="K11" s="63">
        <f t="shared" si="4"/>
        <v>33</v>
      </c>
      <c r="L11" s="63" t="str">
        <f>IFERROR(VLOOKUP(MID(G11,J11,K11-J11),[6]skilldef!$C:$D,2,FALSE),"-") &amp; " / " &amp; IFERROR(VLOOKUP(MID(G11,H11,I11-H11),[6]skilldef!$A:$B,2,FALSE),"-")</f>
        <v>自分自身に / 攻撃頻度がUP</v>
      </c>
      <c r="M11" s="63" t="str">
        <f t="shared" si="5"/>
        <v>none</v>
      </c>
      <c r="N11" s="48" t="str">
        <f t="shared" si="6"/>
        <v>none</v>
      </c>
      <c r="O11" s="63" t="e">
        <f t="shared" si="7"/>
        <v>#VALUE!</v>
      </c>
      <c r="P11" s="63">
        <f t="shared" si="8"/>
        <v>4</v>
      </c>
      <c r="Q11" s="63" t="e">
        <f t="shared" si="9"/>
        <v>#VALUE!</v>
      </c>
      <c r="R11" s="63" t="e">
        <f t="shared" si="10"/>
        <v>#VALUE!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11"/>
        <v>none</v>
      </c>
      <c r="U11" s="63" t="e">
        <f t="shared" si="12"/>
        <v>#VALUE!</v>
      </c>
      <c r="V11" s="63">
        <f t="shared" si="13"/>
        <v>4</v>
      </c>
      <c r="W11" s="63" t="e">
        <f t="shared" si="14"/>
        <v>#VALUE!</v>
      </c>
      <c r="X11" s="63" t="e">
        <f t="shared" si="15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>
      <c r="A12" s="22">
        <v>50002011</v>
      </c>
      <c r="B12" s="47" t="s">
        <v>314</v>
      </c>
      <c r="C12" s="50">
        <v>3</v>
      </c>
      <c r="D12" s="50" t="s">
        <v>128</v>
      </c>
      <c r="E12" s="51" t="s">
        <v>288</v>
      </c>
      <c r="F12" s="51" t="s">
        <v>267</v>
      </c>
      <c r="G12" s="63" t="str">
        <f t="shared" si="0"/>
        <v>[effect:enhance_enemy, target:myself, turn:4, status:attack, val:1.2, calc:mul, animation:enemy_enhance_attack]</v>
      </c>
      <c r="H12" s="63">
        <f t="shared" si="1"/>
        <v>9</v>
      </c>
      <c r="I12" s="63">
        <f t="shared" si="2"/>
        <v>22</v>
      </c>
      <c r="J12" s="63">
        <f t="shared" si="3"/>
        <v>31</v>
      </c>
      <c r="K12" s="63">
        <f t="shared" si="4"/>
        <v>37</v>
      </c>
      <c r="L12" s="63" t="str">
        <f>IFERROR(VLOOKUP(MID(G12,J12,K12-J12),[6]skilldef!$C:$D,2,FALSE),"-") &amp; " / " &amp; IFERROR(VLOOKUP(MID(G12,H12,I12-H12),[6]skilldef!$A:$B,2,FALSE),"-")</f>
        <v>自分自身に / ステータス強化</v>
      </c>
      <c r="M12" s="63" t="str">
        <f t="shared" si="5"/>
        <v>none</v>
      </c>
      <c r="N12" s="48" t="str">
        <f t="shared" si="6"/>
        <v>none</v>
      </c>
      <c r="O12" s="63" t="e">
        <f t="shared" si="7"/>
        <v>#VALUE!</v>
      </c>
      <c r="P12" s="63">
        <f t="shared" si="8"/>
        <v>4</v>
      </c>
      <c r="Q12" s="63" t="e">
        <f t="shared" si="9"/>
        <v>#VALUE!</v>
      </c>
      <c r="R12" s="63" t="e">
        <f t="shared" si="10"/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11"/>
        <v>none</v>
      </c>
      <c r="U12" s="63" t="e">
        <f t="shared" si="12"/>
        <v>#VALUE!</v>
      </c>
      <c r="V12" s="63">
        <f t="shared" si="13"/>
        <v>4</v>
      </c>
      <c r="W12" s="63" t="e">
        <f t="shared" si="14"/>
        <v>#VALUE!</v>
      </c>
      <c r="X12" s="63" t="e">
        <f t="shared" si="15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>
      <c r="A13" s="22">
        <v>50002012</v>
      </c>
      <c r="B13" s="47" t="s">
        <v>227</v>
      </c>
      <c r="C13" s="50">
        <v>3</v>
      </c>
      <c r="D13" s="50" t="s">
        <v>128</v>
      </c>
      <c r="E13" s="51" t="s">
        <v>214</v>
      </c>
      <c r="F13" s="51" t="s">
        <v>213</v>
      </c>
      <c r="G13" s="63" t="str">
        <f t="shared" si="0"/>
        <v>[effect:nothing]</v>
      </c>
      <c r="H13" s="63">
        <f t="shared" si="1"/>
        <v>9</v>
      </c>
      <c r="I13" s="63">
        <f t="shared" si="2"/>
        <v>16</v>
      </c>
      <c r="J13" s="63" t="e">
        <f t="shared" si="3"/>
        <v>#VALUE!</v>
      </c>
      <c r="K13" s="63" t="e">
        <f t="shared" si="4"/>
        <v>#VALUE!</v>
      </c>
      <c r="L13" s="63" t="str">
        <f>IFERROR(VLOOKUP(MID(G13,J13,K13-J13),[6]skilldef!$C:$D,2,FALSE),"-") &amp; " / " &amp; IFERROR(VLOOKUP(MID(G13,H13,I13-H13),[6]skilldef!$A:$B,2,FALSE),"-")</f>
        <v>- / 何もしない</v>
      </c>
      <c r="M13" s="63" t="str">
        <f t="shared" si="5"/>
        <v>none</v>
      </c>
      <c r="N13" s="48" t="str">
        <f t="shared" si="6"/>
        <v>none</v>
      </c>
      <c r="O13" s="63" t="e">
        <f t="shared" si="7"/>
        <v>#VALUE!</v>
      </c>
      <c r="P13" s="63">
        <f t="shared" si="8"/>
        <v>4</v>
      </c>
      <c r="Q13" s="63" t="e">
        <f t="shared" si="9"/>
        <v>#VALUE!</v>
      </c>
      <c r="R13" s="63" t="e">
        <f t="shared" si="10"/>
        <v>#VALUE!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11"/>
        <v>none</v>
      </c>
      <c r="U13" s="63" t="e">
        <f t="shared" si="12"/>
        <v>#VALUE!</v>
      </c>
      <c r="V13" s="63">
        <f t="shared" si="13"/>
        <v>4</v>
      </c>
      <c r="W13" s="63" t="e">
        <f t="shared" si="14"/>
        <v>#VALUE!</v>
      </c>
      <c r="X13" s="63" t="e">
        <f t="shared" si="15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>
      <c r="A14" s="22">
        <v>50002013</v>
      </c>
      <c r="B14" s="47" t="s">
        <v>227</v>
      </c>
      <c r="C14" s="50">
        <v>3</v>
      </c>
      <c r="D14" s="50" t="s">
        <v>128</v>
      </c>
      <c r="E14" s="51" t="s">
        <v>214</v>
      </c>
      <c r="F14" s="51" t="s">
        <v>213</v>
      </c>
      <c r="G14" s="63" t="str">
        <f t="shared" si="0"/>
        <v>[effect:nothing]</v>
      </c>
      <c r="H14" s="63">
        <f t="shared" si="1"/>
        <v>9</v>
      </c>
      <c r="I14" s="63">
        <f t="shared" si="2"/>
        <v>16</v>
      </c>
      <c r="J14" s="63" t="e">
        <f t="shared" si="3"/>
        <v>#VALUE!</v>
      </c>
      <c r="K14" s="63" t="e">
        <f t="shared" si="4"/>
        <v>#VALUE!</v>
      </c>
      <c r="L14" s="63" t="str">
        <f>IFERROR(VLOOKUP(MID(G14,J14,K14-J14),[6]skilldef!$C:$D,2,FALSE),"-") &amp; " / " &amp; IFERROR(VLOOKUP(MID(G14,H14,I14-H14),[6]skilldef!$A:$B,2,FALSE),"-")</f>
        <v>- / 何もしない</v>
      </c>
      <c r="M14" s="63" t="str">
        <f t="shared" si="5"/>
        <v>none</v>
      </c>
      <c r="N14" s="48" t="str">
        <f t="shared" si="6"/>
        <v>none</v>
      </c>
      <c r="O14" s="63" t="e">
        <f t="shared" si="7"/>
        <v>#VALUE!</v>
      </c>
      <c r="P14" s="63">
        <f t="shared" si="8"/>
        <v>4</v>
      </c>
      <c r="Q14" s="63" t="e">
        <f t="shared" si="9"/>
        <v>#VALUE!</v>
      </c>
      <c r="R14" s="63" t="e">
        <f t="shared" si="10"/>
        <v>#VALUE!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si="11"/>
        <v>none</v>
      </c>
      <c r="U14" s="63" t="e">
        <f t="shared" si="12"/>
        <v>#VALUE!</v>
      </c>
      <c r="V14" s="63">
        <f t="shared" si="13"/>
        <v>4</v>
      </c>
      <c r="W14" s="63" t="e">
        <f t="shared" si="14"/>
        <v>#VALUE!</v>
      </c>
      <c r="X14" s="63" t="e">
        <f t="shared" si="15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>
      <c r="A15" s="22">
        <v>50002014</v>
      </c>
      <c r="B15" s="47" t="s">
        <v>227</v>
      </c>
      <c r="C15" s="50">
        <v>3</v>
      </c>
      <c r="D15" s="50" t="s">
        <v>128</v>
      </c>
      <c r="E15" s="51" t="s">
        <v>214</v>
      </c>
      <c r="F15" s="51" t="s">
        <v>213</v>
      </c>
      <c r="G15" s="63" t="str">
        <f t="shared" si="0"/>
        <v>[effect:nothing]</v>
      </c>
      <c r="H15" s="63">
        <f t="shared" si="1"/>
        <v>9</v>
      </c>
      <c r="I15" s="63">
        <f t="shared" si="2"/>
        <v>16</v>
      </c>
      <c r="J15" s="63" t="e">
        <f t="shared" si="3"/>
        <v>#VALUE!</v>
      </c>
      <c r="K15" s="63" t="e">
        <f t="shared" si="4"/>
        <v>#VALUE!</v>
      </c>
      <c r="L15" s="63" t="str">
        <f>IFERROR(VLOOKUP(MID(G15,J15,K15-J15),[6]skilldef!$C:$D,2,FALSE),"-") &amp; " / " &amp; IFERROR(VLOOKUP(MID(G15,H15,I15-H15),[6]skilldef!$A:$B,2,FALSE),"-")</f>
        <v>- / 何もしない</v>
      </c>
      <c r="M15" s="63" t="str">
        <f t="shared" si="5"/>
        <v>none</v>
      </c>
      <c r="N15" s="48" t="str">
        <f t="shared" si="6"/>
        <v>none</v>
      </c>
      <c r="O15" s="63" t="e">
        <f t="shared" si="7"/>
        <v>#VALUE!</v>
      </c>
      <c r="P15" s="63">
        <f t="shared" si="8"/>
        <v>4</v>
      </c>
      <c r="Q15" s="63" t="e">
        <f t="shared" si="9"/>
        <v>#VALUE!</v>
      </c>
      <c r="R15" s="63" t="e">
        <f t="shared" si="10"/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si="11"/>
        <v>none</v>
      </c>
      <c r="U15" s="63" t="e">
        <f t="shared" si="12"/>
        <v>#VALUE!</v>
      </c>
      <c r="V15" s="63">
        <f t="shared" si="13"/>
        <v>4</v>
      </c>
      <c r="W15" s="63" t="e">
        <f t="shared" si="14"/>
        <v>#VALUE!</v>
      </c>
      <c r="X15" s="63" t="e">
        <f t="shared" si="15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>
      <c r="A16" s="22">
        <v>50002015</v>
      </c>
      <c r="B16" s="47" t="s">
        <v>227</v>
      </c>
      <c r="C16" s="50">
        <v>3</v>
      </c>
      <c r="D16" s="50" t="s">
        <v>128</v>
      </c>
      <c r="E16" s="51" t="s">
        <v>214</v>
      </c>
      <c r="F16" s="51" t="s">
        <v>213</v>
      </c>
      <c r="G16" s="63" t="str">
        <f t="shared" si="0"/>
        <v>[effect:nothing]</v>
      </c>
      <c r="H16" s="63">
        <f t="shared" si="1"/>
        <v>9</v>
      </c>
      <c r="I16" s="63">
        <f t="shared" si="2"/>
        <v>16</v>
      </c>
      <c r="J16" s="63" t="e">
        <f t="shared" si="3"/>
        <v>#VALUE!</v>
      </c>
      <c r="K16" s="63" t="e">
        <f t="shared" si="4"/>
        <v>#VALUE!</v>
      </c>
      <c r="L16" s="63" t="str">
        <f>IFERROR(VLOOKUP(MID(G16,J16,K16-J16),[6]skilldef!$C:$D,2,FALSE),"-") &amp; " / " &amp; IFERROR(VLOOKUP(MID(G16,H16,I16-H16),[6]skilldef!$A:$B,2,FALSE),"-")</f>
        <v>- / 何もしない</v>
      </c>
      <c r="M16" s="63" t="str">
        <f t="shared" si="5"/>
        <v>none</v>
      </c>
      <c r="N16" s="48" t="str">
        <f t="shared" si="6"/>
        <v>none</v>
      </c>
      <c r="O16" s="63" t="e">
        <f t="shared" si="7"/>
        <v>#VALUE!</v>
      </c>
      <c r="P16" s="63">
        <f t="shared" si="8"/>
        <v>4</v>
      </c>
      <c r="Q16" s="63" t="e">
        <f t="shared" si="9"/>
        <v>#VALUE!</v>
      </c>
      <c r="R16" s="63" t="e">
        <f t="shared" si="10"/>
        <v>#VALUE!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si="11"/>
        <v>none</v>
      </c>
      <c r="U16" s="63" t="e">
        <f t="shared" si="12"/>
        <v>#VALUE!</v>
      </c>
      <c r="V16" s="63">
        <f t="shared" si="13"/>
        <v>4</v>
      </c>
      <c r="W16" s="63" t="e">
        <f t="shared" si="14"/>
        <v>#VALUE!</v>
      </c>
      <c r="X16" s="63" t="e">
        <f t="shared" si="15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>
      <c r="A17" s="22">
        <v>50002016</v>
      </c>
      <c r="B17" s="47" t="s">
        <v>329</v>
      </c>
      <c r="C17" s="50">
        <v>3</v>
      </c>
      <c r="D17" s="50" t="s">
        <v>128</v>
      </c>
      <c r="E17" s="51" t="s">
        <v>289</v>
      </c>
      <c r="F17" s="51" t="s">
        <v>328</v>
      </c>
      <c r="G17" s="63" t="str">
        <f t="shared" si="0"/>
        <v>[effect:heal, target:enemy_all, val:0.25, animation:enemy_heal]</v>
      </c>
      <c r="H17" s="63">
        <f t="shared" si="1"/>
        <v>9</v>
      </c>
      <c r="I17" s="63">
        <f t="shared" si="2"/>
        <v>13</v>
      </c>
      <c r="J17" s="63">
        <f t="shared" si="3"/>
        <v>22</v>
      </c>
      <c r="K17" s="63">
        <f t="shared" si="4"/>
        <v>31</v>
      </c>
      <c r="L17" s="63" t="str">
        <f>IFERROR(VLOOKUP(MID(G17,J17,K17-J17),[6]skilldef!$C:$D,2,FALSE),"-") &amp; " / " &amp; IFERROR(VLOOKUP(MID(G17,H17,I17-H17),[6]skilldef!$A:$B,2,FALSE),"-")</f>
        <v>敵全体に / 回復</v>
      </c>
      <c r="M17" s="63" t="str">
        <f t="shared" si="5"/>
        <v>[effect:fix_speed, target:myself, turn:2]</v>
      </c>
      <c r="N17" s="48" t="str">
        <f t="shared" si="6"/>
        <v>[effect:fix_speed, target:myself, turn:2]</v>
      </c>
      <c r="O17" s="63">
        <f t="shared" si="7"/>
        <v>9</v>
      </c>
      <c r="P17" s="63">
        <f t="shared" si="8"/>
        <v>18</v>
      </c>
      <c r="Q17" s="63">
        <f t="shared" si="9"/>
        <v>27</v>
      </c>
      <c r="R17" s="63">
        <f t="shared" si="10"/>
        <v>33</v>
      </c>
      <c r="S17" s="63" t="str">
        <f>IFERROR(VLOOKUP(MID(N17,Q17,R17-Q17),[6]skilldef!$C:$D,2,FALSE),"-") &amp; " / " &amp; IFERROR(VLOOKUP(MID(N17,O17,P17-O17),[6]skilldef!$A:$B,2,FALSE),"-")</f>
        <v>自分自身に / 行動値設定</v>
      </c>
      <c r="T17" s="48" t="str">
        <f t="shared" si="11"/>
        <v>none</v>
      </c>
      <c r="U17" s="63" t="e">
        <f t="shared" si="12"/>
        <v>#VALUE!</v>
      </c>
      <c r="V17" s="63">
        <f t="shared" si="13"/>
        <v>4</v>
      </c>
      <c r="W17" s="63" t="e">
        <f t="shared" si="14"/>
        <v>#VALUE!</v>
      </c>
      <c r="X17" s="63" t="e">
        <f t="shared" si="15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>
      <c r="A18" s="22">
        <v>50002017</v>
      </c>
      <c r="B18" s="47" t="s">
        <v>263</v>
      </c>
      <c r="C18" s="50">
        <v>3</v>
      </c>
      <c r="D18" s="50" t="s">
        <v>128</v>
      </c>
      <c r="E18" s="51" t="s">
        <v>300</v>
      </c>
      <c r="F18" s="51" t="s">
        <v>321</v>
      </c>
      <c r="G18" s="63" t="str">
        <f t="shared" si="0"/>
        <v>[effect:fix_speed, target:myself, turn:1]</v>
      </c>
      <c r="H18" s="63">
        <f t="shared" si="1"/>
        <v>9</v>
      </c>
      <c r="I18" s="63">
        <f t="shared" si="2"/>
        <v>18</v>
      </c>
      <c r="J18" s="63">
        <f t="shared" si="3"/>
        <v>27</v>
      </c>
      <c r="K18" s="63">
        <f t="shared" si="4"/>
        <v>33</v>
      </c>
      <c r="L18" s="63" t="str">
        <f>IFERROR(VLOOKUP(MID(G18,J18,K18-J18),[6]skilldef!$C:$D,2,FALSE),"-") &amp; " / " &amp; IFERROR(VLOOKUP(MID(G18,H18,I18-H18),[6]skilldef!$A:$B,2,FALSE),"-")</f>
        <v>自分自身に / 行動値設定</v>
      </c>
      <c r="M18" s="63" t="str">
        <f t="shared" si="5"/>
        <v>none</v>
      </c>
      <c r="N18" s="48" t="str">
        <f t="shared" si="6"/>
        <v>none</v>
      </c>
      <c r="O18" s="63" t="e">
        <f t="shared" si="7"/>
        <v>#VALUE!</v>
      </c>
      <c r="P18" s="63">
        <f t="shared" si="8"/>
        <v>4</v>
      </c>
      <c r="Q18" s="63" t="e">
        <f t="shared" si="9"/>
        <v>#VALUE!</v>
      </c>
      <c r="R18" s="63" t="e">
        <f t="shared" si="10"/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11"/>
        <v>none</v>
      </c>
      <c r="U18" s="63" t="e">
        <f t="shared" si="12"/>
        <v>#VALUE!</v>
      </c>
      <c r="V18" s="63">
        <f t="shared" si="13"/>
        <v>4</v>
      </c>
      <c r="W18" s="63" t="e">
        <f t="shared" si="14"/>
        <v>#VALUE!</v>
      </c>
      <c r="X18" s="63" t="e">
        <f t="shared" si="15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>
      <c r="A19" s="22">
        <v>50002018</v>
      </c>
      <c r="B19" s="47" t="s">
        <v>320</v>
      </c>
      <c r="C19" s="50">
        <v>3</v>
      </c>
      <c r="D19" s="50" t="s">
        <v>128</v>
      </c>
      <c r="E19" s="51" t="s">
        <v>332</v>
      </c>
      <c r="F19" s="51" t="s">
        <v>326</v>
      </c>
      <c r="G19" s="63" t="str">
        <f t="shared" si="0"/>
        <v>[effect:suicide, val:1, dead_type:escape, target:myself]</v>
      </c>
      <c r="H19" s="63">
        <f t="shared" si="1"/>
        <v>9</v>
      </c>
      <c r="I19" s="63">
        <f t="shared" si="2"/>
        <v>16</v>
      </c>
      <c r="J19" s="63">
        <f t="shared" si="3"/>
        <v>50</v>
      </c>
      <c r="K19" s="63">
        <f t="shared" si="4"/>
        <v>23</v>
      </c>
      <c r="L19" s="63" t="str">
        <f>IFERROR(VLOOKUP(MID(G19,J19,K19-J19),[6]skilldef!$C:$D,2,FALSE),"-") &amp; " / " &amp; IFERROR(VLOOKUP(MID(G19,H19,I19-H19),[6]skilldef!$A:$B,2,FALSE),"-")</f>
        <v>- / -</v>
      </c>
      <c r="M19" s="63" t="str">
        <f t="shared" si="5"/>
        <v>none</v>
      </c>
      <c r="N19" s="48" t="str">
        <f t="shared" si="6"/>
        <v>none</v>
      </c>
      <c r="O19" s="63" t="e">
        <f t="shared" si="7"/>
        <v>#VALUE!</v>
      </c>
      <c r="P19" s="63">
        <f t="shared" si="8"/>
        <v>4</v>
      </c>
      <c r="Q19" s="63" t="e">
        <f t="shared" si="9"/>
        <v>#VALUE!</v>
      </c>
      <c r="R19" s="63" t="e">
        <f t="shared" si="10"/>
        <v>#VALUE!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11"/>
        <v>none</v>
      </c>
      <c r="U19" s="63" t="e">
        <f t="shared" si="12"/>
        <v>#VALUE!</v>
      </c>
      <c r="V19" s="63">
        <f t="shared" si="13"/>
        <v>4</v>
      </c>
      <c r="W19" s="63" t="e">
        <f t="shared" si="14"/>
        <v>#VALUE!</v>
      </c>
      <c r="X19" s="63" t="e">
        <f t="shared" si="15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>
      <c r="A20" s="22">
        <v>50002019</v>
      </c>
      <c r="B20" s="47" t="s">
        <v>227</v>
      </c>
      <c r="C20" s="50">
        <v>3</v>
      </c>
      <c r="D20" s="50" t="s">
        <v>128</v>
      </c>
      <c r="E20" s="51" t="s">
        <v>229</v>
      </c>
      <c r="F20" s="51" t="s">
        <v>213</v>
      </c>
      <c r="G20" s="63" t="str">
        <f t="shared" si="0"/>
        <v>[effect:nothing]</v>
      </c>
      <c r="H20" s="63">
        <f t="shared" si="1"/>
        <v>9</v>
      </c>
      <c r="I20" s="63">
        <f t="shared" si="2"/>
        <v>16</v>
      </c>
      <c r="J20" s="63" t="e">
        <f t="shared" si="3"/>
        <v>#VALUE!</v>
      </c>
      <c r="K20" s="63" t="e">
        <f t="shared" si="4"/>
        <v>#VALUE!</v>
      </c>
      <c r="L20" s="63" t="str">
        <f>IFERROR(VLOOKUP(MID(G20,J20,K20-J20),[6]skilldef!$C:$D,2,FALSE),"-") &amp; " / " &amp; IFERROR(VLOOKUP(MID(G20,H20,I20-H20),[6]skilldef!$A:$B,2,FALSE),"-")</f>
        <v>- / 何もしない</v>
      </c>
      <c r="M20" s="63" t="str">
        <f t="shared" si="5"/>
        <v>none</v>
      </c>
      <c r="N20" s="48" t="str">
        <f t="shared" si="6"/>
        <v>none</v>
      </c>
      <c r="O20" s="63" t="e">
        <f t="shared" si="7"/>
        <v>#VALUE!</v>
      </c>
      <c r="P20" s="63">
        <f t="shared" si="8"/>
        <v>4</v>
      </c>
      <c r="Q20" s="63" t="e">
        <f t="shared" si="9"/>
        <v>#VALUE!</v>
      </c>
      <c r="R20" s="63" t="e">
        <f t="shared" si="10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11"/>
        <v>none</v>
      </c>
      <c r="U20" s="63" t="e">
        <f t="shared" si="12"/>
        <v>#VALUE!</v>
      </c>
      <c r="V20" s="63">
        <f t="shared" si="13"/>
        <v>4</v>
      </c>
      <c r="W20" s="63" t="e">
        <f t="shared" si="14"/>
        <v>#VALUE!</v>
      </c>
      <c r="X20" s="63" t="e">
        <f t="shared" si="15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>
      <c r="A21" s="22">
        <v>50002020</v>
      </c>
      <c r="B21" s="47" t="s">
        <v>227</v>
      </c>
      <c r="C21" s="50">
        <v>3</v>
      </c>
      <c r="D21" s="50" t="s">
        <v>128</v>
      </c>
      <c r="E21" s="51" t="s">
        <v>215</v>
      </c>
      <c r="F21" s="51" t="s">
        <v>213</v>
      </c>
      <c r="G21" s="63" t="str">
        <f t="shared" si="0"/>
        <v>[effect:nothing]</v>
      </c>
      <c r="H21" s="63">
        <f t="shared" si="1"/>
        <v>9</v>
      </c>
      <c r="I21" s="63">
        <f t="shared" si="2"/>
        <v>16</v>
      </c>
      <c r="J21" s="63" t="e">
        <f t="shared" si="3"/>
        <v>#VALUE!</v>
      </c>
      <c r="K21" s="63" t="e">
        <f t="shared" si="4"/>
        <v>#VALUE!</v>
      </c>
      <c r="L21" s="63" t="str">
        <f>IFERROR(VLOOKUP(MID(G21,J21,K21-J21),[6]skilldef!$C:$D,2,FALSE),"-") &amp; " / " &amp; IFERROR(VLOOKUP(MID(G21,H21,I21-H21),[6]skilldef!$A:$B,2,FALSE),"-")</f>
        <v>- / 何もしない</v>
      </c>
      <c r="M21" s="63" t="str">
        <f t="shared" si="5"/>
        <v>none</v>
      </c>
      <c r="N21" s="48" t="str">
        <f t="shared" si="6"/>
        <v>none</v>
      </c>
      <c r="O21" s="63" t="e">
        <f t="shared" si="7"/>
        <v>#VALUE!</v>
      </c>
      <c r="P21" s="63">
        <f t="shared" si="8"/>
        <v>4</v>
      </c>
      <c r="Q21" s="63" t="e">
        <f t="shared" si="9"/>
        <v>#VALUE!</v>
      </c>
      <c r="R21" s="63" t="e">
        <f t="shared" si="10"/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11"/>
        <v>none</v>
      </c>
      <c r="U21" s="63" t="e">
        <f t="shared" si="12"/>
        <v>#VALUE!</v>
      </c>
      <c r="V21" s="63">
        <f t="shared" si="13"/>
        <v>4</v>
      </c>
      <c r="W21" s="63" t="e">
        <f t="shared" si="14"/>
        <v>#VALUE!</v>
      </c>
      <c r="X21" s="63" t="e">
        <f t="shared" si="15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>
      <c r="A22" s="22">
        <v>50002021</v>
      </c>
      <c r="B22" s="47" t="s">
        <v>330</v>
      </c>
      <c r="C22" s="50">
        <v>3</v>
      </c>
      <c r="D22" s="50" t="s">
        <v>128</v>
      </c>
      <c r="E22" s="51" t="s">
        <v>289</v>
      </c>
      <c r="F22" s="51" t="s">
        <v>328</v>
      </c>
      <c r="G22" s="63" t="str">
        <f t="shared" si="0"/>
        <v>[effect:heal, target:enemy_all, val:0.25, animation:enemy_heal]</v>
      </c>
      <c r="H22" s="63">
        <f t="shared" si="1"/>
        <v>9</v>
      </c>
      <c r="I22" s="63">
        <f t="shared" si="2"/>
        <v>13</v>
      </c>
      <c r="J22" s="63">
        <f t="shared" si="3"/>
        <v>22</v>
      </c>
      <c r="K22" s="63">
        <f t="shared" si="4"/>
        <v>31</v>
      </c>
      <c r="L22" s="63" t="str">
        <f>IFERROR(VLOOKUP(MID(G22,J22,K22-J22),[6]skilldef!$C:$D,2,FALSE),"-") &amp; " / " &amp; IFERROR(VLOOKUP(MID(G22,H22,I22-H22),[6]skilldef!$A:$B,2,FALSE),"-")</f>
        <v>敵全体に / 回復</v>
      </c>
      <c r="M22" s="63" t="str">
        <f t="shared" si="5"/>
        <v>none</v>
      </c>
      <c r="N22" s="48" t="str">
        <f t="shared" si="6"/>
        <v>none</v>
      </c>
      <c r="O22" s="63" t="e">
        <f t="shared" si="7"/>
        <v>#VALUE!</v>
      </c>
      <c r="P22" s="63">
        <f t="shared" si="8"/>
        <v>4</v>
      </c>
      <c r="Q22" s="63" t="e">
        <f t="shared" si="9"/>
        <v>#VALUE!</v>
      </c>
      <c r="R22" s="63" t="e">
        <f t="shared" si="10"/>
        <v>#VALUE!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11"/>
        <v>none</v>
      </c>
      <c r="U22" s="63" t="e">
        <f t="shared" si="12"/>
        <v>#VALUE!</v>
      </c>
      <c r="V22" s="63">
        <f t="shared" si="13"/>
        <v>4</v>
      </c>
      <c r="W22" s="63" t="e">
        <f t="shared" si="14"/>
        <v>#VALUE!</v>
      </c>
      <c r="X22" s="63" t="e">
        <f t="shared" si="15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>
      <c r="A23" s="22">
        <v>50002022</v>
      </c>
      <c r="B23" s="47" t="s">
        <v>283</v>
      </c>
      <c r="C23" s="50">
        <v>3</v>
      </c>
      <c r="D23" s="50" t="s">
        <v>128</v>
      </c>
      <c r="E23" s="51" t="s">
        <v>301</v>
      </c>
      <c r="F23" s="51" t="s">
        <v>322</v>
      </c>
      <c r="G23" s="63" t="str">
        <f t="shared" si="0"/>
        <v>[effect:fix_speed, target:myself, turn:2]</v>
      </c>
      <c r="H23" s="63">
        <f t="shared" si="1"/>
        <v>9</v>
      </c>
      <c r="I23" s="63">
        <f t="shared" si="2"/>
        <v>18</v>
      </c>
      <c r="J23" s="63">
        <f t="shared" si="3"/>
        <v>27</v>
      </c>
      <c r="K23" s="63">
        <f t="shared" si="4"/>
        <v>33</v>
      </c>
      <c r="L23" s="63" t="str">
        <f>IFERROR(VLOOKUP(MID(G23,J23,K23-J23),[6]skilldef!$C:$D,2,FALSE),"-") &amp; " / " &amp; IFERROR(VLOOKUP(MID(G23,H23,I23-H23),[6]skilldef!$A:$B,2,FALSE),"-")</f>
        <v>自分自身に / 行動値設定</v>
      </c>
      <c r="M23" s="63" t="str">
        <f t="shared" si="5"/>
        <v>none</v>
      </c>
      <c r="N23" s="48" t="str">
        <f t="shared" si="6"/>
        <v>none</v>
      </c>
      <c r="O23" s="63" t="e">
        <f t="shared" si="7"/>
        <v>#VALUE!</v>
      </c>
      <c r="P23" s="63">
        <f t="shared" si="8"/>
        <v>4</v>
      </c>
      <c r="Q23" s="63" t="e">
        <f t="shared" si="9"/>
        <v>#VALUE!</v>
      </c>
      <c r="R23" s="63" t="e">
        <f t="shared" si="10"/>
        <v>#VALUE!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11"/>
        <v>none</v>
      </c>
      <c r="U23" s="63" t="e">
        <f t="shared" si="12"/>
        <v>#VALUE!</v>
      </c>
      <c r="V23" s="63">
        <f t="shared" si="13"/>
        <v>4</v>
      </c>
      <c r="W23" s="63" t="e">
        <f t="shared" si="14"/>
        <v>#VALUE!</v>
      </c>
      <c r="X23" s="63" t="e">
        <f t="shared" si="15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>
      <c r="A24" s="22">
        <v>50002023</v>
      </c>
      <c r="B24" s="47" t="s">
        <v>319</v>
      </c>
      <c r="C24" s="50">
        <v>3</v>
      </c>
      <c r="D24" s="50" t="s">
        <v>128</v>
      </c>
      <c r="E24" s="51" t="s">
        <v>333</v>
      </c>
      <c r="F24" s="51" t="s">
        <v>317</v>
      </c>
      <c r="G24" s="63" t="str">
        <f t="shared" si="0"/>
        <v>[effect:suicide, val:1, dead_type:escape, target:myself]</v>
      </c>
      <c r="H24" s="63">
        <f t="shared" si="1"/>
        <v>9</v>
      </c>
      <c r="I24" s="63">
        <f t="shared" si="2"/>
        <v>16</v>
      </c>
      <c r="J24" s="63">
        <f t="shared" si="3"/>
        <v>50</v>
      </c>
      <c r="K24" s="63">
        <f t="shared" si="4"/>
        <v>23</v>
      </c>
      <c r="L24" s="63" t="str">
        <f>IFERROR(VLOOKUP(MID(G24,J24,K24-J24),[6]skilldef!$C:$D,2,FALSE),"-") &amp; " / " &amp; IFERROR(VLOOKUP(MID(G24,H24,I24-H24),[6]skilldef!$A:$B,2,FALSE),"-")</f>
        <v>- / -</v>
      </c>
      <c r="M24" s="63" t="str">
        <f t="shared" si="5"/>
        <v>none</v>
      </c>
      <c r="N24" s="48" t="str">
        <f t="shared" si="6"/>
        <v>none</v>
      </c>
      <c r="O24" s="63" t="e">
        <f t="shared" si="7"/>
        <v>#VALUE!</v>
      </c>
      <c r="P24" s="63">
        <f t="shared" si="8"/>
        <v>4</v>
      </c>
      <c r="Q24" s="63" t="e">
        <f t="shared" si="9"/>
        <v>#VALUE!</v>
      </c>
      <c r="R24" s="63" t="e">
        <f t="shared" si="10"/>
        <v>#VALUE!</v>
      </c>
      <c r="S24" s="63" t="str">
        <f>IFERROR(VLOOKUP(MID(N24,Q24,R24-Q24),[6]skilldef!$C:$D,2,FALSE),"-") &amp; " / " &amp; IFERROR(VLOOKUP(MID(N24,O24,P24-O24),[6]skilldef!$A:$B,2,FALSE),"-")</f>
        <v>- / -</v>
      </c>
      <c r="T24" s="48" t="str">
        <f t="shared" si="11"/>
        <v>none</v>
      </c>
      <c r="U24" s="63" t="e">
        <f t="shared" si="12"/>
        <v>#VALUE!</v>
      </c>
      <c r="V24" s="63">
        <f t="shared" si="13"/>
        <v>4</v>
      </c>
      <c r="W24" s="63" t="e">
        <f t="shared" si="14"/>
        <v>#VALUE!</v>
      </c>
      <c r="X24" s="63" t="e">
        <f t="shared" si="15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>
      <c r="A25" s="22">
        <v>50002024</v>
      </c>
      <c r="B25" s="47" t="s">
        <v>231</v>
      </c>
      <c r="C25" s="50">
        <v>3</v>
      </c>
      <c r="D25" s="50" t="s">
        <v>128</v>
      </c>
      <c r="E25" s="51" t="s">
        <v>216</v>
      </c>
      <c r="F25" s="51" t="s">
        <v>213</v>
      </c>
      <c r="G25" s="63" t="str">
        <f t="shared" si="0"/>
        <v>[effect:nothing]</v>
      </c>
      <c r="H25" s="63">
        <f t="shared" si="1"/>
        <v>9</v>
      </c>
      <c r="I25" s="63">
        <f t="shared" si="2"/>
        <v>16</v>
      </c>
      <c r="J25" s="63" t="e">
        <f t="shared" si="3"/>
        <v>#VALUE!</v>
      </c>
      <c r="K25" s="63" t="e">
        <f t="shared" si="4"/>
        <v>#VALUE!</v>
      </c>
      <c r="L25" s="63" t="str">
        <f>IFERROR(VLOOKUP(MID(G25,J25,K25-J25),[6]skilldef!$C:$D,2,FALSE),"-") &amp; " / " &amp; IFERROR(VLOOKUP(MID(G25,H25,I25-H25),[6]skilldef!$A:$B,2,FALSE),"-")</f>
        <v>- / 何もしない</v>
      </c>
      <c r="M25" s="63" t="str">
        <f t="shared" si="5"/>
        <v>none</v>
      </c>
      <c r="N25" s="48" t="str">
        <f t="shared" si="6"/>
        <v>none</v>
      </c>
      <c r="O25" s="63" t="e">
        <f t="shared" si="7"/>
        <v>#VALUE!</v>
      </c>
      <c r="P25" s="63">
        <f t="shared" si="8"/>
        <v>4</v>
      </c>
      <c r="Q25" s="63" t="e">
        <f t="shared" si="9"/>
        <v>#VALUE!</v>
      </c>
      <c r="R25" s="63" t="e">
        <f t="shared" si="10"/>
        <v>#VALUE!</v>
      </c>
      <c r="S25" s="63" t="str">
        <f>IFERROR(VLOOKUP(MID(N25,Q25,R25-Q25),[6]skilldef!$C:$D,2,FALSE),"-") &amp; " / " &amp; IFERROR(VLOOKUP(MID(N25,O25,P25-O25),[6]skilldef!$A:$B,2,FALSE),"-")</f>
        <v>- / -</v>
      </c>
      <c r="T25" s="48" t="str">
        <f t="shared" si="11"/>
        <v>none</v>
      </c>
      <c r="U25" s="63" t="e">
        <f t="shared" si="12"/>
        <v>#VALUE!</v>
      </c>
      <c r="V25" s="63">
        <f t="shared" si="13"/>
        <v>4</v>
      </c>
      <c r="W25" s="63" t="e">
        <f t="shared" si="14"/>
        <v>#VALUE!</v>
      </c>
      <c r="X25" s="63" t="e">
        <f t="shared" si="15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>
      <c r="A26" s="22">
        <v>50002025</v>
      </c>
      <c r="B26" s="47" t="s">
        <v>230</v>
      </c>
      <c r="C26" s="50">
        <v>3</v>
      </c>
      <c r="D26" s="50" t="s">
        <v>128</v>
      </c>
      <c r="E26" s="51" t="s">
        <v>216</v>
      </c>
      <c r="F26" s="51" t="s">
        <v>213</v>
      </c>
      <c r="G26" s="63" t="str">
        <f t="shared" si="0"/>
        <v>[effect:nothing]</v>
      </c>
      <c r="H26" s="63">
        <f t="shared" si="1"/>
        <v>9</v>
      </c>
      <c r="I26" s="63">
        <f t="shared" si="2"/>
        <v>16</v>
      </c>
      <c r="J26" s="63" t="e">
        <f t="shared" si="3"/>
        <v>#VALUE!</v>
      </c>
      <c r="K26" s="63" t="e">
        <f t="shared" si="4"/>
        <v>#VALUE!</v>
      </c>
      <c r="L26" s="63" t="str">
        <f>IFERROR(VLOOKUP(MID(G26,J26,K26-J26),[6]skilldef!$C:$D,2,FALSE),"-") &amp; " / " &amp; IFERROR(VLOOKUP(MID(G26,H26,I26-H26),[6]skilldef!$A:$B,2,FALSE),"-")</f>
        <v>- / 何もしない</v>
      </c>
      <c r="M26" s="63" t="str">
        <f t="shared" si="5"/>
        <v>none</v>
      </c>
      <c r="N26" s="48" t="str">
        <f t="shared" si="6"/>
        <v>none</v>
      </c>
      <c r="O26" s="63" t="e">
        <f t="shared" si="7"/>
        <v>#VALUE!</v>
      </c>
      <c r="P26" s="63">
        <f t="shared" si="8"/>
        <v>4</v>
      </c>
      <c r="Q26" s="63" t="e">
        <f t="shared" si="9"/>
        <v>#VALUE!</v>
      </c>
      <c r="R26" s="63" t="e">
        <f t="shared" si="10"/>
        <v>#VALUE!</v>
      </c>
      <c r="S26" s="63" t="str">
        <f>IFERROR(VLOOKUP(MID(N26,Q26,R26-Q26),[6]skilldef!$C:$D,2,FALSE),"-") &amp; " / " &amp; IFERROR(VLOOKUP(MID(N26,O26,P26-O26),[6]skilldef!$A:$B,2,FALSE),"-")</f>
        <v>- / -</v>
      </c>
      <c r="T26" s="48" t="str">
        <f t="shared" si="11"/>
        <v>none</v>
      </c>
      <c r="U26" s="63" t="e">
        <f t="shared" si="12"/>
        <v>#VALUE!</v>
      </c>
      <c r="V26" s="63">
        <f t="shared" si="13"/>
        <v>4</v>
      </c>
      <c r="W26" s="63" t="e">
        <f t="shared" si="14"/>
        <v>#VALUE!</v>
      </c>
      <c r="X26" s="63" t="e">
        <f t="shared" si="15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>
      <c r="A27" s="22">
        <v>50002026</v>
      </c>
      <c r="B27" s="47" t="s">
        <v>268</v>
      </c>
      <c r="C27" s="50">
        <v>3</v>
      </c>
      <c r="D27" s="50" t="s">
        <v>128</v>
      </c>
      <c r="E27" s="51" t="s">
        <v>290</v>
      </c>
      <c r="F27" s="51" t="s">
        <v>331</v>
      </c>
      <c r="G27" s="63" t="str">
        <f t="shared" si="0"/>
        <v>[effect:degrade_fever, val:1000, animation:fevergauge_down]</v>
      </c>
      <c r="H27" s="63">
        <f t="shared" si="1"/>
        <v>9</v>
      </c>
      <c r="I27" s="63">
        <f t="shared" si="2"/>
        <v>22</v>
      </c>
      <c r="J27" s="63" t="e">
        <f t="shared" si="3"/>
        <v>#VALUE!</v>
      </c>
      <c r="K27" s="63">
        <f t="shared" si="4"/>
        <v>32</v>
      </c>
      <c r="L27" s="63" t="str">
        <f>IFERROR(VLOOKUP(MID(G27,J27,K27-J27),[6]skilldef!$C:$D,2,FALSE),"-") &amp; " / " &amp; IFERROR(VLOOKUP(MID(G27,H27,I27-H27),[6]skilldef!$A:$B,2,FALSE),"-")</f>
        <v>- / フィーバーゲージ減少</v>
      </c>
      <c r="M27" s="63" t="str">
        <f t="shared" si="5"/>
        <v>none</v>
      </c>
      <c r="N27" s="48" t="str">
        <f t="shared" si="6"/>
        <v>none</v>
      </c>
      <c r="O27" s="63" t="e">
        <f t="shared" si="7"/>
        <v>#VALUE!</v>
      </c>
      <c r="P27" s="63">
        <f t="shared" si="8"/>
        <v>4</v>
      </c>
      <c r="Q27" s="63" t="e">
        <f t="shared" si="9"/>
        <v>#VALUE!</v>
      </c>
      <c r="R27" s="63" t="e">
        <f t="shared" si="10"/>
        <v>#VALUE!</v>
      </c>
      <c r="S27" s="63" t="str">
        <f>IFERROR(VLOOKUP(MID(N27,Q27,R27-Q27),[6]skilldef!$C:$D,2,FALSE),"-") &amp; " / " &amp; IFERROR(VLOOKUP(MID(N27,O27,P27-O27),[6]skilldef!$A:$B,2,FALSE),"-")</f>
        <v>- / -</v>
      </c>
      <c r="T27" s="48" t="str">
        <f t="shared" si="11"/>
        <v>none</v>
      </c>
      <c r="U27" s="63" t="e">
        <f t="shared" si="12"/>
        <v>#VALUE!</v>
      </c>
      <c r="V27" s="63">
        <f t="shared" si="13"/>
        <v>4</v>
      </c>
      <c r="W27" s="63" t="e">
        <f t="shared" si="14"/>
        <v>#VALUE!</v>
      </c>
      <c r="X27" s="63" t="e">
        <f t="shared" si="15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>
      <c r="A28" s="22">
        <v>50002027</v>
      </c>
      <c r="B28" s="47" t="s">
        <v>279</v>
      </c>
      <c r="C28" s="50">
        <v>3</v>
      </c>
      <c r="D28" s="50" t="s">
        <v>128</v>
      </c>
      <c r="E28" s="51" t="s">
        <v>291</v>
      </c>
      <c r="F28" s="51" t="s">
        <v>270</v>
      </c>
      <c r="G28" s="63" t="str">
        <f t="shared" si="0"/>
        <v>[effect:damage_anti_color, target:unit_all, color:blue, val1:0.4, val2:0.2]</v>
      </c>
      <c r="H28" s="63">
        <f t="shared" si="1"/>
        <v>9</v>
      </c>
      <c r="I28" s="63">
        <f t="shared" si="2"/>
        <v>26</v>
      </c>
      <c r="J28" s="63">
        <f t="shared" si="3"/>
        <v>35</v>
      </c>
      <c r="K28" s="63">
        <f t="shared" si="4"/>
        <v>43</v>
      </c>
      <c r="L28" s="63" t="str">
        <f>IFERROR(VLOOKUP(MID(G28,J28,K28-J28),[6]skilldef!$C:$D,2,FALSE),"-") &amp; " / " &amp; IFERROR(VLOOKUP(MID(G28,H28,I28-H28),[6]skilldef!$A:$B,2,FALSE),"-")</f>
        <v>味方全体に / 属性キラー</v>
      </c>
      <c r="M28" s="63" t="str">
        <f t="shared" si="5"/>
        <v>none</v>
      </c>
      <c r="N28" s="48" t="str">
        <f t="shared" si="6"/>
        <v>none</v>
      </c>
      <c r="O28" s="63" t="e">
        <f t="shared" si="7"/>
        <v>#VALUE!</v>
      </c>
      <c r="P28" s="63">
        <f t="shared" si="8"/>
        <v>4</v>
      </c>
      <c r="Q28" s="63" t="e">
        <f t="shared" si="9"/>
        <v>#VALUE!</v>
      </c>
      <c r="R28" s="63" t="e">
        <f t="shared" si="10"/>
        <v>#VALUE!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si="11"/>
        <v>none</v>
      </c>
      <c r="U28" s="63" t="e">
        <f t="shared" si="12"/>
        <v>#VALUE!</v>
      </c>
      <c r="V28" s="63">
        <f t="shared" si="13"/>
        <v>4</v>
      </c>
      <c r="W28" s="63" t="e">
        <f t="shared" si="14"/>
        <v>#VALUE!</v>
      </c>
      <c r="X28" s="63" t="e">
        <f t="shared" si="15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>
      <c r="A29" s="22">
        <v>50002028</v>
      </c>
      <c r="B29" s="47" t="s">
        <v>227</v>
      </c>
      <c r="C29" s="50">
        <v>3</v>
      </c>
      <c r="D29" s="50" t="s">
        <v>128</v>
      </c>
      <c r="E29" s="51" t="s">
        <v>217</v>
      </c>
      <c r="F29" s="51" t="s">
        <v>213</v>
      </c>
      <c r="G29" s="63" t="str">
        <f t="shared" si="0"/>
        <v>[effect:nothing]</v>
      </c>
      <c r="H29" s="63">
        <f t="shared" si="1"/>
        <v>9</v>
      </c>
      <c r="I29" s="63">
        <f t="shared" si="2"/>
        <v>16</v>
      </c>
      <c r="J29" s="63" t="e">
        <f t="shared" si="3"/>
        <v>#VALUE!</v>
      </c>
      <c r="K29" s="63" t="e">
        <f t="shared" si="4"/>
        <v>#VALUE!</v>
      </c>
      <c r="L29" s="63" t="str">
        <f>IFERROR(VLOOKUP(MID(G29,J29,K29-J29),[6]skilldef!$C:$D,2,FALSE),"-") &amp; " / " &amp; IFERROR(VLOOKUP(MID(G29,H29,I29-H29),[6]skilldef!$A:$B,2,FALSE),"-")</f>
        <v>- / 何もしない</v>
      </c>
      <c r="M29" s="63" t="str">
        <f t="shared" si="5"/>
        <v>none</v>
      </c>
      <c r="N29" s="48" t="str">
        <f t="shared" si="6"/>
        <v>none</v>
      </c>
      <c r="O29" s="63" t="e">
        <f t="shared" si="7"/>
        <v>#VALUE!</v>
      </c>
      <c r="P29" s="63">
        <f t="shared" si="8"/>
        <v>4</v>
      </c>
      <c r="Q29" s="63" t="e">
        <f t="shared" si="9"/>
        <v>#VALUE!</v>
      </c>
      <c r="R29" s="63" t="e">
        <f t="shared" si="10"/>
        <v>#VALUE!</v>
      </c>
      <c r="S29" s="63" t="str">
        <f>IFERROR(VLOOKUP(MID(N29,Q29,R29-Q29),[6]skilldef!$C:$D,2,FALSE),"-") &amp; " / " &amp; IFERROR(VLOOKUP(MID(N29,O29,P29-O29),[6]skilldef!$A:$B,2,FALSE),"-")</f>
        <v>- / -</v>
      </c>
      <c r="T29" s="48" t="str">
        <f t="shared" si="11"/>
        <v>none</v>
      </c>
      <c r="U29" s="63" t="e">
        <f t="shared" si="12"/>
        <v>#VALUE!</v>
      </c>
      <c r="V29" s="63">
        <f t="shared" si="13"/>
        <v>4</v>
      </c>
      <c r="W29" s="63" t="e">
        <f t="shared" si="14"/>
        <v>#VALUE!</v>
      </c>
      <c r="X29" s="63" t="e">
        <f t="shared" si="15"/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>
      <c r="A30" s="22">
        <v>50002029</v>
      </c>
      <c r="B30" s="47" t="s">
        <v>227</v>
      </c>
      <c r="C30" s="50">
        <v>3</v>
      </c>
      <c r="D30" s="50" t="s">
        <v>128</v>
      </c>
      <c r="E30" s="51" t="s">
        <v>217</v>
      </c>
      <c r="F30" s="51" t="s">
        <v>213</v>
      </c>
      <c r="G30" s="63" t="str">
        <f t="shared" si="0"/>
        <v>[effect:nothing]</v>
      </c>
      <c r="H30" s="63">
        <f t="shared" si="1"/>
        <v>9</v>
      </c>
      <c r="I30" s="63">
        <f t="shared" si="2"/>
        <v>16</v>
      </c>
      <c r="J30" s="63" t="e">
        <f t="shared" si="3"/>
        <v>#VALUE!</v>
      </c>
      <c r="K30" s="63" t="e">
        <f t="shared" si="4"/>
        <v>#VALUE!</v>
      </c>
      <c r="L30" s="63" t="str">
        <f>IFERROR(VLOOKUP(MID(G30,J30,K30-J30),[6]skilldef!$C:$D,2,FALSE),"-") &amp; " / " &amp; IFERROR(VLOOKUP(MID(G30,H30,I30-H30),[6]skilldef!$A:$B,2,FALSE),"-")</f>
        <v>- / 何もしない</v>
      </c>
      <c r="M30" s="63" t="str">
        <f t="shared" si="5"/>
        <v>none</v>
      </c>
      <c r="N30" s="48" t="str">
        <f t="shared" si="6"/>
        <v>none</v>
      </c>
      <c r="O30" s="63" t="e">
        <f t="shared" si="7"/>
        <v>#VALUE!</v>
      </c>
      <c r="P30" s="63">
        <f t="shared" si="8"/>
        <v>4</v>
      </c>
      <c r="Q30" s="63" t="e">
        <f t="shared" si="9"/>
        <v>#VALUE!</v>
      </c>
      <c r="R30" s="63" t="e">
        <f t="shared" si="10"/>
        <v>#VALUE!</v>
      </c>
      <c r="S30" s="63" t="str">
        <f>IFERROR(VLOOKUP(MID(N30,Q30,R30-Q30),[6]skilldef!$C:$D,2,FALSE),"-") &amp; " / " &amp; IFERROR(VLOOKUP(MID(N30,O30,P30-O30),[6]skilldef!$A:$B,2,FALSE),"-")</f>
        <v>- / -</v>
      </c>
      <c r="T30" s="48" t="str">
        <f t="shared" si="11"/>
        <v>none</v>
      </c>
      <c r="U30" s="63" t="e">
        <f t="shared" si="12"/>
        <v>#VALUE!</v>
      </c>
      <c r="V30" s="63">
        <f t="shared" si="13"/>
        <v>4</v>
      </c>
      <c r="W30" s="63" t="e">
        <f t="shared" si="14"/>
        <v>#VALUE!</v>
      </c>
      <c r="X30" s="63" t="e">
        <f t="shared" si="15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>
      <c r="A31" s="22">
        <v>50002030</v>
      </c>
      <c r="B31" s="47" t="s">
        <v>231</v>
      </c>
      <c r="C31" s="50">
        <v>3</v>
      </c>
      <c r="D31" s="50" t="s">
        <v>128</v>
      </c>
      <c r="E31" s="51" t="s">
        <v>217</v>
      </c>
      <c r="F31" s="51" t="s">
        <v>213</v>
      </c>
      <c r="G31" s="63" t="str">
        <f t="shared" si="0"/>
        <v>[effect:nothing]</v>
      </c>
      <c r="H31" s="63">
        <f t="shared" si="1"/>
        <v>9</v>
      </c>
      <c r="I31" s="63">
        <f t="shared" si="2"/>
        <v>16</v>
      </c>
      <c r="J31" s="63" t="e">
        <f t="shared" si="3"/>
        <v>#VALUE!</v>
      </c>
      <c r="K31" s="63" t="e">
        <f t="shared" si="4"/>
        <v>#VALUE!</v>
      </c>
      <c r="L31" s="63" t="str">
        <f>IFERROR(VLOOKUP(MID(G31,J31,K31-J31),[6]skilldef!$C:$D,2,FALSE),"-") &amp; " / " &amp; IFERROR(VLOOKUP(MID(G31,H31,I31-H31),[6]skilldef!$A:$B,2,FALSE),"-")</f>
        <v>- / 何もしない</v>
      </c>
      <c r="M31" s="63" t="str">
        <f t="shared" si="5"/>
        <v>none</v>
      </c>
      <c r="N31" s="48" t="str">
        <f t="shared" si="6"/>
        <v>none</v>
      </c>
      <c r="O31" s="63" t="e">
        <f t="shared" si="7"/>
        <v>#VALUE!</v>
      </c>
      <c r="P31" s="63">
        <f t="shared" si="8"/>
        <v>4</v>
      </c>
      <c r="Q31" s="63" t="e">
        <f t="shared" si="9"/>
        <v>#VALUE!</v>
      </c>
      <c r="R31" s="63" t="e">
        <f t="shared" si="10"/>
        <v>#VALUE!</v>
      </c>
      <c r="S31" s="63" t="str">
        <f>IFERROR(VLOOKUP(MID(N31,Q31,R31-Q31),[6]skilldef!$C:$D,2,FALSE),"-") &amp; " / " &amp; IFERROR(VLOOKUP(MID(N31,O31,P31-O31),[6]skilldef!$A:$B,2,FALSE),"-")</f>
        <v>- / -</v>
      </c>
      <c r="T31" s="48" t="str">
        <f t="shared" si="11"/>
        <v>none</v>
      </c>
      <c r="U31" s="63" t="e">
        <f t="shared" si="12"/>
        <v>#VALUE!</v>
      </c>
      <c r="V31" s="63">
        <f t="shared" si="13"/>
        <v>4</v>
      </c>
      <c r="W31" s="63" t="e">
        <f t="shared" si="14"/>
        <v>#VALUE!</v>
      </c>
      <c r="X31" s="63" t="e">
        <f t="shared" si="15"/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>
      <c r="A32" s="22">
        <v>50002031</v>
      </c>
      <c r="B32" s="47" t="s">
        <v>232</v>
      </c>
      <c r="C32" s="50">
        <v>3</v>
      </c>
      <c r="D32" s="50" t="s">
        <v>128</v>
      </c>
      <c r="E32" s="51" t="s">
        <v>254</v>
      </c>
      <c r="F32" s="51" t="s">
        <v>223</v>
      </c>
      <c r="G32" s="63" t="str">
        <f t="shared" si="0"/>
        <v>[effect:tolerance, target:myself, turn:-1, tolerance_effect:hungup, count:-1]</v>
      </c>
      <c r="H32" s="63">
        <f t="shared" si="1"/>
        <v>9</v>
      </c>
      <c r="I32" s="63">
        <f t="shared" si="2"/>
        <v>18</v>
      </c>
      <c r="J32" s="63">
        <f t="shared" si="3"/>
        <v>27</v>
      </c>
      <c r="K32" s="63">
        <f t="shared" si="4"/>
        <v>33</v>
      </c>
      <c r="L32" s="63" t="str">
        <f>IFERROR(VLOOKUP(MID(G32,J32,K32-J32),[6]skilldef!$C:$D,2,FALSE),"-") &amp; " / " &amp; IFERROR(VLOOKUP(MID(G32,H32,I32-H32),[6]skilldef!$A:$B,2,FALSE),"-")</f>
        <v>自分自身に / 状態異常耐性</v>
      </c>
      <c r="M32" s="63" t="str">
        <f t="shared" si="5"/>
        <v>[effect:tolerance, target:myself, turn:-1, tolerance_effect:virus, count:-1],[effect:tolerance, target:myself, turn:-1, tolerance_effect:sleep, count:-1, animation:enemy_tolerance]</v>
      </c>
      <c r="N32" s="48" t="str">
        <f t="shared" si="6"/>
        <v>[effect:tolerance, target:myself, turn:-1, tolerance_effect:virus, count:-1],[effect:tolerance, target:myself, turn:-1, tolerance_effect:sleep, count:-1, animation:enemy_tolerance]</v>
      </c>
      <c r="O32" s="63">
        <f t="shared" si="7"/>
        <v>9</v>
      </c>
      <c r="P32" s="63">
        <f t="shared" si="8"/>
        <v>18</v>
      </c>
      <c r="Q32" s="63">
        <f t="shared" si="9"/>
        <v>27</v>
      </c>
      <c r="R32" s="63">
        <f t="shared" si="10"/>
        <v>33</v>
      </c>
      <c r="S32" s="63" t="str">
        <f>IFERROR(VLOOKUP(MID(N32,Q32,R32-Q32),[6]skilldef!$C:$D,2,FALSE),"-") &amp; " / " &amp; IFERROR(VLOOKUP(MID(N32,O32,P32-O32),[6]skilldef!$A:$B,2,FALSE),"-")</f>
        <v>自分自身に / 状態異常耐性</v>
      </c>
      <c r="T32" s="48" t="str">
        <f t="shared" si="11"/>
        <v>[effect:tolerance, target:myself, turn:-1, tolerance_effect:sleep, count:-1, animation:enemy_tolerance]</v>
      </c>
      <c r="U32" s="63">
        <f t="shared" si="12"/>
        <v>9</v>
      </c>
      <c r="V32" s="63">
        <f t="shared" si="13"/>
        <v>18</v>
      </c>
      <c r="W32" s="63">
        <f t="shared" si="14"/>
        <v>27</v>
      </c>
      <c r="X32" s="63">
        <f t="shared" si="15"/>
        <v>33</v>
      </c>
      <c r="Y32" s="63" t="str">
        <f>IFERROR(VLOOKUP(MID(T32,W32,X32-W32),[6]skilldef!$C:$D,2,FALSE),"-") &amp; " / " &amp; IFERROR(VLOOKUP(MID(T32,U32,V32-U32),[6]skilldef!$A:$B,2,FALSE),"-")</f>
        <v>自分自身に / 状態異常耐性</v>
      </c>
      <c r="Z32" s="50"/>
      <c r="AA32" s="52"/>
      <c r="AB32" s="50"/>
    </row>
    <row r="33" spans="1:28" ht="21" customHeight="1">
      <c r="A33" s="22">
        <v>50002032</v>
      </c>
      <c r="B33" s="47" t="s">
        <v>241</v>
      </c>
      <c r="C33" s="50">
        <v>3</v>
      </c>
      <c r="D33" s="50" t="s">
        <v>128</v>
      </c>
      <c r="E33" s="51" t="s">
        <v>259</v>
      </c>
      <c r="F33" s="51" t="s">
        <v>224</v>
      </c>
      <c r="G33" s="63" t="str">
        <f t="shared" si="0"/>
        <v>[effect:rush, count:2, val:0.7]</v>
      </c>
      <c r="H33" s="63">
        <f t="shared" si="1"/>
        <v>9</v>
      </c>
      <c r="I33" s="63">
        <f t="shared" si="2"/>
        <v>13</v>
      </c>
      <c r="J33" s="63" t="e">
        <f t="shared" si="3"/>
        <v>#VALUE!</v>
      </c>
      <c r="K33" s="63">
        <f t="shared" si="4"/>
        <v>22</v>
      </c>
      <c r="L33" s="63" t="str">
        <f>IFERROR(VLOOKUP(MID(G33,J33,K33-J33),[6]skilldef!$C:$D,2,FALSE),"-") &amp; " / " &amp; IFERROR(VLOOKUP(MID(G33,H33,I33-H33),[6]skilldef!$A:$B,2,FALSE),"-")</f>
        <v>- / 連続攻撃</v>
      </c>
      <c r="M33" s="63" t="str">
        <f t="shared" si="5"/>
        <v>none</v>
      </c>
      <c r="N33" s="48" t="str">
        <f t="shared" si="6"/>
        <v>none</v>
      </c>
      <c r="O33" s="63" t="e">
        <f t="shared" si="7"/>
        <v>#VALUE!</v>
      </c>
      <c r="P33" s="63">
        <f t="shared" si="8"/>
        <v>4</v>
      </c>
      <c r="Q33" s="63" t="e">
        <f t="shared" si="9"/>
        <v>#VALUE!</v>
      </c>
      <c r="R33" s="63" t="e">
        <f t="shared" si="10"/>
        <v>#VALUE!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 t="shared" si="11"/>
        <v>none</v>
      </c>
      <c r="U33" s="63" t="e">
        <f t="shared" si="12"/>
        <v>#VALUE!</v>
      </c>
      <c r="V33" s="63">
        <f t="shared" si="13"/>
        <v>4</v>
      </c>
      <c r="W33" s="63" t="e">
        <f t="shared" si="14"/>
        <v>#VALUE!</v>
      </c>
      <c r="X33" s="63" t="e">
        <f t="shared" si="15"/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>
      <c r="A34" s="22">
        <v>50002033</v>
      </c>
      <c r="B34" s="47" t="s">
        <v>227</v>
      </c>
      <c r="C34" s="50">
        <v>3</v>
      </c>
      <c r="D34" s="50" t="s">
        <v>128</v>
      </c>
      <c r="E34" s="51" t="s">
        <v>218</v>
      </c>
      <c r="F34" s="51" t="s">
        <v>213</v>
      </c>
      <c r="G34" s="63" t="str">
        <f t="shared" si="0"/>
        <v>[effect:nothing]</v>
      </c>
      <c r="H34" s="63">
        <f t="shared" si="1"/>
        <v>9</v>
      </c>
      <c r="I34" s="63">
        <f t="shared" si="2"/>
        <v>16</v>
      </c>
      <c r="J34" s="63" t="e">
        <f t="shared" si="3"/>
        <v>#VALUE!</v>
      </c>
      <c r="K34" s="63" t="e">
        <f t="shared" si="4"/>
        <v>#VALUE!</v>
      </c>
      <c r="L34" s="63" t="str">
        <f>IFERROR(VLOOKUP(MID(G34,J34,K34-J34),[6]skilldef!$C:$D,2,FALSE),"-") &amp; " / " &amp; IFERROR(VLOOKUP(MID(G34,H34,I34-H34),[6]skilldef!$A:$B,2,FALSE),"-")</f>
        <v>- / 何もしない</v>
      </c>
      <c r="M34" s="63" t="str">
        <f t="shared" si="5"/>
        <v>none</v>
      </c>
      <c r="N34" s="48" t="str">
        <f t="shared" si="6"/>
        <v>none</v>
      </c>
      <c r="O34" s="63" t="e">
        <f t="shared" si="7"/>
        <v>#VALUE!</v>
      </c>
      <c r="P34" s="63">
        <f t="shared" si="8"/>
        <v>4</v>
      </c>
      <c r="Q34" s="63" t="e">
        <f t="shared" si="9"/>
        <v>#VALUE!</v>
      </c>
      <c r="R34" s="63" t="e">
        <f t="shared" si="10"/>
        <v>#VALUE!</v>
      </c>
      <c r="S34" s="63" t="str">
        <f>IFERROR(VLOOKUP(MID(N34,Q34,R34-Q34),[6]skilldef!$C:$D,2,FALSE),"-") &amp; " / " &amp; IFERROR(VLOOKUP(MID(N34,O34,P34-O34),[6]skilldef!$A:$B,2,FALSE),"-")</f>
        <v>- / -</v>
      </c>
      <c r="T34" s="48" t="str">
        <f t="shared" si="11"/>
        <v>none</v>
      </c>
      <c r="U34" s="63" t="e">
        <f t="shared" si="12"/>
        <v>#VALUE!</v>
      </c>
      <c r="V34" s="63">
        <f t="shared" si="13"/>
        <v>4</v>
      </c>
      <c r="W34" s="63" t="e">
        <f t="shared" si="14"/>
        <v>#VALUE!</v>
      </c>
      <c r="X34" s="63" t="e">
        <f t="shared" si="15"/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>
      <c r="A35" s="22">
        <v>50002034</v>
      </c>
      <c r="B35" s="47" t="s">
        <v>256</v>
      </c>
      <c r="C35" s="50">
        <v>3</v>
      </c>
      <c r="D35" s="50" t="s">
        <v>128</v>
      </c>
      <c r="E35" s="51" t="s">
        <v>255</v>
      </c>
      <c r="F35" s="51" t="s">
        <v>257</v>
      </c>
      <c r="G35" s="63" t="str">
        <f t="shared" si="0"/>
        <v>[effect:hungup, target:unit_machine, turn:4, rate:1, animation:hungup01]</v>
      </c>
      <c r="H35" s="63">
        <f t="shared" si="1"/>
        <v>9</v>
      </c>
      <c r="I35" s="63">
        <f t="shared" si="2"/>
        <v>15</v>
      </c>
      <c r="J35" s="63">
        <f t="shared" si="3"/>
        <v>24</v>
      </c>
      <c r="K35" s="63">
        <f t="shared" si="4"/>
        <v>36</v>
      </c>
      <c r="L35" s="63" t="str">
        <f>IFERROR(VLOOKUP(MID(G35,J35,K35-J35),[6]skilldef!$C:$D,2,FALSE),"-") &amp; " / " &amp; IFERROR(VLOOKUP(MID(G35,H35,I35-H35),[6]skilldef!$A:$B,2,FALSE),"-")</f>
        <v>- / ハングアップ</v>
      </c>
      <c r="M35" s="63" t="str">
        <f t="shared" si="5"/>
        <v>[effect:spread, val:0.3]</v>
      </c>
      <c r="N35" s="48" t="str">
        <f t="shared" si="6"/>
        <v>[effect:spread, val:0.3]</v>
      </c>
      <c r="O35" s="63">
        <f t="shared" si="7"/>
        <v>9</v>
      </c>
      <c r="P35" s="63">
        <f t="shared" si="8"/>
        <v>15</v>
      </c>
      <c r="Q35" s="63" t="e">
        <f t="shared" si="9"/>
        <v>#VALUE!</v>
      </c>
      <c r="R35" s="63" t="e">
        <f t="shared" si="10"/>
        <v>#VALUE!</v>
      </c>
      <c r="S35" s="63" t="str">
        <f>IFERROR(VLOOKUP(MID(N35,Q35,R35-Q35),[6]skilldef!$C:$D,2,FALSE),"-") &amp; " / " &amp; IFERROR(VLOOKUP(MID(N35,O35,P35-O35),[6]skilldef!$A:$B,2,FALSE),"-")</f>
        <v>- / 全体攻撃</v>
      </c>
      <c r="T35" s="48" t="str">
        <f t="shared" si="11"/>
        <v>none</v>
      </c>
      <c r="U35" s="63" t="e">
        <f t="shared" si="12"/>
        <v>#VALUE!</v>
      </c>
      <c r="V35" s="63">
        <f t="shared" si="13"/>
        <v>4</v>
      </c>
      <c r="W35" s="63" t="e">
        <f t="shared" si="14"/>
        <v>#VALUE!</v>
      </c>
      <c r="X35" s="63" t="e">
        <f t="shared" si="15"/>
        <v>#VALUE!</v>
      </c>
      <c r="Y35" s="63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>
      <c r="A36" s="22">
        <v>50002035</v>
      </c>
      <c r="B36" s="47" t="s">
        <v>278</v>
      </c>
      <c r="C36" s="50">
        <v>3</v>
      </c>
      <c r="D36" s="50" t="s">
        <v>128</v>
      </c>
      <c r="E36" s="51" t="s">
        <v>258</v>
      </c>
      <c r="F36" s="51" t="s">
        <v>277</v>
      </c>
      <c r="G36" s="63" t="str">
        <f t="shared" si="0"/>
        <v>[effect:change_panel_ratio, turn:5, block_type:heal, val:0, animation:block_incidence04]</v>
      </c>
      <c r="H36" s="63">
        <f t="shared" si="1"/>
        <v>9</v>
      </c>
      <c r="I36" s="63">
        <f t="shared" si="2"/>
        <v>27</v>
      </c>
      <c r="J36" s="63" t="e">
        <f t="shared" si="3"/>
        <v>#VALUE!</v>
      </c>
      <c r="K36" s="63">
        <f t="shared" si="4"/>
        <v>35</v>
      </c>
      <c r="L36" s="63" t="str">
        <f>IFERROR(VLOOKUP(MID(G36,J36,K36-J36),[6]skilldef!$C:$D,2,FALSE),"-") &amp; " / " &amp; IFERROR(VLOOKUP(MID(G36,H36,I36-H36),[6]skilldef!$A:$B,2,FALSE),"-")</f>
        <v>- / -</v>
      </c>
      <c r="M36" s="63" t="str">
        <f t="shared" si="5"/>
        <v>none</v>
      </c>
      <c r="N36" s="48" t="str">
        <f t="shared" si="6"/>
        <v>none</v>
      </c>
      <c r="O36" s="63" t="e">
        <f t="shared" si="7"/>
        <v>#VALUE!</v>
      </c>
      <c r="P36" s="63">
        <f t="shared" si="8"/>
        <v>4</v>
      </c>
      <c r="Q36" s="63" t="e">
        <f t="shared" si="9"/>
        <v>#VALUE!</v>
      </c>
      <c r="R36" s="63" t="e">
        <f t="shared" si="10"/>
        <v>#VALUE!</v>
      </c>
      <c r="S36" s="63" t="str">
        <f>IFERROR(VLOOKUP(MID(N36,Q36,R36-Q36),[6]skilldef!$C:$D,2,FALSE),"-") &amp; " / " &amp; IFERROR(VLOOKUP(MID(N36,O36,P36-O36),[6]skilldef!$A:$B,2,FALSE),"-")</f>
        <v>- / -</v>
      </c>
      <c r="T36" s="48" t="str">
        <f t="shared" si="11"/>
        <v>none</v>
      </c>
      <c r="U36" s="63" t="e">
        <f t="shared" si="12"/>
        <v>#VALUE!</v>
      </c>
      <c r="V36" s="63">
        <f t="shared" si="13"/>
        <v>4</v>
      </c>
      <c r="W36" s="63" t="e">
        <f t="shared" si="14"/>
        <v>#VALUE!</v>
      </c>
      <c r="X36" s="63" t="e">
        <f t="shared" si="15"/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1" customHeight="1">
      <c r="A37" s="22">
        <v>50002036</v>
      </c>
      <c r="B37" s="47" t="s">
        <v>227</v>
      </c>
      <c r="C37" s="50">
        <v>3</v>
      </c>
      <c r="D37" s="50" t="s">
        <v>128</v>
      </c>
      <c r="E37" s="51" t="s">
        <v>218</v>
      </c>
      <c r="F37" s="51" t="s">
        <v>213</v>
      </c>
      <c r="G37" s="63" t="str">
        <f t="shared" si="0"/>
        <v>[effect:nothing]</v>
      </c>
      <c r="H37" s="63">
        <f t="shared" si="1"/>
        <v>9</v>
      </c>
      <c r="I37" s="63">
        <f t="shared" si="2"/>
        <v>16</v>
      </c>
      <c r="J37" s="63" t="e">
        <f t="shared" si="3"/>
        <v>#VALUE!</v>
      </c>
      <c r="K37" s="63" t="e">
        <f t="shared" si="4"/>
        <v>#VALUE!</v>
      </c>
      <c r="L37" s="63" t="str">
        <f>IFERROR(VLOOKUP(MID(G37,J37,K37-J37),[6]skilldef!$C:$D,2,FALSE),"-") &amp; " / " &amp; IFERROR(VLOOKUP(MID(G37,H37,I37-H37),[6]skilldef!$A:$B,2,FALSE),"-")</f>
        <v>- / 何もしない</v>
      </c>
      <c r="M37" s="63" t="str">
        <f t="shared" si="5"/>
        <v>none</v>
      </c>
      <c r="N37" s="48" t="str">
        <f t="shared" si="6"/>
        <v>none</v>
      </c>
      <c r="O37" s="63" t="e">
        <f t="shared" si="7"/>
        <v>#VALUE!</v>
      </c>
      <c r="P37" s="63">
        <f t="shared" si="8"/>
        <v>4</v>
      </c>
      <c r="Q37" s="63" t="e">
        <f t="shared" si="9"/>
        <v>#VALUE!</v>
      </c>
      <c r="R37" s="63" t="e">
        <f t="shared" si="10"/>
        <v>#VALUE!</v>
      </c>
      <c r="S37" s="63" t="str">
        <f>IFERROR(VLOOKUP(MID(N37,Q37,R37-Q37),[6]skilldef!$C:$D,2,FALSE),"-") &amp; " / " &amp; IFERROR(VLOOKUP(MID(N37,O37,P37-O37),[6]skilldef!$A:$B,2,FALSE),"-")</f>
        <v>- / -</v>
      </c>
      <c r="T37" s="48" t="str">
        <f t="shared" si="11"/>
        <v>none</v>
      </c>
      <c r="U37" s="63" t="e">
        <f t="shared" si="12"/>
        <v>#VALUE!</v>
      </c>
      <c r="V37" s="63">
        <f t="shared" si="13"/>
        <v>4</v>
      </c>
      <c r="W37" s="63" t="e">
        <f t="shared" si="14"/>
        <v>#VALUE!</v>
      </c>
      <c r="X37" s="63" t="e">
        <f t="shared" si="15"/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21" customHeight="1">
      <c r="A38" s="22">
        <v>50002037</v>
      </c>
      <c r="B38" s="47" t="s">
        <v>227</v>
      </c>
      <c r="C38" s="50">
        <v>3</v>
      </c>
      <c r="D38" s="50" t="s">
        <v>128</v>
      </c>
      <c r="E38" s="51" t="s">
        <v>218</v>
      </c>
      <c r="F38" s="51" t="s">
        <v>213</v>
      </c>
      <c r="G38" s="63" t="str">
        <f t="shared" si="0"/>
        <v>[effect:nothing]</v>
      </c>
      <c r="H38" s="63">
        <f t="shared" si="1"/>
        <v>9</v>
      </c>
      <c r="I38" s="63">
        <f t="shared" si="2"/>
        <v>16</v>
      </c>
      <c r="J38" s="63" t="e">
        <f t="shared" si="3"/>
        <v>#VALUE!</v>
      </c>
      <c r="K38" s="63" t="e">
        <f t="shared" si="4"/>
        <v>#VALUE!</v>
      </c>
      <c r="L38" s="63" t="str">
        <f>IFERROR(VLOOKUP(MID(G38,J38,K38-J38),[6]skilldef!$C:$D,2,FALSE),"-") &amp; " / " &amp; IFERROR(VLOOKUP(MID(G38,H38,I38-H38),[6]skilldef!$A:$B,2,FALSE),"-")</f>
        <v>- / 何もしない</v>
      </c>
      <c r="M38" s="63" t="str">
        <f t="shared" si="5"/>
        <v>none</v>
      </c>
      <c r="N38" s="48" t="str">
        <f t="shared" si="6"/>
        <v>none</v>
      </c>
      <c r="O38" s="63" t="e">
        <f t="shared" si="7"/>
        <v>#VALUE!</v>
      </c>
      <c r="P38" s="63">
        <f t="shared" si="8"/>
        <v>4</v>
      </c>
      <c r="Q38" s="63" t="e">
        <f t="shared" si="9"/>
        <v>#VALUE!</v>
      </c>
      <c r="R38" s="63" t="e">
        <f t="shared" si="10"/>
        <v>#VALUE!</v>
      </c>
      <c r="S38" s="63" t="str">
        <f>IFERROR(VLOOKUP(MID(N38,Q38,R38-Q38),[6]skilldef!$C:$D,2,FALSE),"-") &amp; " / " &amp; IFERROR(VLOOKUP(MID(N38,O38,P38-O38),[6]skilldef!$A:$B,2,FALSE),"-")</f>
        <v>- / -</v>
      </c>
      <c r="T38" s="48" t="str">
        <f t="shared" si="11"/>
        <v>none</v>
      </c>
      <c r="U38" s="63" t="e">
        <f t="shared" si="12"/>
        <v>#VALUE!</v>
      </c>
      <c r="V38" s="63">
        <f t="shared" si="13"/>
        <v>4</v>
      </c>
      <c r="W38" s="63" t="e">
        <f t="shared" si="14"/>
        <v>#VALUE!</v>
      </c>
      <c r="X38" s="63" t="e">
        <f t="shared" si="15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21" customHeight="1">
      <c r="A39" s="22">
        <v>50002038</v>
      </c>
      <c r="B39" s="47" t="s">
        <v>227</v>
      </c>
      <c r="C39" s="50">
        <v>3</v>
      </c>
      <c r="D39" s="50" t="s">
        <v>128</v>
      </c>
      <c r="E39" s="51" t="s">
        <v>218</v>
      </c>
      <c r="F39" s="51" t="s">
        <v>213</v>
      </c>
      <c r="G39" s="63" t="str">
        <f t="shared" si="0"/>
        <v>[effect:nothing]</v>
      </c>
      <c r="H39" s="63">
        <f t="shared" si="1"/>
        <v>9</v>
      </c>
      <c r="I39" s="63">
        <f t="shared" si="2"/>
        <v>16</v>
      </c>
      <c r="J39" s="63" t="e">
        <f t="shared" si="3"/>
        <v>#VALUE!</v>
      </c>
      <c r="K39" s="63" t="e">
        <f t="shared" si="4"/>
        <v>#VALUE!</v>
      </c>
      <c r="L39" s="63" t="str">
        <f>IFERROR(VLOOKUP(MID(G39,J39,K39-J39),[6]skilldef!$C:$D,2,FALSE),"-") &amp; " / " &amp; IFERROR(VLOOKUP(MID(G39,H39,I39-H39),[6]skilldef!$A:$B,2,FALSE),"-")</f>
        <v>- / 何もしない</v>
      </c>
      <c r="M39" s="63" t="str">
        <f t="shared" si="5"/>
        <v>none</v>
      </c>
      <c r="N39" s="48" t="str">
        <f t="shared" si="6"/>
        <v>none</v>
      </c>
      <c r="O39" s="63" t="e">
        <f t="shared" si="7"/>
        <v>#VALUE!</v>
      </c>
      <c r="P39" s="63">
        <f t="shared" si="8"/>
        <v>4</v>
      </c>
      <c r="Q39" s="63" t="e">
        <f t="shared" si="9"/>
        <v>#VALUE!</v>
      </c>
      <c r="R39" s="63" t="e">
        <f t="shared" si="10"/>
        <v>#VALUE!</v>
      </c>
      <c r="S39" s="63" t="str">
        <f>IFERROR(VLOOKUP(MID(N39,Q39,R39-Q39),[6]skilldef!$C:$D,2,FALSE),"-") &amp; " / " &amp; IFERROR(VLOOKUP(MID(N39,O39,P39-O39),[6]skilldef!$A:$B,2,FALSE),"-")</f>
        <v>- / -</v>
      </c>
      <c r="T39" s="48" t="str">
        <f t="shared" si="11"/>
        <v>none</v>
      </c>
      <c r="U39" s="63" t="e">
        <f t="shared" si="12"/>
        <v>#VALUE!</v>
      </c>
      <c r="V39" s="63">
        <f t="shared" si="13"/>
        <v>4</v>
      </c>
      <c r="W39" s="63" t="e">
        <f t="shared" si="14"/>
        <v>#VALUE!</v>
      </c>
      <c r="X39" s="63" t="e">
        <f t="shared" si="15"/>
        <v>#VALUE!</v>
      </c>
      <c r="Y39" s="63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ht="21" customHeight="1">
      <c r="A40" s="22">
        <v>50002039</v>
      </c>
      <c r="B40" s="47" t="s">
        <v>227</v>
      </c>
      <c r="C40" s="50">
        <v>3</v>
      </c>
      <c r="D40" s="50" t="s">
        <v>128</v>
      </c>
      <c r="E40" s="51" t="s">
        <v>218</v>
      </c>
      <c r="F40" s="51" t="s">
        <v>213</v>
      </c>
      <c r="G40" s="63" t="str">
        <f t="shared" si="0"/>
        <v>[effect:nothing]</v>
      </c>
      <c r="H40" s="63">
        <f t="shared" si="1"/>
        <v>9</v>
      </c>
      <c r="I40" s="63">
        <f t="shared" si="2"/>
        <v>16</v>
      </c>
      <c r="J40" s="63" t="e">
        <f t="shared" si="3"/>
        <v>#VALUE!</v>
      </c>
      <c r="K40" s="63" t="e">
        <f t="shared" si="4"/>
        <v>#VALUE!</v>
      </c>
      <c r="L40" s="63" t="str">
        <f>IFERROR(VLOOKUP(MID(G40,J40,K40-J40),[6]skilldef!$C:$D,2,FALSE),"-") &amp; " / " &amp; IFERROR(VLOOKUP(MID(G40,H40,I40-H40),[6]skilldef!$A:$B,2,FALSE),"-")</f>
        <v>- / 何もしない</v>
      </c>
      <c r="M40" s="63" t="str">
        <f t="shared" si="5"/>
        <v>none</v>
      </c>
      <c r="N40" s="48" t="str">
        <f t="shared" si="6"/>
        <v>none</v>
      </c>
      <c r="O40" s="63" t="e">
        <f t="shared" si="7"/>
        <v>#VALUE!</v>
      </c>
      <c r="P40" s="63">
        <f t="shared" si="8"/>
        <v>4</v>
      </c>
      <c r="Q40" s="63" t="e">
        <f t="shared" si="9"/>
        <v>#VALUE!</v>
      </c>
      <c r="R40" s="63" t="e">
        <f t="shared" si="10"/>
        <v>#VALUE!</v>
      </c>
      <c r="S40" s="63" t="str">
        <f>IFERROR(VLOOKUP(MID(N40,Q40,R40-Q40),[6]skilldef!$C:$D,2,FALSE),"-") &amp; " / " &amp; IFERROR(VLOOKUP(MID(N40,O40,P40-O40),[6]skilldef!$A:$B,2,FALSE),"-")</f>
        <v>- / -</v>
      </c>
      <c r="T40" s="48" t="str">
        <f t="shared" si="11"/>
        <v>none</v>
      </c>
      <c r="U40" s="63" t="e">
        <f t="shared" si="12"/>
        <v>#VALUE!</v>
      </c>
      <c r="V40" s="63">
        <f t="shared" si="13"/>
        <v>4</v>
      </c>
      <c r="W40" s="63" t="e">
        <f t="shared" si="14"/>
        <v>#VALUE!</v>
      </c>
      <c r="X40" s="63" t="e">
        <f t="shared" si="15"/>
        <v>#VALUE!</v>
      </c>
      <c r="Y40" s="63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</row>
    <row r="41" spans="1:28" ht="21" customHeight="1">
      <c r="A41" s="22">
        <v>50002040</v>
      </c>
      <c r="B41" s="47" t="s">
        <v>227</v>
      </c>
      <c r="C41" s="50">
        <v>3</v>
      </c>
      <c r="D41" s="50" t="s">
        <v>128</v>
      </c>
      <c r="E41" s="51" t="s">
        <v>220</v>
      </c>
      <c r="F41" s="51" t="s">
        <v>213</v>
      </c>
      <c r="G41" s="63" t="str">
        <f t="shared" si="0"/>
        <v>[effect:nothing]</v>
      </c>
      <c r="H41" s="63">
        <f t="shared" si="1"/>
        <v>9</v>
      </c>
      <c r="I41" s="63">
        <f t="shared" si="2"/>
        <v>16</v>
      </c>
      <c r="J41" s="63" t="e">
        <f t="shared" si="3"/>
        <v>#VALUE!</v>
      </c>
      <c r="K41" s="63" t="e">
        <f t="shared" si="4"/>
        <v>#VALUE!</v>
      </c>
      <c r="L41" s="63" t="str">
        <f>IFERROR(VLOOKUP(MID(G41,J41,K41-J41),[6]skilldef!$C:$D,2,FALSE),"-") &amp; " / " &amp; IFERROR(VLOOKUP(MID(G41,H41,I41-H41),[6]skilldef!$A:$B,2,FALSE),"-")</f>
        <v>- / 何もしない</v>
      </c>
      <c r="M41" s="63" t="str">
        <f t="shared" si="5"/>
        <v>none</v>
      </c>
      <c r="N41" s="48" t="str">
        <f t="shared" si="6"/>
        <v>none</v>
      </c>
      <c r="O41" s="63" t="e">
        <f t="shared" si="7"/>
        <v>#VALUE!</v>
      </c>
      <c r="P41" s="63">
        <f t="shared" si="8"/>
        <v>4</v>
      </c>
      <c r="Q41" s="63" t="e">
        <f t="shared" si="9"/>
        <v>#VALUE!</v>
      </c>
      <c r="R41" s="63" t="e">
        <f t="shared" si="10"/>
        <v>#VALUE!</v>
      </c>
      <c r="S41" s="63" t="str">
        <f>IFERROR(VLOOKUP(MID(N41,Q41,R41-Q41),[6]skilldef!$C:$D,2,FALSE),"-") &amp; " / " &amp; IFERROR(VLOOKUP(MID(N41,O41,P41-O41),[6]skilldef!$A:$B,2,FALSE),"-")</f>
        <v>- / -</v>
      </c>
      <c r="T41" s="48" t="str">
        <f t="shared" si="11"/>
        <v>none</v>
      </c>
      <c r="U41" s="63" t="e">
        <f t="shared" si="12"/>
        <v>#VALUE!</v>
      </c>
      <c r="V41" s="63">
        <f t="shared" si="13"/>
        <v>4</v>
      </c>
      <c r="W41" s="63" t="e">
        <f t="shared" si="14"/>
        <v>#VALUE!</v>
      </c>
      <c r="X41" s="63" t="e">
        <f t="shared" si="15"/>
        <v>#VALUE!</v>
      </c>
      <c r="Y41" s="63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21" customHeight="1">
      <c r="A42" s="22">
        <v>50002041</v>
      </c>
      <c r="B42" s="47" t="s">
        <v>281</v>
      </c>
      <c r="C42" s="50">
        <v>3</v>
      </c>
      <c r="D42" s="50" t="s">
        <v>128</v>
      </c>
      <c r="E42" s="51" t="s">
        <v>252</v>
      </c>
      <c r="F42" s="51" t="s">
        <v>223</v>
      </c>
      <c r="G42" s="63" t="str">
        <f t="shared" si="0"/>
        <v>[effect:tolerance, target:myself, turn:-1, tolerance_effect:hungup, count:-1]</v>
      </c>
      <c r="H42" s="63">
        <f t="shared" si="1"/>
        <v>9</v>
      </c>
      <c r="I42" s="63">
        <f t="shared" si="2"/>
        <v>18</v>
      </c>
      <c r="J42" s="63">
        <f t="shared" si="3"/>
        <v>27</v>
      </c>
      <c r="K42" s="63">
        <f t="shared" si="4"/>
        <v>33</v>
      </c>
      <c r="L42" s="63" t="str">
        <f>IFERROR(VLOOKUP(MID(G42,J42,K42-J42),[6]skilldef!$C:$D,2,FALSE),"-") &amp; " / " &amp; IFERROR(VLOOKUP(MID(G42,H42,I42-H42),[6]skilldef!$A:$B,2,FALSE),"-")</f>
        <v>自分自身に / 状態異常耐性</v>
      </c>
      <c r="M42" s="63" t="str">
        <f t="shared" si="5"/>
        <v>[effect:tolerance, target:myself, turn:-1, tolerance_effect:virus, count:-1],[effect:tolerance, target:myself, turn:-1, tolerance_effect:sleep, count:-1, animation:enemy_tolerance]</v>
      </c>
      <c r="N42" s="48" t="str">
        <f t="shared" si="6"/>
        <v>[effect:tolerance, target:myself, turn:-1, tolerance_effect:virus, count:-1],[effect:tolerance, target:myself, turn:-1, tolerance_effect:sleep, count:-1, animation:enemy_tolerance]</v>
      </c>
      <c r="O42" s="63">
        <f t="shared" si="7"/>
        <v>9</v>
      </c>
      <c r="P42" s="63">
        <f t="shared" si="8"/>
        <v>18</v>
      </c>
      <c r="Q42" s="63">
        <f t="shared" si="9"/>
        <v>27</v>
      </c>
      <c r="R42" s="63">
        <f t="shared" si="10"/>
        <v>33</v>
      </c>
      <c r="S42" s="63" t="str">
        <f>IFERROR(VLOOKUP(MID(N42,Q42,R42-Q42),[6]skilldef!$C:$D,2,FALSE),"-") &amp; " / " &amp; IFERROR(VLOOKUP(MID(N42,O42,P42-O42),[6]skilldef!$A:$B,2,FALSE),"-")</f>
        <v>自分自身に / 状態異常耐性</v>
      </c>
      <c r="T42" s="48" t="str">
        <f t="shared" si="11"/>
        <v>[effect:tolerance, target:myself, turn:-1, tolerance_effect:sleep, count:-1, animation:enemy_tolerance]</v>
      </c>
      <c r="U42" s="63">
        <f t="shared" si="12"/>
        <v>9</v>
      </c>
      <c r="V42" s="63">
        <f t="shared" si="13"/>
        <v>18</v>
      </c>
      <c r="W42" s="63">
        <f t="shared" si="14"/>
        <v>27</v>
      </c>
      <c r="X42" s="63">
        <f t="shared" si="15"/>
        <v>33</v>
      </c>
      <c r="Y42" s="63" t="str">
        <f>IFERROR(VLOOKUP(MID(T42,W42,X42-W42),[6]skilldef!$C:$D,2,FALSE),"-") &amp; " / " &amp; IFERROR(VLOOKUP(MID(T42,U42,V42-U42),[6]skilldef!$A:$B,2,FALSE),"-")</f>
        <v>自分自身に / 状態異常耐性</v>
      </c>
      <c r="Z42" s="50"/>
      <c r="AA42" s="52"/>
      <c r="AB42" s="50"/>
    </row>
    <row r="43" spans="1:28" ht="21" customHeight="1">
      <c r="A43" s="22">
        <v>50002042</v>
      </c>
      <c r="B43" s="47" t="s">
        <v>282</v>
      </c>
      <c r="C43" s="50">
        <v>3</v>
      </c>
      <c r="D43" s="50" t="s">
        <v>128</v>
      </c>
      <c r="E43" s="51" t="s">
        <v>251</v>
      </c>
      <c r="F43" s="51" t="s">
        <v>247</v>
      </c>
      <c r="G43" s="63" t="str">
        <f t="shared" si="0"/>
        <v>[effect:damage_anti_tribe, target:unit_all, tribe:animal, val1:0.5, val2:0.3]</v>
      </c>
      <c r="H43" s="63">
        <f t="shared" si="1"/>
        <v>9</v>
      </c>
      <c r="I43" s="63">
        <f t="shared" si="2"/>
        <v>26</v>
      </c>
      <c r="J43" s="63">
        <f t="shared" si="3"/>
        <v>35</v>
      </c>
      <c r="K43" s="63">
        <f t="shared" si="4"/>
        <v>43</v>
      </c>
      <c r="L43" s="63" t="str">
        <f>IFERROR(VLOOKUP(MID(G43,J43,K43-J43),[6]skilldef!$C:$D,2,FALSE),"-") &amp; " / " &amp; IFERROR(VLOOKUP(MID(G43,H43,I43-H43),[6]skilldef!$A:$B,2,FALSE),"-")</f>
        <v>味方全体に / 種族キラー</v>
      </c>
      <c r="M43" s="63" t="str">
        <f t="shared" si="5"/>
        <v>none</v>
      </c>
      <c r="N43" s="48" t="str">
        <f t="shared" si="6"/>
        <v>none</v>
      </c>
      <c r="O43" s="63" t="e">
        <f t="shared" si="7"/>
        <v>#VALUE!</v>
      </c>
      <c r="P43" s="63">
        <f t="shared" si="8"/>
        <v>4</v>
      </c>
      <c r="Q43" s="63" t="e">
        <f t="shared" si="9"/>
        <v>#VALUE!</v>
      </c>
      <c r="R43" s="63" t="e">
        <f t="shared" si="10"/>
        <v>#VALUE!</v>
      </c>
      <c r="S43" s="63" t="str">
        <f>IFERROR(VLOOKUP(MID(N43,Q43,R43-Q43),[6]skilldef!$C:$D,2,FALSE),"-") &amp; " / " &amp; IFERROR(VLOOKUP(MID(N43,O43,P43-O43),[6]skilldef!$A:$B,2,FALSE),"-")</f>
        <v>- / -</v>
      </c>
      <c r="T43" s="48" t="str">
        <f t="shared" si="11"/>
        <v>none</v>
      </c>
      <c r="U43" s="63" t="e">
        <f t="shared" si="12"/>
        <v>#VALUE!</v>
      </c>
      <c r="V43" s="63">
        <f t="shared" si="13"/>
        <v>4</v>
      </c>
      <c r="W43" s="63" t="e">
        <f t="shared" si="14"/>
        <v>#VALUE!</v>
      </c>
      <c r="X43" s="63" t="e">
        <f t="shared" si="15"/>
        <v>#VALUE!</v>
      </c>
      <c r="Y43" s="63" t="str">
        <f>IFERROR(VLOOKUP(MID(T43,W43,X43-W43),[6]skilldef!$C:$D,2,FALSE),"-") &amp; " / " &amp; IFERROR(VLOOKUP(MID(T43,U43,V43-U43),[6]skilldef!$A:$B,2,FALSE),"-")</f>
        <v>- / -</v>
      </c>
      <c r="Z43" s="50"/>
      <c r="AA43" s="52"/>
      <c r="AB43" s="50"/>
    </row>
    <row r="44" spans="1:28" ht="21" customHeight="1">
      <c r="A44" s="22">
        <v>50002043</v>
      </c>
      <c r="B44" s="47" t="s">
        <v>280</v>
      </c>
      <c r="C44" s="50">
        <v>3</v>
      </c>
      <c r="D44" s="50" t="s">
        <v>128</v>
      </c>
      <c r="E44" s="51" t="s">
        <v>250</v>
      </c>
      <c r="F44" s="51" t="s">
        <v>269</v>
      </c>
      <c r="G44" s="63" t="str">
        <f t="shared" si="0"/>
        <v>[effect:dis_panel, target:block_blue, turn:3, animation:enemy_dis_blue]</v>
      </c>
      <c r="H44" s="63">
        <f t="shared" si="1"/>
        <v>9</v>
      </c>
      <c r="I44" s="63">
        <f t="shared" si="2"/>
        <v>18</v>
      </c>
      <c r="J44" s="63">
        <f t="shared" si="3"/>
        <v>27</v>
      </c>
      <c r="K44" s="63">
        <f t="shared" si="4"/>
        <v>37</v>
      </c>
      <c r="L44" s="63" t="str">
        <f>IFERROR(VLOOKUP(MID(G44,J44,K44-J44),[6]skilldef!$C:$D,2,FALSE),"-") &amp; " / " &amp; IFERROR(VLOOKUP(MID(G44,H44,I44-H44),[6]skilldef!$A:$B,2,FALSE),"-")</f>
        <v>青パネルを / ディスパネル</v>
      </c>
      <c r="M44" s="63" t="str">
        <f t="shared" si="5"/>
        <v>[effect:rush, count:4, val:0.3]</v>
      </c>
      <c r="N44" s="48" t="str">
        <f t="shared" si="6"/>
        <v>[effect:rush, count:4, val:0.3]</v>
      </c>
      <c r="O44" s="63">
        <f t="shared" si="7"/>
        <v>9</v>
      </c>
      <c r="P44" s="63">
        <f t="shared" si="8"/>
        <v>13</v>
      </c>
      <c r="Q44" s="63" t="e">
        <f t="shared" si="9"/>
        <v>#VALUE!</v>
      </c>
      <c r="R44" s="63">
        <f t="shared" si="10"/>
        <v>22</v>
      </c>
      <c r="S44" s="63" t="str">
        <f>IFERROR(VLOOKUP(MID(N44,Q44,R44-Q44),[6]skilldef!$C:$D,2,FALSE),"-") &amp; " / " &amp; IFERROR(VLOOKUP(MID(N44,O44,P44-O44),[6]skilldef!$A:$B,2,FALSE),"-")</f>
        <v>- / 連続攻撃</v>
      </c>
      <c r="T44" s="48" t="str">
        <f t="shared" si="11"/>
        <v>none</v>
      </c>
      <c r="U44" s="63" t="e">
        <f t="shared" si="12"/>
        <v>#VALUE!</v>
      </c>
      <c r="V44" s="63">
        <f t="shared" si="13"/>
        <v>4</v>
      </c>
      <c r="W44" s="63" t="e">
        <f t="shared" si="14"/>
        <v>#VALUE!</v>
      </c>
      <c r="X44" s="63" t="e">
        <f t="shared" si="15"/>
        <v>#VALUE!</v>
      </c>
      <c r="Y44" s="63" t="str">
        <f>IFERROR(VLOOKUP(MID(T44,W44,X44-W44),[6]skilldef!$C:$D,2,FALSE),"-") &amp; " / " &amp; IFERROR(VLOOKUP(MID(T44,U44,V44-U44),[6]skilldef!$A:$B,2,FALSE),"-")</f>
        <v>- / -</v>
      </c>
      <c r="Z44" s="50"/>
      <c r="AA44" s="52"/>
      <c r="AB44" s="50"/>
    </row>
    <row r="45" spans="1:28" ht="21" customHeight="1">
      <c r="A45" s="22">
        <v>50002044</v>
      </c>
      <c r="B45" s="47" t="s">
        <v>240</v>
      </c>
      <c r="C45" s="50">
        <v>3</v>
      </c>
      <c r="D45" s="50" t="s">
        <v>128</v>
      </c>
      <c r="E45" s="51" t="s">
        <v>249</v>
      </c>
      <c r="F45" s="51" t="s">
        <v>225</v>
      </c>
      <c r="G45" s="63" t="str">
        <f t="shared" si="0"/>
        <v>[effect:change_block, new_block:jammer, target:block_heart, count:0, val:0, animation:change_block]</v>
      </c>
      <c r="H45" s="63">
        <f t="shared" si="1"/>
        <v>9</v>
      </c>
      <c r="I45" s="63">
        <f t="shared" si="2"/>
        <v>21</v>
      </c>
      <c r="J45" s="63">
        <f t="shared" si="3"/>
        <v>48</v>
      </c>
      <c r="K45" s="63">
        <f t="shared" si="4"/>
        <v>39</v>
      </c>
      <c r="L45" s="63" t="str">
        <f>IFERROR(VLOOKUP(MID(G45,J45,K45-J45),[6]skilldef!$C:$D,2,FALSE),"-") &amp; " / " &amp; IFERROR(VLOOKUP(MID(G45,H45,I45-H45),[6]skilldef!$A:$B,2,FALSE),"-")</f>
        <v>- / ブロック変換</v>
      </c>
      <c r="M45" s="63" t="str">
        <f t="shared" si="5"/>
        <v>[effect:change_block, new_block:time_bomb, target:block_blue, count:0, val:0.3, animation:change_block],[effect:change_block, new_block:block_red, target:block_yellow, count:0, val:0, animation:change_block]</v>
      </c>
      <c r="N45" s="48" t="str">
        <f t="shared" si="6"/>
        <v>[effect:change_block, new_block:time_bomb, target:block_blue, count:0, val:0.3, animation:change_block],[effect:change_block, new_block:block_red, target:block_yellow, count:0, val:0, animation:change_block]</v>
      </c>
      <c r="O45" s="63">
        <f t="shared" si="7"/>
        <v>9</v>
      </c>
      <c r="P45" s="63">
        <f t="shared" si="8"/>
        <v>21</v>
      </c>
      <c r="Q45" s="63">
        <f t="shared" si="9"/>
        <v>51</v>
      </c>
      <c r="R45" s="63">
        <f t="shared" si="10"/>
        <v>42</v>
      </c>
      <c r="S45" s="63" t="str">
        <f>IFERROR(VLOOKUP(MID(N45,Q45,R45-Q45),[6]skilldef!$C:$D,2,FALSE),"-") &amp; " / " &amp; IFERROR(VLOOKUP(MID(N45,O45,P45-O45),[6]skilldef!$A:$B,2,FALSE),"-")</f>
        <v>- / ブロック変換</v>
      </c>
      <c r="T45" s="48" t="str">
        <f t="shared" si="11"/>
        <v>[effect:change_block, new_block:block_red, target:block_yellow, count:0, val:0, animation:change_block]</v>
      </c>
      <c r="U45" s="63">
        <f t="shared" si="12"/>
        <v>9</v>
      </c>
      <c r="V45" s="63">
        <f t="shared" si="13"/>
        <v>21</v>
      </c>
      <c r="W45" s="63">
        <f t="shared" si="14"/>
        <v>51</v>
      </c>
      <c r="X45" s="63">
        <f t="shared" si="15"/>
        <v>42</v>
      </c>
      <c r="Y45" s="63" t="str">
        <f>IFERROR(VLOOKUP(MID(T45,W45,X45-W45),[6]skilldef!$C:$D,2,FALSE),"-") &amp; " / " &amp; IFERROR(VLOOKUP(MID(T45,U45,V45-U45),[6]skilldef!$A:$B,2,FALSE),"-")</f>
        <v>- / ブロック変換</v>
      </c>
      <c r="Z45" s="50"/>
      <c r="AA45" s="52"/>
      <c r="AB45" s="50"/>
    </row>
    <row r="46" spans="1:28" ht="21" customHeight="1">
      <c r="A46" s="22">
        <v>50002045</v>
      </c>
      <c r="B46" s="98" t="s">
        <v>242</v>
      </c>
      <c r="C46" s="50">
        <v>3</v>
      </c>
      <c r="D46" s="50" t="s">
        <v>199</v>
      </c>
      <c r="E46" s="51" t="s">
        <v>253</v>
      </c>
      <c r="F46" s="51" t="s">
        <v>243</v>
      </c>
      <c r="G46" s="63" t="str">
        <f t="shared" si="0"/>
        <v>[effect:rush, count:3, val:0.4]</v>
      </c>
      <c r="H46" s="63">
        <f t="shared" si="1"/>
        <v>9</v>
      </c>
      <c r="I46" s="63">
        <f t="shared" si="2"/>
        <v>13</v>
      </c>
      <c r="J46" s="63" t="e">
        <f t="shared" si="3"/>
        <v>#VALUE!</v>
      </c>
      <c r="K46" s="63">
        <f t="shared" si="4"/>
        <v>22</v>
      </c>
      <c r="L46" s="63" t="str">
        <f>IFERROR(VLOOKUP(MID(G46,J46,K46-J46),[6]skilldef!$C:$D,2,FALSE),"-") &amp; " / " &amp; IFERROR(VLOOKUP(MID(G46,H46,I46-H46),[6]skilldef!$A:$B,2,FALSE),"-")</f>
        <v>- / 連続攻撃</v>
      </c>
      <c r="M46" s="63" t="str">
        <f t="shared" si="5"/>
        <v>none</v>
      </c>
      <c r="N46" s="48" t="str">
        <f t="shared" si="6"/>
        <v>none</v>
      </c>
      <c r="O46" s="63" t="e">
        <f t="shared" si="7"/>
        <v>#VALUE!</v>
      </c>
      <c r="P46" s="63">
        <f t="shared" si="8"/>
        <v>4</v>
      </c>
      <c r="Q46" s="63" t="e">
        <f t="shared" si="9"/>
        <v>#VALUE!</v>
      </c>
      <c r="R46" s="63" t="e">
        <f t="shared" si="10"/>
        <v>#VALUE!</v>
      </c>
      <c r="S46" s="63" t="str">
        <f>IFERROR(VLOOKUP(MID(N46,Q46,R46-Q46),[6]skilldef!$C:$D,2,FALSE),"-") &amp; " / " &amp; IFERROR(VLOOKUP(MID(N46,O46,P46-O46),[6]skilldef!$A:$B,2,FALSE),"-")</f>
        <v>- / -</v>
      </c>
      <c r="T46" s="48" t="str">
        <f t="shared" si="11"/>
        <v>none</v>
      </c>
      <c r="U46" s="63" t="e">
        <f t="shared" si="12"/>
        <v>#VALUE!</v>
      </c>
      <c r="V46" s="63">
        <f t="shared" si="13"/>
        <v>4</v>
      </c>
      <c r="W46" s="63" t="e">
        <f t="shared" si="14"/>
        <v>#VALUE!</v>
      </c>
      <c r="X46" s="63" t="e">
        <f t="shared" si="15"/>
        <v>#VALUE!</v>
      </c>
      <c r="Y46" s="63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21" customHeight="1">
      <c r="A47" s="22">
        <v>50002046</v>
      </c>
      <c r="B47" s="98" t="s">
        <v>244</v>
      </c>
      <c r="C47" s="50">
        <v>3</v>
      </c>
      <c r="D47" s="50" t="s">
        <v>199</v>
      </c>
      <c r="E47" s="51" t="s">
        <v>248</v>
      </c>
      <c r="F47" s="51" t="s">
        <v>243</v>
      </c>
      <c r="G47" s="63" t="str">
        <f t="shared" si="0"/>
        <v>[effect:rush, count:3, val:0.5]</v>
      </c>
      <c r="H47" s="63">
        <f t="shared" si="1"/>
        <v>9</v>
      </c>
      <c r="I47" s="63">
        <f t="shared" si="2"/>
        <v>13</v>
      </c>
      <c r="J47" s="63" t="e">
        <f t="shared" si="3"/>
        <v>#VALUE!</v>
      </c>
      <c r="K47" s="63">
        <f t="shared" si="4"/>
        <v>22</v>
      </c>
      <c r="L47" s="63" t="str">
        <f>IFERROR(VLOOKUP(MID(G47,J47,K47-J47),[6]skilldef!$C:$D,2,FALSE),"-") &amp; " / " &amp; IFERROR(VLOOKUP(MID(G47,H47,I47-H47),[6]skilldef!$A:$B,2,FALSE),"-")</f>
        <v>- / 連続攻撃</v>
      </c>
      <c r="M47" s="63" t="str">
        <f t="shared" si="5"/>
        <v>none</v>
      </c>
      <c r="N47" s="48" t="str">
        <f t="shared" si="6"/>
        <v>none</v>
      </c>
      <c r="O47" s="63" t="e">
        <f t="shared" si="7"/>
        <v>#VALUE!</v>
      </c>
      <c r="P47" s="63">
        <f t="shared" si="8"/>
        <v>4</v>
      </c>
      <c r="Q47" s="63" t="e">
        <f t="shared" si="9"/>
        <v>#VALUE!</v>
      </c>
      <c r="R47" s="63" t="e">
        <f t="shared" si="10"/>
        <v>#VALUE!</v>
      </c>
      <c r="S47" s="63" t="str">
        <f>IFERROR(VLOOKUP(MID(N47,Q47,R47-Q47),[6]skilldef!$C:$D,2,FALSE),"-") &amp; " / " &amp; IFERROR(VLOOKUP(MID(N47,O47,P47-O47),[6]skilldef!$A:$B,2,FALSE),"-")</f>
        <v>- / -</v>
      </c>
      <c r="T47" s="48" t="str">
        <f t="shared" si="11"/>
        <v>none</v>
      </c>
      <c r="U47" s="63" t="e">
        <f t="shared" si="12"/>
        <v>#VALUE!</v>
      </c>
      <c r="V47" s="63">
        <f t="shared" si="13"/>
        <v>4</v>
      </c>
      <c r="W47" s="63" t="e">
        <f t="shared" si="14"/>
        <v>#VALUE!</v>
      </c>
      <c r="X47" s="63" t="e">
        <f t="shared" si="15"/>
        <v>#VALUE!</v>
      </c>
      <c r="Y47" s="63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21" customHeight="1">
      <c r="A48" s="22">
        <v>50002047</v>
      </c>
      <c r="B48" s="98" t="s">
        <v>245</v>
      </c>
      <c r="C48" s="50">
        <v>3</v>
      </c>
      <c r="D48" s="50" t="s">
        <v>199</v>
      </c>
      <c r="E48" s="51" t="s">
        <v>248</v>
      </c>
      <c r="F48" s="51" t="s">
        <v>243</v>
      </c>
      <c r="G48" s="63" t="str">
        <f t="shared" si="0"/>
        <v>[effect:rush, count:3, val:0.55]</v>
      </c>
      <c r="H48" s="63">
        <f t="shared" si="1"/>
        <v>9</v>
      </c>
      <c r="I48" s="63">
        <f t="shared" si="2"/>
        <v>13</v>
      </c>
      <c r="J48" s="63" t="e">
        <f t="shared" si="3"/>
        <v>#VALUE!</v>
      </c>
      <c r="K48" s="63">
        <f t="shared" si="4"/>
        <v>22</v>
      </c>
      <c r="L48" s="63" t="str">
        <f>IFERROR(VLOOKUP(MID(G48,J48,K48-J48),[6]skilldef!$C:$D,2,FALSE),"-") &amp; " / " &amp; IFERROR(VLOOKUP(MID(G48,H48,I48-H48),[6]skilldef!$A:$B,2,FALSE),"-")</f>
        <v>- / 連続攻撃</v>
      </c>
      <c r="M48" s="63" t="str">
        <f t="shared" si="5"/>
        <v>none</v>
      </c>
      <c r="N48" s="48" t="str">
        <f t="shared" si="6"/>
        <v>none</v>
      </c>
      <c r="O48" s="63" t="e">
        <f t="shared" si="7"/>
        <v>#VALUE!</v>
      </c>
      <c r="P48" s="63">
        <f t="shared" si="8"/>
        <v>4</v>
      </c>
      <c r="Q48" s="63" t="e">
        <f t="shared" si="9"/>
        <v>#VALUE!</v>
      </c>
      <c r="R48" s="63" t="e">
        <f t="shared" si="10"/>
        <v>#VALUE!</v>
      </c>
      <c r="S48" s="63" t="str">
        <f>IFERROR(VLOOKUP(MID(N48,Q48,R48-Q48),[6]skilldef!$C:$D,2,FALSE),"-") &amp; " / " &amp; IFERROR(VLOOKUP(MID(N48,O48,P48-O48),[6]skilldef!$A:$B,2,FALSE),"-")</f>
        <v>- / -</v>
      </c>
      <c r="T48" s="48" t="str">
        <f t="shared" si="11"/>
        <v>none</v>
      </c>
      <c r="U48" s="63" t="e">
        <f t="shared" si="12"/>
        <v>#VALUE!</v>
      </c>
      <c r="V48" s="63">
        <f t="shared" si="13"/>
        <v>4</v>
      </c>
      <c r="W48" s="63" t="e">
        <f t="shared" si="14"/>
        <v>#VALUE!</v>
      </c>
      <c r="X48" s="63" t="e">
        <f t="shared" si="15"/>
        <v>#VALUE!</v>
      </c>
      <c r="Y48" s="63" t="str">
        <f>IFERROR(VLOOKUP(MID(T48,W48,X48-W48),[6]skilldef!$C:$D,2,FALSE),"-") &amp; " / " &amp; IFERROR(VLOOKUP(MID(T48,U48,V48-U48),[6]skilldef!$A:$B,2,FALSE),"-")</f>
        <v>- / -</v>
      </c>
      <c r="Z48" s="50"/>
      <c r="AA48" s="52"/>
      <c r="AB48" s="50"/>
    </row>
    <row r="49" spans="1:28" ht="21" customHeight="1">
      <c r="A49" s="22">
        <v>50002048</v>
      </c>
      <c r="B49" s="98" t="s">
        <v>246</v>
      </c>
      <c r="C49" s="50">
        <v>3</v>
      </c>
      <c r="D49" s="50" t="s">
        <v>199</v>
      </c>
      <c r="E49" s="51" t="s">
        <v>248</v>
      </c>
      <c r="F49" s="51" t="s">
        <v>243</v>
      </c>
      <c r="G49" s="63" t="str">
        <f t="shared" si="0"/>
        <v>[effect:rush, count:3, val:0.6]</v>
      </c>
      <c r="H49" s="63">
        <f t="shared" si="1"/>
        <v>9</v>
      </c>
      <c r="I49" s="63">
        <f t="shared" si="2"/>
        <v>13</v>
      </c>
      <c r="J49" s="63" t="e">
        <f t="shared" si="3"/>
        <v>#VALUE!</v>
      </c>
      <c r="K49" s="63">
        <f t="shared" si="4"/>
        <v>22</v>
      </c>
      <c r="L49" s="63" t="str">
        <f>IFERROR(VLOOKUP(MID(G49,J49,K49-J49),[6]skilldef!$C:$D,2,FALSE),"-") &amp; " / " &amp; IFERROR(VLOOKUP(MID(G49,H49,I49-H49),[6]skilldef!$A:$B,2,FALSE),"-")</f>
        <v>- / 連続攻撃</v>
      </c>
      <c r="M49" s="63" t="str">
        <f t="shared" si="5"/>
        <v>none</v>
      </c>
      <c r="N49" s="48" t="str">
        <f t="shared" si="6"/>
        <v>none</v>
      </c>
      <c r="O49" s="63" t="e">
        <f t="shared" si="7"/>
        <v>#VALUE!</v>
      </c>
      <c r="P49" s="63">
        <f t="shared" si="8"/>
        <v>4</v>
      </c>
      <c r="Q49" s="63" t="e">
        <f t="shared" si="9"/>
        <v>#VALUE!</v>
      </c>
      <c r="R49" s="63" t="e">
        <f t="shared" si="10"/>
        <v>#VALUE!</v>
      </c>
      <c r="S49" s="63" t="str">
        <f>IFERROR(VLOOKUP(MID(N49,Q49,R49-Q49),[6]skilldef!$C:$D,2,FALSE),"-") &amp; " / " &amp; IFERROR(VLOOKUP(MID(N49,O49,P49-O49),[6]skilldef!$A:$B,2,FALSE),"-")</f>
        <v>- / -</v>
      </c>
      <c r="T49" s="48" t="str">
        <f t="shared" si="11"/>
        <v>none</v>
      </c>
      <c r="U49" s="63" t="e">
        <f t="shared" si="12"/>
        <v>#VALUE!</v>
      </c>
      <c r="V49" s="63">
        <f t="shared" si="13"/>
        <v>4</v>
      </c>
      <c r="W49" s="63" t="e">
        <f t="shared" si="14"/>
        <v>#VALUE!</v>
      </c>
      <c r="X49" s="63" t="e">
        <f t="shared" si="15"/>
        <v>#VALUE!</v>
      </c>
      <c r="Y49" s="63" t="str">
        <f>IFERROR(VLOOKUP(MID(T49,W49,X49-W49),[6]skilldef!$C:$D,2,FALSE),"-") &amp; " / " &amp; IFERROR(VLOOKUP(MID(T49,U49,V49-U49),[6]skilldef!$A:$B,2,FALSE),"-")</f>
        <v>- / -</v>
      </c>
      <c r="Z49" s="50"/>
      <c r="AA49" s="52"/>
      <c r="AB49" s="50"/>
    </row>
    <row r="50" spans="1:28" ht="21" customHeight="1">
      <c r="A50" s="22">
        <v>50002049</v>
      </c>
      <c r="B50" s="47" t="s">
        <v>227</v>
      </c>
      <c r="C50" s="50">
        <v>3</v>
      </c>
      <c r="D50" s="50" t="s">
        <v>128</v>
      </c>
      <c r="E50" s="51" t="s">
        <v>219</v>
      </c>
      <c r="F50" s="51" t="s">
        <v>213</v>
      </c>
      <c r="G50" s="63" t="str">
        <f t="shared" si="0"/>
        <v>[effect:nothing]</v>
      </c>
      <c r="H50" s="63">
        <f t="shared" si="1"/>
        <v>9</v>
      </c>
      <c r="I50" s="63">
        <f t="shared" si="2"/>
        <v>16</v>
      </c>
      <c r="J50" s="63" t="e">
        <f t="shared" si="3"/>
        <v>#VALUE!</v>
      </c>
      <c r="K50" s="63" t="e">
        <f t="shared" si="4"/>
        <v>#VALUE!</v>
      </c>
      <c r="L50" s="63" t="str">
        <f>IFERROR(VLOOKUP(MID(G50,J50,K50-J50),[6]skilldef!$C:$D,2,FALSE),"-") &amp; " / " &amp; IFERROR(VLOOKUP(MID(G50,H50,I50-H50),[6]skilldef!$A:$B,2,FALSE),"-")</f>
        <v>- / 何もしない</v>
      </c>
      <c r="M50" s="63" t="str">
        <f t="shared" si="5"/>
        <v>none</v>
      </c>
      <c r="N50" s="48" t="str">
        <f t="shared" si="6"/>
        <v>none</v>
      </c>
      <c r="O50" s="63" t="e">
        <f t="shared" si="7"/>
        <v>#VALUE!</v>
      </c>
      <c r="P50" s="63">
        <f t="shared" si="8"/>
        <v>4</v>
      </c>
      <c r="Q50" s="63" t="e">
        <f t="shared" si="9"/>
        <v>#VALUE!</v>
      </c>
      <c r="R50" s="63" t="e">
        <f t="shared" si="10"/>
        <v>#VALUE!</v>
      </c>
      <c r="S50" s="63" t="str">
        <f>IFERROR(VLOOKUP(MID(N50,Q50,R50-Q50),[6]skilldef!$C:$D,2,FALSE),"-") &amp; " / " &amp; IFERROR(VLOOKUP(MID(N50,O50,P50-O50),[6]skilldef!$A:$B,2,FALSE),"-")</f>
        <v>- / -</v>
      </c>
      <c r="T50" s="48" t="str">
        <f t="shared" si="11"/>
        <v>none</v>
      </c>
      <c r="U50" s="63" t="e">
        <f t="shared" si="12"/>
        <v>#VALUE!</v>
      </c>
      <c r="V50" s="63">
        <f t="shared" si="13"/>
        <v>4</v>
      </c>
      <c r="W50" s="63" t="e">
        <f t="shared" si="14"/>
        <v>#VALUE!</v>
      </c>
      <c r="X50" s="63" t="e">
        <f t="shared" si="15"/>
        <v>#VALUE!</v>
      </c>
      <c r="Y50" s="63" t="str">
        <f>IFERROR(VLOOKUP(MID(T50,W50,X50-W50),[6]skilldef!$C:$D,2,FALSE),"-") &amp; " / " &amp; IFERROR(VLOOKUP(MID(T50,U50,V50-U50),[6]skilldef!$A:$B,2,FALSE),"-")</f>
        <v>- / -</v>
      </c>
      <c r="Z50" s="50"/>
      <c r="AA50" s="52"/>
      <c r="AB50" s="50"/>
    </row>
    <row r="51" spans="1:28" ht="21" customHeight="1">
      <c r="A51" s="22">
        <v>50002050</v>
      </c>
      <c r="B51" s="47" t="s">
        <v>227</v>
      </c>
      <c r="C51" s="50">
        <v>3</v>
      </c>
      <c r="D51" s="50" t="s">
        <v>128</v>
      </c>
      <c r="E51" s="51" t="s">
        <v>219</v>
      </c>
      <c r="F51" s="51" t="s">
        <v>213</v>
      </c>
      <c r="G51" s="63" t="str">
        <f t="shared" si="0"/>
        <v>[effect:nothing]</v>
      </c>
      <c r="H51" s="63">
        <f t="shared" si="1"/>
        <v>9</v>
      </c>
      <c r="I51" s="63">
        <f t="shared" si="2"/>
        <v>16</v>
      </c>
      <c r="J51" s="63" t="e">
        <f t="shared" si="3"/>
        <v>#VALUE!</v>
      </c>
      <c r="K51" s="63" t="e">
        <f t="shared" si="4"/>
        <v>#VALUE!</v>
      </c>
      <c r="L51" s="63" t="str">
        <f>IFERROR(VLOOKUP(MID(G51,J51,K51-J51),[6]skilldef!$C:$D,2,FALSE),"-") &amp; " / " &amp; IFERROR(VLOOKUP(MID(G51,H51,I51-H51),[6]skilldef!$A:$B,2,FALSE),"-")</f>
        <v>- / 何もしない</v>
      </c>
      <c r="M51" s="63" t="str">
        <f t="shared" si="5"/>
        <v>none</v>
      </c>
      <c r="N51" s="48" t="str">
        <f t="shared" si="6"/>
        <v>none</v>
      </c>
      <c r="O51" s="63" t="e">
        <f t="shared" si="7"/>
        <v>#VALUE!</v>
      </c>
      <c r="P51" s="63">
        <f t="shared" si="8"/>
        <v>4</v>
      </c>
      <c r="Q51" s="63" t="e">
        <f t="shared" si="9"/>
        <v>#VALUE!</v>
      </c>
      <c r="R51" s="63" t="e">
        <f t="shared" si="10"/>
        <v>#VALUE!</v>
      </c>
      <c r="S51" s="63" t="str">
        <f>IFERROR(VLOOKUP(MID(N51,Q51,R51-Q51),[6]skilldef!$C:$D,2,FALSE),"-") &amp; " / " &amp; IFERROR(VLOOKUP(MID(N51,O51,P51-O51),[6]skilldef!$A:$B,2,FALSE),"-")</f>
        <v>- / -</v>
      </c>
      <c r="T51" s="48" t="str">
        <f t="shared" si="11"/>
        <v>none</v>
      </c>
      <c r="U51" s="63" t="e">
        <f t="shared" si="12"/>
        <v>#VALUE!</v>
      </c>
      <c r="V51" s="63">
        <f t="shared" si="13"/>
        <v>4</v>
      </c>
      <c r="W51" s="63" t="e">
        <f t="shared" si="14"/>
        <v>#VALUE!</v>
      </c>
      <c r="X51" s="63" t="e">
        <f t="shared" si="15"/>
        <v>#VALUE!</v>
      </c>
      <c r="Y51" s="63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21" customHeight="1">
      <c r="A52" s="22">
        <v>50002051</v>
      </c>
      <c r="B52" s="47" t="s">
        <v>338</v>
      </c>
      <c r="C52" s="50">
        <v>3</v>
      </c>
      <c r="D52" s="50" t="s">
        <v>128</v>
      </c>
      <c r="E52" s="51" t="s">
        <v>292</v>
      </c>
      <c r="F52" s="51" t="s">
        <v>228</v>
      </c>
      <c r="G52" s="63" t="str">
        <f t="shared" si="0"/>
        <v>[effect:tolerance, target:myself, turn:-1, tolerance_effect:hungup, count:-1]</v>
      </c>
      <c r="H52" s="63">
        <f t="shared" si="1"/>
        <v>9</v>
      </c>
      <c r="I52" s="63">
        <f t="shared" si="2"/>
        <v>18</v>
      </c>
      <c r="J52" s="63">
        <f t="shared" si="3"/>
        <v>27</v>
      </c>
      <c r="K52" s="63">
        <f t="shared" si="4"/>
        <v>33</v>
      </c>
      <c r="L52" s="63" t="str">
        <f>IFERROR(VLOOKUP(MID(G52,J52,K52-J52),[6]skilldef!$C:$D,2,FALSE),"-") &amp; " / " &amp; IFERROR(VLOOKUP(MID(G52,H52,I52-H52),[6]skilldef!$A:$B,2,FALSE),"-")</f>
        <v>自分自身に / 状態異常耐性</v>
      </c>
      <c r="M52" s="63" t="str">
        <f t="shared" si="5"/>
        <v>[effect:tolerance, target:myself, turn:-1, tolerance_effect:virus, count:-1],[effect:tolerance, target:myself, turn:-1, tolerance_effect:sleep, count:-1, animation:enemy_tolerance],[effect:enemy_counter, target:myself, invoke_condition:unit_all, counter_target:attacker, turn:5, val:0.5, animation:enemy_counter][effect:fix_speed, target:myself, turn:3]</v>
      </c>
      <c r="N52" s="48" t="str">
        <f t="shared" si="6"/>
        <v>[effect:tolerance, target:myself, turn:-1, tolerance_effect:virus, count:-1],[effect:tolerance, target:myself, turn:-1, tolerance_effect:sleep, count:-1, animation:enemy_tolerance],[effect:enemy_counter, target:myself, invoke_condition:unit_all, counter_target:attacker, turn:5, val:0.5, animation:enemy_counter][effect:fix_speed, target:myself, turn:3]</v>
      </c>
      <c r="O52" s="63">
        <f t="shared" si="7"/>
        <v>9</v>
      </c>
      <c r="P52" s="63">
        <f t="shared" si="8"/>
        <v>18</v>
      </c>
      <c r="Q52" s="63">
        <f t="shared" si="9"/>
        <v>27</v>
      </c>
      <c r="R52" s="63">
        <f t="shared" si="10"/>
        <v>33</v>
      </c>
      <c r="S52" s="63" t="str">
        <f>IFERROR(VLOOKUP(MID(N52,Q52,R52-Q52),[6]skilldef!$C:$D,2,FALSE),"-") &amp; " / " &amp; IFERROR(VLOOKUP(MID(N52,O52,P52-O52),[6]skilldef!$A:$B,2,FALSE),"-")</f>
        <v>自分自身に / 状態異常耐性</v>
      </c>
      <c r="T52" s="48" t="str">
        <f t="shared" si="11"/>
        <v>[effect:tolerance, target:myself, turn:-1, tolerance_effect:sleep, count:-1, animation:enemy_tolerance],[effect:enemy_counter, target:myself, invoke_condition:unit_all, counter_target:attacker, turn:5, val:0.5, animation:enemy_counter][effect:fix_speed, target:myself, turn:3]</v>
      </c>
      <c r="U52" s="63">
        <f t="shared" si="12"/>
        <v>9</v>
      </c>
      <c r="V52" s="63">
        <f t="shared" si="13"/>
        <v>18</v>
      </c>
      <c r="W52" s="63">
        <f t="shared" si="14"/>
        <v>27</v>
      </c>
      <c r="X52" s="63">
        <f t="shared" si="15"/>
        <v>33</v>
      </c>
      <c r="Y52" s="63" t="str">
        <f>IFERROR(VLOOKUP(MID(T52,W52,X52-W52),[6]skilldef!$C:$D,2,FALSE),"-") &amp; " / " &amp; IFERROR(VLOOKUP(MID(T52,U52,V52-U52),[6]skilldef!$A:$B,2,FALSE),"-")</f>
        <v>自分自身に / 状態異常耐性</v>
      </c>
      <c r="Z52" s="50"/>
      <c r="AA52" s="52"/>
      <c r="AB52" s="50"/>
    </row>
    <row r="53" spans="1:28" ht="21" customHeight="1">
      <c r="A53" s="22">
        <v>50002052</v>
      </c>
      <c r="B53" s="47" t="s">
        <v>339</v>
      </c>
      <c r="C53" s="50">
        <v>3</v>
      </c>
      <c r="D53" s="50" t="s">
        <v>128</v>
      </c>
      <c r="E53" s="51" t="s">
        <v>351</v>
      </c>
      <c r="F53" s="51" t="s">
        <v>236</v>
      </c>
      <c r="G53" s="63" t="str">
        <f t="shared" si="0"/>
        <v>[effect:damage_anti_color, target:unit_all, color:red, val1:0.6, val2:0.28]</v>
      </c>
      <c r="H53" s="63">
        <f t="shared" si="1"/>
        <v>9</v>
      </c>
      <c r="I53" s="63">
        <f t="shared" si="2"/>
        <v>26</v>
      </c>
      <c r="J53" s="63">
        <f t="shared" si="3"/>
        <v>35</v>
      </c>
      <c r="K53" s="63">
        <f t="shared" si="4"/>
        <v>43</v>
      </c>
      <c r="L53" s="63" t="str">
        <f>IFERROR(VLOOKUP(MID(G53,J53,K53-J53),[6]skilldef!$C:$D,2,FALSE),"-") &amp; " / " &amp; IFERROR(VLOOKUP(MID(G53,H53,I53-H53),[6]skilldef!$A:$B,2,FALSE),"-")</f>
        <v>味方全体に / 属性キラー</v>
      </c>
      <c r="M53" s="63" t="str">
        <f t="shared" si="5"/>
        <v>none</v>
      </c>
      <c r="N53" s="48" t="str">
        <f t="shared" si="6"/>
        <v>none</v>
      </c>
      <c r="O53" s="63" t="e">
        <f t="shared" si="7"/>
        <v>#VALUE!</v>
      </c>
      <c r="P53" s="63">
        <f t="shared" si="8"/>
        <v>4</v>
      </c>
      <c r="Q53" s="63" t="e">
        <f t="shared" si="9"/>
        <v>#VALUE!</v>
      </c>
      <c r="R53" s="63" t="e">
        <f t="shared" si="10"/>
        <v>#VALUE!</v>
      </c>
      <c r="S53" s="63" t="str">
        <f>IFERROR(VLOOKUP(MID(N53,Q53,R53-Q53),[6]skilldef!$C:$D,2,FALSE),"-") &amp; " / " &amp; IFERROR(VLOOKUP(MID(N53,O53,P53-O53),[6]skilldef!$A:$B,2,FALSE),"-")</f>
        <v>- / -</v>
      </c>
      <c r="T53" s="48" t="str">
        <f t="shared" si="11"/>
        <v>none</v>
      </c>
      <c r="U53" s="63" t="e">
        <f t="shared" si="12"/>
        <v>#VALUE!</v>
      </c>
      <c r="V53" s="63">
        <f t="shared" si="13"/>
        <v>4</v>
      </c>
      <c r="W53" s="63" t="e">
        <f t="shared" si="14"/>
        <v>#VALUE!</v>
      </c>
      <c r="X53" s="63" t="e">
        <f t="shared" si="15"/>
        <v>#VALUE!</v>
      </c>
      <c r="Y53" s="63" t="str">
        <f>IFERROR(VLOOKUP(MID(T53,W53,X53-W53),[6]skilldef!$C:$D,2,FALSE),"-") &amp; " / " &amp; IFERROR(VLOOKUP(MID(T53,U53,V53-U53),[6]skilldef!$A:$B,2,FALSE),"-")</f>
        <v>- / -</v>
      </c>
      <c r="Z53" s="50"/>
      <c r="AA53" s="52"/>
      <c r="AB53" s="50"/>
    </row>
    <row r="54" spans="1:28" ht="21" customHeight="1">
      <c r="A54" s="22">
        <v>50002053</v>
      </c>
      <c r="B54" s="47" t="s">
        <v>227</v>
      </c>
      <c r="C54" s="50">
        <v>3</v>
      </c>
      <c r="D54" s="50" t="s">
        <v>128</v>
      </c>
      <c r="E54" s="51" t="s">
        <v>302</v>
      </c>
      <c r="F54" s="51" t="s">
        <v>336</v>
      </c>
      <c r="G54" s="63" t="str">
        <f t="shared" si="0"/>
        <v>[effect:nothing]</v>
      </c>
      <c r="H54" s="63">
        <f t="shared" si="1"/>
        <v>9</v>
      </c>
      <c r="I54" s="63">
        <f t="shared" si="2"/>
        <v>16</v>
      </c>
      <c r="J54" s="63" t="e">
        <f t="shared" si="3"/>
        <v>#VALUE!</v>
      </c>
      <c r="K54" s="63" t="e">
        <f t="shared" si="4"/>
        <v>#VALUE!</v>
      </c>
      <c r="L54" s="63" t="str">
        <f>IFERROR(VLOOKUP(MID(G54,J54,K54-J54),[6]skilldef!$C:$D,2,FALSE),"-") &amp; " / " &amp; IFERROR(VLOOKUP(MID(G54,H54,I54-H54),[6]skilldef!$A:$B,2,FALSE),"-")</f>
        <v>- / 何もしない</v>
      </c>
      <c r="M54" s="63" t="str">
        <f t="shared" si="5"/>
        <v>none</v>
      </c>
      <c r="N54" s="48" t="str">
        <f t="shared" si="6"/>
        <v>none</v>
      </c>
      <c r="O54" s="63" t="e">
        <f t="shared" si="7"/>
        <v>#VALUE!</v>
      </c>
      <c r="P54" s="63">
        <f t="shared" si="8"/>
        <v>4</v>
      </c>
      <c r="Q54" s="63" t="e">
        <f t="shared" si="9"/>
        <v>#VALUE!</v>
      </c>
      <c r="R54" s="63" t="e">
        <f t="shared" si="10"/>
        <v>#VALUE!</v>
      </c>
      <c r="S54" s="63" t="str">
        <f>IFERROR(VLOOKUP(MID(N54,Q54,R54-Q54),[6]skilldef!$C:$D,2,FALSE),"-") &amp; " / " &amp; IFERROR(VLOOKUP(MID(N54,O54,P54-O54),[6]skilldef!$A:$B,2,FALSE),"-")</f>
        <v>- / -</v>
      </c>
      <c r="T54" s="48" t="str">
        <f t="shared" si="11"/>
        <v>none</v>
      </c>
      <c r="U54" s="63" t="e">
        <f t="shared" si="12"/>
        <v>#VALUE!</v>
      </c>
      <c r="V54" s="63">
        <f t="shared" si="13"/>
        <v>4</v>
      </c>
      <c r="W54" s="63" t="e">
        <f t="shared" si="14"/>
        <v>#VALUE!</v>
      </c>
      <c r="X54" s="63" t="e">
        <f t="shared" si="15"/>
        <v>#VALUE!</v>
      </c>
      <c r="Y54" s="63" t="str">
        <f>IFERROR(VLOOKUP(MID(T54,W54,X54-W54),[6]skilldef!$C:$D,2,FALSE),"-") &amp; " / " &amp; IFERROR(VLOOKUP(MID(T54,U54,V54-U54),[6]skilldef!$A:$B,2,FALSE),"-")</f>
        <v>- / -</v>
      </c>
      <c r="Z54" s="50"/>
      <c r="AA54" s="52"/>
      <c r="AB54" s="50"/>
    </row>
    <row r="55" spans="1:28" ht="21" customHeight="1">
      <c r="A55" s="22">
        <v>50002054</v>
      </c>
      <c r="B55" s="47" t="s">
        <v>353</v>
      </c>
      <c r="C55" s="50">
        <v>3</v>
      </c>
      <c r="D55" s="50" t="s">
        <v>128</v>
      </c>
      <c r="E55" s="51" t="s">
        <v>304</v>
      </c>
      <c r="F55" s="51" t="s">
        <v>335</v>
      </c>
      <c r="G55" s="63" t="str">
        <f t="shared" si="0"/>
        <v>[effect:remove_enhancement, target:unit_all, target_effect:enhance, target_type:buff, status:defense, animation:frozen_wave]</v>
      </c>
      <c r="H55" s="63">
        <f t="shared" si="1"/>
        <v>9</v>
      </c>
      <c r="I55" s="63">
        <f t="shared" si="2"/>
        <v>27</v>
      </c>
      <c r="J55" s="63">
        <f t="shared" si="3"/>
        <v>36</v>
      </c>
      <c r="K55" s="63">
        <f t="shared" si="4"/>
        <v>44</v>
      </c>
      <c r="L55" s="63" t="str">
        <f>IFERROR(VLOOKUP(MID(G55,J55,K55-J55),[6]skilldef!$C:$D,2,FALSE),"-") &amp; " / " &amp; IFERROR(VLOOKUP(MID(G55,H55,I55-H55),[6]skilldef!$A:$B,2,FALSE),"-")</f>
        <v>味方全体に / -</v>
      </c>
      <c r="M55" s="63" t="str">
        <f t="shared" si="5"/>
        <v>[effect:remove_enhancement, target:unit_all, target_effect:reduction, target_type:buff],[effect:critical, val:2.2]</v>
      </c>
      <c r="N55" s="48" t="str">
        <f t="shared" si="6"/>
        <v>[effect:remove_enhancement, target:unit_all, target_effect:reduction, target_type:buff],[effect:critical, val:2.2]</v>
      </c>
      <c r="O55" s="63">
        <f t="shared" si="7"/>
        <v>9</v>
      </c>
      <c r="P55" s="63">
        <f t="shared" si="8"/>
        <v>27</v>
      </c>
      <c r="Q55" s="63">
        <f t="shared" si="9"/>
        <v>36</v>
      </c>
      <c r="R55" s="63">
        <f t="shared" si="10"/>
        <v>44</v>
      </c>
      <c r="S55" s="63" t="str">
        <f>IFERROR(VLOOKUP(MID(N55,Q55,R55-Q55),[6]skilldef!$C:$D,2,FALSE),"-") &amp; " / " &amp; IFERROR(VLOOKUP(MID(N55,O55,P55-O55),[6]skilldef!$A:$B,2,FALSE),"-")</f>
        <v>味方全体に / -</v>
      </c>
      <c r="T55" s="48" t="str">
        <f t="shared" si="11"/>
        <v>[effect:critical, val:2.2]</v>
      </c>
      <c r="U55" s="63">
        <f t="shared" si="12"/>
        <v>9</v>
      </c>
      <c r="V55" s="63">
        <f t="shared" si="13"/>
        <v>17</v>
      </c>
      <c r="W55" s="63" t="e">
        <f t="shared" si="14"/>
        <v>#VALUE!</v>
      </c>
      <c r="X55" s="63" t="e">
        <f t="shared" si="15"/>
        <v>#VALUE!</v>
      </c>
      <c r="Y55" s="63" t="str">
        <f>IFERROR(VLOOKUP(MID(T55,W55,X55-W55),[6]skilldef!$C:$D,2,FALSE),"-") &amp; " / " &amp; IFERROR(VLOOKUP(MID(T55,U55,V55-U55),[6]skilldef!$A:$B,2,FALSE),"-")</f>
        <v>- / 大攻撃</v>
      </c>
      <c r="Z55" s="50"/>
      <c r="AA55" s="52"/>
      <c r="AB55" s="50"/>
    </row>
    <row r="56" spans="1:28" ht="21" customHeight="1">
      <c r="A56" s="22">
        <v>50002055</v>
      </c>
      <c r="B56" s="47" t="s">
        <v>341</v>
      </c>
      <c r="C56" s="50">
        <v>3</v>
      </c>
      <c r="D56" s="50" t="s">
        <v>128</v>
      </c>
      <c r="E56" s="51" t="s">
        <v>293</v>
      </c>
      <c r="F56" s="51" t="s">
        <v>362</v>
      </c>
      <c r="G56" s="63" t="str">
        <f t="shared" si="0"/>
        <v>[effect:kamikaze, val:0.35]</v>
      </c>
      <c r="H56" s="63">
        <f t="shared" si="1"/>
        <v>9</v>
      </c>
      <c r="I56" s="63">
        <f t="shared" si="2"/>
        <v>17</v>
      </c>
      <c r="J56" s="63" t="e">
        <f t="shared" si="3"/>
        <v>#VALUE!</v>
      </c>
      <c r="K56" s="63" t="e">
        <f t="shared" si="4"/>
        <v>#VALUE!</v>
      </c>
      <c r="L56" s="63" t="str">
        <f>IFERROR(VLOOKUP(MID(G56,J56,K56-J56),[6]skilldef!$C:$D,2,FALSE),"-") &amp; " / " &amp; IFERROR(VLOOKUP(MID(G56,H56,I56-H56),[6]skilldef!$A:$B,2,FALSE),"-")</f>
        <v>- / 自爆</v>
      </c>
      <c r="M56" s="63" t="str">
        <f t="shared" si="5"/>
        <v>none</v>
      </c>
      <c r="N56" s="48" t="str">
        <f t="shared" si="6"/>
        <v>none</v>
      </c>
      <c r="O56" s="63" t="e">
        <f t="shared" si="7"/>
        <v>#VALUE!</v>
      </c>
      <c r="P56" s="63">
        <f t="shared" si="8"/>
        <v>4</v>
      </c>
      <c r="Q56" s="63" t="e">
        <f t="shared" si="9"/>
        <v>#VALUE!</v>
      </c>
      <c r="R56" s="63" t="e">
        <f t="shared" si="10"/>
        <v>#VALUE!</v>
      </c>
      <c r="S56" s="63" t="str">
        <f>IFERROR(VLOOKUP(MID(N56,Q56,R56-Q56),[6]skilldef!$C:$D,2,FALSE),"-") &amp; " / " &amp; IFERROR(VLOOKUP(MID(N56,O56,P56-O56),[6]skilldef!$A:$B,2,FALSE),"-")</f>
        <v>- / -</v>
      </c>
      <c r="T56" s="48" t="str">
        <f t="shared" si="11"/>
        <v>none</v>
      </c>
      <c r="U56" s="63" t="e">
        <f t="shared" si="12"/>
        <v>#VALUE!</v>
      </c>
      <c r="V56" s="63">
        <f t="shared" si="13"/>
        <v>4</v>
      </c>
      <c r="W56" s="63" t="e">
        <f t="shared" si="14"/>
        <v>#VALUE!</v>
      </c>
      <c r="X56" s="63" t="e">
        <f t="shared" si="15"/>
        <v>#VALUE!</v>
      </c>
      <c r="Y56" s="63" t="str">
        <f>IFERROR(VLOOKUP(MID(T56,W56,X56-W56),[6]skilldef!$C:$D,2,FALSE),"-") &amp; " / " &amp; IFERROR(VLOOKUP(MID(T56,U56,V56-U56),[6]skilldef!$A:$B,2,FALSE),"-")</f>
        <v>- / -</v>
      </c>
      <c r="Z56" s="50"/>
      <c r="AA56" s="52"/>
      <c r="AB56" s="50"/>
    </row>
    <row r="57" spans="1:28" ht="21" customHeight="1">
      <c r="A57" s="22">
        <v>50002056</v>
      </c>
      <c r="B57" s="47" t="s">
        <v>227</v>
      </c>
      <c r="C57" s="50">
        <v>3</v>
      </c>
      <c r="D57" s="50" t="s">
        <v>128</v>
      </c>
      <c r="E57" s="51" t="s">
        <v>221</v>
      </c>
      <c r="F57" s="51" t="s">
        <v>213</v>
      </c>
      <c r="G57" s="63" t="str">
        <f t="shared" si="0"/>
        <v>[effect:nothing]</v>
      </c>
      <c r="H57" s="63">
        <f t="shared" si="1"/>
        <v>9</v>
      </c>
      <c r="I57" s="63">
        <f t="shared" si="2"/>
        <v>16</v>
      </c>
      <c r="J57" s="63" t="e">
        <f t="shared" si="3"/>
        <v>#VALUE!</v>
      </c>
      <c r="K57" s="63" t="e">
        <f t="shared" si="4"/>
        <v>#VALUE!</v>
      </c>
      <c r="L57" s="63" t="str">
        <f>IFERROR(VLOOKUP(MID(G57,J57,K57-J57),[6]skilldef!$C:$D,2,FALSE),"-") &amp; " / " &amp; IFERROR(VLOOKUP(MID(G57,H57,I57-H57),[6]skilldef!$A:$B,2,FALSE),"-")</f>
        <v>- / 何もしない</v>
      </c>
      <c r="M57" s="63" t="str">
        <f t="shared" si="5"/>
        <v>none</v>
      </c>
      <c r="N57" s="48" t="str">
        <f t="shared" si="6"/>
        <v>none</v>
      </c>
      <c r="O57" s="63" t="e">
        <f t="shared" si="7"/>
        <v>#VALUE!</v>
      </c>
      <c r="P57" s="63">
        <f t="shared" si="8"/>
        <v>4</v>
      </c>
      <c r="Q57" s="63" t="e">
        <f t="shared" si="9"/>
        <v>#VALUE!</v>
      </c>
      <c r="R57" s="63" t="e">
        <f t="shared" si="10"/>
        <v>#VALUE!</v>
      </c>
      <c r="S57" s="63" t="str">
        <f>IFERROR(VLOOKUP(MID(N57,Q57,R57-Q57),[6]skilldef!$C:$D,2,FALSE),"-") &amp; " / " &amp; IFERROR(VLOOKUP(MID(N57,O57,P57-O57),[6]skilldef!$A:$B,2,FALSE),"-")</f>
        <v>- / -</v>
      </c>
      <c r="T57" s="48" t="str">
        <f t="shared" si="11"/>
        <v>none</v>
      </c>
      <c r="U57" s="63" t="e">
        <f t="shared" si="12"/>
        <v>#VALUE!</v>
      </c>
      <c r="V57" s="63">
        <f t="shared" si="13"/>
        <v>4</v>
      </c>
      <c r="W57" s="63" t="e">
        <f t="shared" si="14"/>
        <v>#VALUE!</v>
      </c>
      <c r="X57" s="63" t="e">
        <f t="shared" si="15"/>
        <v>#VALUE!</v>
      </c>
      <c r="Y57" s="63" t="str">
        <f>IFERROR(VLOOKUP(MID(T57,W57,X57-W57),[6]skilldef!$C:$D,2,FALSE),"-") &amp; " / " &amp; IFERROR(VLOOKUP(MID(T57,U57,V57-U57),[6]skilldef!$A:$B,2,FALSE),"-")</f>
        <v>- / -</v>
      </c>
      <c r="Z57" s="50"/>
      <c r="AA57" s="52"/>
      <c r="AB57" s="50"/>
    </row>
    <row r="58" spans="1:28" ht="21" customHeight="1">
      <c r="A58" s="22">
        <v>50002057</v>
      </c>
      <c r="B58" s="47" t="s">
        <v>227</v>
      </c>
      <c r="C58" s="50">
        <v>3</v>
      </c>
      <c r="D58" s="50" t="s">
        <v>128</v>
      </c>
      <c r="E58" s="51" t="s">
        <v>221</v>
      </c>
      <c r="F58" s="51" t="s">
        <v>213</v>
      </c>
      <c r="G58" s="63" t="str">
        <f t="shared" si="0"/>
        <v>[effect:nothing]</v>
      </c>
      <c r="H58" s="63">
        <f t="shared" si="1"/>
        <v>9</v>
      </c>
      <c r="I58" s="63">
        <f t="shared" si="2"/>
        <v>16</v>
      </c>
      <c r="J58" s="63" t="e">
        <f t="shared" si="3"/>
        <v>#VALUE!</v>
      </c>
      <c r="K58" s="63" t="e">
        <f t="shared" si="4"/>
        <v>#VALUE!</v>
      </c>
      <c r="L58" s="63" t="str">
        <f>IFERROR(VLOOKUP(MID(G58,J58,K58-J58),[6]skilldef!$C:$D,2,FALSE),"-") &amp; " / " &amp; IFERROR(VLOOKUP(MID(G58,H58,I58-H58),[6]skilldef!$A:$B,2,FALSE),"-")</f>
        <v>- / 何もしない</v>
      </c>
      <c r="M58" s="63" t="str">
        <f t="shared" si="5"/>
        <v>none</v>
      </c>
      <c r="N58" s="48" t="str">
        <f t="shared" si="6"/>
        <v>none</v>
      </c>
      <c r="O58" s="63" t="e">
        <f t="shared" si="7"/>
        <v>#VALUE!</v>
      </c>
      <c r="P58" s="63">
        <f t="shared" si="8"/>
        <v>4</v>
      </c>
      <c r="Q58" s="63" t="e">
        <f t="shared" si="9"/>
        <v>#VALUE!</v>
      </c>
      <c r="R58" s="63" t="e">
        <f t="shared" si="10"/>
        <v>#VALUE!</v>
      </c>
      <c r="S58" s="63" t="str">
        <f>IFERROR(VLOOKUP(MID(N58,Q58,R58-Q58),[6]skilldef!$C:$D,2,FALSE),"-") &amp; " / " &amp; IFERROR(VLOOKUP(MID(N58,O58,P58-O58),[6]skilldef!$A:$B,2,FALSE),"-")</f>
        <v>- / -</v>
      </c>
      <c r="T58" s="48" t="str">
        <f t="shared" si="11"/>
        <v>none</v>
      </c>
      <c r="U58" s="63" t="e">
        <f t="shared" si="12"/>
        <v>#VALUE!</v>
      </c>
      <c r="V58" s="63">
        <f t="shared" si="13"/>
        <v>4</v>
      </c>
      <c r="W58" s="63" t="e">
        <f t="shared" si="14"/>
        <v>#VALUE!</v>
      </c>
      <c r="X58" s="63" t="e">
        <f t="shared" si="15"/>
        <v>#VALUE!</v>
      </c>
      <c r="Y58" s="63" t="str">
        <f>IFERROR(VLOOKUP(MID(T58,W58,X58-W58),[6]skilldef!$C:$D,2,FALSE),"-") &amp; " / " &amp; IFERROR(VLOOKUP(MID(T58,U58,V58-U58),[6]skilldef!$A:$B,2,FALSE),"-")</f>
        <v>- / -</v>
      </c>
      <c r="Z58" s="50"/>
      <c r="AA58" s="52"/>
      <c r="AB58" s="50"/>
    </row>
    <row r="59" spans="1:28" ht="21" customHeight="1">
      <c r="A59" s="22">
        <v>50002058</v>
      </c>
      <c r="B59" s="47" t="s">
        <v>227</v>
      </c>
      <c r="C59" s="50">
        <v>3</v>
      </c>
      <c r="D59" s="50" t="s">
        <v>128</v>
      </c>
      <c r="E59" s="51" t="s">
        <v>221</v>
      </c>
      <c r="F59" s="51" t="s">
        <v>213</v>
      </c>
      <c r="G59" s="63" t="str">
        <f t="shared" si="0"/>
        <v>[effect:nothing]</v>
      </c>
      <c r="H59" s="63">
        <f t="shared" si="1"/>
        <v>9</v>
      </c>
      <c r="I59" s="63">
        <f t="shared" si="2"/>
        <v>16</v>
      </c>
      <c r="J59" s="63" t="e">
        <f t="shared" si="3"/>
        <v>#VALUE!</v>
      </c>
      <c r="K59" s="63" t="e">
        <f t="shared" si="4"/>
        <v>#VALUE!</v>
      </c>
      <c r="L59" s="63" t="str">
        <f>IFERROR(VLOOKUP(MID(G59,J59,K59-J59),[6]skilldef!$C:$D,2,FALSE),"-") &amp; " / " &amp; IFERROR(VLOOKUP(MID(G59,H59,I59-H59),[6]skilldef!$A:$B,2,FALSE),"-")</f>
        <v>- / 何もしない</v>
      </c>
      <c r="M59" s="63" t="str">
        <f t="shared" si="5"/>
        <v>none</v>
      </c>
      <c r="N59" s="48" t="str">
        <f t="shared" si="6"/>
        <v>none</v>
      </c>
      <c r="O59" s="63" t="e">
        <f t="shared" si="7"/>
        <v>#VALUE!</v>
      </c>
      <c r="P59" s="63">
        <f t="shared" si="8"/>
        <v>4</v>
      </c>
      <c r="Q59" s="63" t="e">
        <f t="shared" si="9"/>
        <v>#VALUE!</v>
      </c>
      <c r="R59" s="63" t="e">
        <f t="shared" si="10"/>
        <v>#VALUE!</v>
      </c>
      <c r="S59" s="63" t="str">
        <f>IFERROR(VLOOKUP(MID(N59,Q59,R59-Q59),[6]skilldef!$C:$D,2,FALSE),"-") &amp; " / " &amp; IFERROR(VLOOKUP(MID(N59,O59,P59-O59),[6]skilldef!$A:$B,2,FALSE),"-")</f>
        <v>- / -</v>
      </c>
      <c r="T59" s="48" t="str">
        <f t="shared" si="11"/>
        <v>none</v>
      </c>
      <c r="U59" s="63" t="e">
        <f t="shared" si="12"/>
        <v>#VALUE!</v>
      </c>
      <c r="V59" s="63">
        <f t="shared" si="13"/>
        <v>4</v>
      </c>
      <c r="W59" s="63" t="e">
        <f t="shared" si="14"/>
        <v>#VALUE!</v>
      </c>
      <c r="X59" s="63" t="e">
        <f t="shared" si="15"/>
        <v>#VALUE!</v>
      </c>
      <c r="Y59" s="63" t="str">
        <f>IFERROR(VLOOKUP(MID(T59,W59,X59-W59),[6]skilldef!$C:$D,2,FALSE),"-") &amp; " / " &amp; IFERROR(VLOOKUP(MID(T59,U59,V59-U59),[6]skilldef!$A:$B,2,FALSE),"-")</f>
        <v>- / -</v>
      </c>
      <c r="Z59" s="50"/>
      <c r="AA59" s="52"/>
      <c r="AB59" s="50"/>
    </row>
    <row r="60" spans="1:28" ht="21" customHeight="1">
      <c r="A60" s="22">
        <v>50002059</v>
      </c>
      <c r="B60" s="47" t="s">
        <v>276</v>
      </c>
      <c r="C60" s="50">
        <v>3</v>
      </c>
      <c r="D60" s="50" t="s">
        <v>128</v>
      </c>
      <c r="E60" s="51" t="s">
        <v>221</v>
      </c>
      <c r="F60" s="51" t="s">
        <v>213</v>
      </c>
      <c r="G60" s="63" t="str">
        <f t="shared" si="0"/>
        <v>[effect:nothing]</v>
      </c>
      <c r="H60" s="63">
        <f t="shared" si="1"/>
        <v>9</v>
      </c>
      <c r="I60" s="63">
        <f t="shared" si="2"/>
        <v>16</v>
      </c>
      <c r="J60" s="63" t="e">
        <f t="shared" si="3"/>
        <v>#VALUE!</v>
      </c>
      <c r="K60" s="63" t="e">
        <f t="shared" si="4"/>
        <v>#VALUE!</v>
      </c>
      <c r="L60" s="63" t="str">
        <f>IFERROR(VLOOKUP(MID(G60,J60,K60-J60),[6]skilldef!$C:$D,2,FALSE),"-") &amp; " / " &amp; IFERROR(VLOOKUP(MID(G60,H60,I60-H60),[6]skilldef!$A:$B,2,FALSE),"-")</f>
        <v>- / 何もしない</v>
      </c>
      <c r="M60" s="63" t="str">
        <f t="shared" si="5"/>
        <v>none</v>
      </c>
      <c r="N60" s="48" t="str">
        <f t="shared" si="6"/>
        <v>none</v>
      </c>
      <c r="O60" s="63" t="e">
        <f t="shared" si="7"/>
        <v>#VALUE!</v>
      </c>
      <c r="P60" s="63">
        <f t="shared" si="8"/>
        <v>4</v>
      </c>
      <c r="Q60" s="63" t="e">
        <f t="shared" si="9"/>
        <v>#VALUE!</v>
      </c>
      <c r="R60" s="63" t="e">
        <f t="shared" si="10"/>
        <v>#VALUE!</v>
      </c>
      <c r="S60" s="63" t="str">
        <f>IFERROR(VLOOKUP(MID(N60,Q60,R60-Q60),[6]skilldef!$C:$D,2,FALSE),"-") &amp; " / " &amp; IFERROR(VLOOKUP(MID(N60,O60,P60-O60),[6]skilldef!$A:$B,2,FALSE),"-")</f>
        <v>- / -</v>
      </c>
      <c r="T60" s="48" t="str">
        <f t="shared" si="11"/>
        <v>none</v>
      </c>
      <c r="U60" s="63" t="e">
        <f t="shared" si="12"/>
        <v>#VALUE!</v>
      </c>
      <c r="V60" s="63">
        <f t="shared" si="13"/>
        <v>4</v>
      </c>
      <c r="W60" s="63" t="e">
        <f t="shared" si="14"/>
        <v>#VALUE!</v>
      </c>
      <c r="X60" s="63" t="e">
        <f t="shared" si="15"/>
        <v>#VALUE!</v>
      </c>
      <c r="Y60" s="63" t="str">
        <f>IFERROR(VLOOKUP(MID(T60,W60,X60-W60),[6]skilldef!$C:$D,2,FALSE),"-") &amp; " / " &amp; IFERROR(VLOOKUP(MID(T60,U60,V60-U60),[6]skilldef!$A:$B,2,FALSE),"-")</f>
        <v>- / -</v>
      </c>
      <c r="Z60" s="50"/>
      <c r="AA60" s="52"/>
      <c r="AB60" s="50"/>
    </row>
    <row r="61" spans="1:28" ht="21" customHeight="1">
      <c r="A61" s="22">
        <v>50002060</v>
      </c>
      <c r="B61" s="47" t="s">
        <v>227</v>
      </c>
      <c r="C61" s="50">
        <v>3</v>
      </c>
      <c r="D61" s="50" t="s">
        <v>128</v>
      </c>
      <c r="E61" s="51" t="s">
        <v>221</v>
      </c>
      <c r="F61" s="51" t="s">
        <v>213</v>
      </c>
      <c r="G61" s="63" t="str">
        <f t="shared" si="0"/>
        <v>[effect:nothing]</v>
      </c>
      <c r="H61" s="63">
        <f t="shared" si="1"/>
        <v>9</v>
      </c>
      <c r="I61" s="63">
        <f t="shared" si="2"/>
        <v>16</v>
      </c>
      <c r="J61" s="63" t="e">
        <f t="shared" si="3"/>
        <v>#VALUE!</v>
      </c>
      <c r="K61" s="63" t="e">
        <f t="shared" si="4"/>
        <v>#VALUE!</v>
      </c>
      <c r="L61" s="63" t="str">
        <f>IFERROR(VLOOKUP(MID(G61,J61,K61-J61),[6]skilldef!$C:$D,2,FALSE),"-") &amp; " / " &amp; IFERROR(VLOOKUP(MID(G61,H61,I61-H61),[6]skilldef!$A:$B,2,FALSE),"-")</f>
        <v>- / 何もしない</v>
      </c>
      <c r="M61" s="63" t="str">
        <f t="shared" si="5"/>
        <v>none</v>
      </c>
      <c r="N61" s="48" t="str">
        <f t="shared" si="6"/>
        <v>none</v>
      </c>
      <c r="O61" s="63" t="e">
        <f t="shared" si="7"/>
        <v>#VALUE!</v>
      </c>
      <c r="P61" s="63">
        <f t="shared" si="8"/>
        <v>4</v>
      </c>
      <c r="Q61" s="63" t="e">
        <f t="shared" si="9"/>
        <v>#VALUE!</v>
      </c>
      <c r="R61" s="63" t="e">
        <f t="shared" si="10"/>
        <v>#VALUE!</v>
      </c>
      <c r="S61" s="63" t="str">
        <f>IFERROR(VLOOKUP(MID(N61,Q61,R61-Q61),[6]skilldef!$C:$D,2,FALSE),"-") &amp; " / " &amp; IFERROR(VLOOKUP(MID(N61,O61,P61-O61),[6]skilldef!$A:$B,2,FALSE),"-")</f>
        <v>- / -</v>
      </c>
      <c r="T61" s="48" t="str">
        <f t="shared" si="11"/>
        <v>none</v>
      </c>
      <c r="U61" s="63" t="e">
        <f t="shared" si="12"/>
        <v>#VALUE!</v>
      </c>
      <c r="V61" s="63">
        <f t="shared" si="13"/>
        <v>4</v>
      </c>
      <c r="W61" s="63" t="e">
        <f t="shared" si="14"/>
        <v>#VALUE!</v>
      </c>
      <c r="X61" s="63" t="e">
        <f t="shared" si="15"/>
        <v>#VALUE!</v>
      </c>
      <c r="Y61" s="63" t="str">
        <f>IFERROR(VLOOKUP(MID(T61,W61,X61-W61),[6]skilldef!$C:$D,2,FALSE),"-") &amp; " / " &amp; IFERROR(VLOOKUP(MID(T61,U61,V61-U61),[6]skilldef!$A:$B,2,FALSE),"-")</f>
        <v>- / -</v>
      </c>
      <c r="Z61" s="50"/>
      <c r="AA61" s="52"/>
      <c r="AB61" s="50"/>
    </row>
    <row r="62" spans="1:28" ht="21" customHeight="1">
      <c r="A62" s="22">
        <v>50002061</v>
      </c>
      <c r="B62" s="47" t="s">
        <v>308</v>
      </c>
      <c r="C62" s="50">
        <v>3</v>
      </c>
      <c r="D62" s="50" t="s">
        <v>128</v>
      </c>
      <c r="E62" s="51" t="s">
        <v>294</v>
      </c>
      <c r="F62" s="51" t="s">
        <v>361</v>
      </c>
      <c r="G62" s="63" t="str">
        <f t="shared" si="0"/>
        <v>[effect:fix_speed, target:myself, turn:1]</v>
      </c>
      <c r="H62" s="63">
        <f t="shared" si="1"/>
        <v>9</v>
      </c>
      <c r="I62" s="63">
        <f t="shared" si="2"/>
        <v>18</v>
      </c>
      <c r="J62" s="63">
        <f t="shared" si="3"/>
        <v>27</v>
      </c>
      <c r="K62" s="63">
        <f t="shared" si="4"/>
        <v>33</v>
      </c>
      <c r="L62" s="63" t="str">
        <f>IFERROR(VLOOKUP(MID(G62,J62,K62-J62),[6]skilldef!$C:$D,2,FALSE),"-") &amp; " / " &amp; IFERROR(VLOOKUP(MID(G62,H62,I62-H62),[6]skilldef!$A:$B,2,FALSE),"-")</f>
        <v>自分自身に / 行動値設定</v>
      </c>
      <c r="M62" s="63" t="str">
        <f t="shared" si="5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animation:enemy_tolerance],[effect:hungup, target:unit_blue, turn:5, rate:1, animation:hungup01]</v>
      </c>
      <c r="N62" s="48" t="str">
        <f t="shared" si="6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animation:enemy_tolerance],[effect:hungup, target:unit_blue, turn:5, rate:1, animation:hungup01]</v>
      </c>
      <c r="O62" s="63">
        <f t="shared" si="7"/>
        <v>9</v>
      </c>
      <c r="P62" s="63">
        <f t="shared" si="8"/>
        <v>18</v>
      </c>
      <c r="Q62" s="63">
        <f t="shared" si="9"/>
        <v>27</v>
      </c>
      <c r="R62" s="63">
        <f t="shared" si="10"/>
        <v>33</v>
      </c>
      <c r="S62" s="63" t="str">
        <f>IFERROR(VLOOKUP(MID(N62,Q62,R62-Q62),[6]skilldef!$C:$D,2,FALSE),"-") &amp; " / " &amp; IFERROR(VLOOKUP(MID(N62,O62,P62-O62),[6]skilldef!$A:$B,2,FALSE),"-")</f>
        <v>自分自身に / 状態異常耐性</v>
      </c>
      <c r="T62" s="48" t="str">
        <f t="shared" si="11"/>
        <v>[effect:tolerance, target:myself, turn:-1, tolerance_effect:virus, count:-1],[effect:tolerance, target:myself, turn:-1, tolerance_effect:sleep, count:-1, animation:enemy_tolerance],[effect:hungup, target:unit_blue, turn:5, rate:1, animation:hungup01]</v>
      </c>
      <c r="U62" s="63">
        <f t="shared" si="12"/>
        <v>9</v>
      </c>
      <c r="V62" s="63">
        <f t="shared" si="13"/>
        <v>18</v>
      </c>
      <c r="W62" s="63">
        <f t="shared" si="14"/>
        <v>27</v>
      </c>
      <c r="X62" s="63">
        <f t="shared" si="15"/>
        <v>33</v>
      </c>
      <c r="Y62" s="63" t="str">
        <f>IFERROR(VLOOKUP(MID(T62,W62,X62-W62),[6]skilldef!$C:$D,2,FALSE),"-") &amp; " / " &amp; IFERROR(VLOOKUP(MID(T62,U62,V62-U62),[6]skilldef!$A:$B,2,FALSE),"-")</f>
        <v>自分自身に / 状態異常耐性</v>
      </c>
      <c r="Z62" s="50"/>
      <c r="AA62" s="52"/>
      <c r="AB62" s="50"/>
    </row>
    <row r="63" spans="1:28" ht="21" customHeight="1">
      <c r="A63" s="22">
        <v>50002062</v>
      </c>
      <c r="B63" s="98" t="s">
        <v>342</v>
      </c>
      <c r="C63" s="50">
        <v>3</v>
      </c>
      <c r="D63" s="50" t="s">
        <v>128</v>
      </c>
      <c r="E63" s="51" t="s">
        <v>295</v>
      </c>
      <c r="F63" s="51" t="s">
        <v>226</v>
      </c>
      <c r="G63" s="63" t="str">
        <f t="shared" si="0"/>
        <v>[effect:spread, val:0.3]</v>
      </c>
      <c r="H63" s="63">
        <f t="shared" si="1"/>
        <v>9</v>
      </c>
      <c r="I63" s="63">
        <f t="shared" si="2"/>
        <v>15</v>
      </c>
      <c r="J63" s="63" t="e">
        <f t="shared" si="3"/>
        <v>#VALUE!</v>
      </c>
      <c r="K63" s="63" t="e">
        <f t="shared" si="4"/>
        <v>#VALUE!</v>
      </c>
      <c r="L63" s="63" t="str">
        <f>IFERROR(VLOOKUP(MID(G63,J63,K63-J63),[6]skilldef!$C:$D,2,FALSE),"-") &amp; " / " &amp; IFERROR(VLOOKUP(MID(G63,H63,I63-H63),[6]skilldef!$A:$B,2,FALSE),"-")</f>
        <v>- / 全体攻撃</v>
      </c>
      <c r="M63" s="63" t="str">
        <f t="shared" si="5"/>
        <v>none</v>
      </c>
      <c r="N63" s="48" t="str">
        <f t="shared" si="6"/>
        <v>none</v>
      </c>
      <c r="O63" s="63" t="e">
        <f t="shared" si="7"/>
        <v>#VALUE!</v>
      </c>
      <c r="P63" s="63">
        <f t="shared" si="8"/>
        <v>4</v>
      </c>
      <c r="Q63" s="63" t="e">
        <f t="shared" si="9"/>
        <v>#VALUE!</v>
      </c>
      <c r="R63" s="63" t="e">
        <f t="shared" si="10"/>
        <v>#VALUE!</v>
      </c>
      <c r="S63" s="63" t="str">
        <f>IFERROR(VLOOKUP(MID(N63,Q63,R63-Q63),[6]skilldef!$C:$D,2,FALSE),"-") &amp; " / " &amp; IFERROR(VLOOKUP(MID(N63,O63,P63-O63),[6]skilldef!$A:$B,2,FALSE),"-")</f>
        <v>- / -</v>
      </c>
      <c r="T63" s="48" t="str">
        <f t="shared" si="11"/>
        <v>none</v>
      </c>
      <c r="U63" s="63" t="e">
        <f t="shared" si="12"/>
        <v>#VALUE!</v>
      </c>
      <c r="V63" s="63">
        <f t="shared" si="13"/>
        <v>4</v>
      </c>
      <c r="W63" s="63" t="e">
        <f t="shared" si="14"/>
        <v>#VALUE!</v>
      </c>
      <c r="X63" s="63" t="e">
        <f t="shared" si="15"/>
        <v>#VALUE!</v>
      </c>
      <c r="Y63" s="63" t="str">
        <f>IFERROR(VLOOKUP(MID(T63,W63,X63-W63),[6]skilldef!$C:$D,2,FALSE),"-") &amp; " / " &amp; IFERROR(VLOOKUP(MID(T63,U63,V63-U63),[6]skilldef!$A:$B,2,FALSE),"-")</f>
        <v>- / -</v>
      </c>
      <c r="Z63" s="50"/>
      <c r="AA63" s="52"/>
      <c r="AB63" s="50"/>
    </row>
    <row r="64" spans="1:28" ht="21" customHeight="1">
      <c r="A64" s="22">
        <v>50002063</v>
      </c>
      <c r="B64" s="47" t="s">
        <v>343</v>
      </c>
      <c r="C64" s="50">
        <v>3</v>
      </c>
      <c r="D64" s="50" t="s">
        <v>128</v>
      </c>
      <c r="E64" s="51" t="s">
        <v>296</v>
      </c>
      <c r="F64" s="51" t="s">
        <v>237</v>
      </c>
      <c r="G64" s="63" t="str">
        <f t="shared" si="0"/>
        <v>[effect:damage_anti_tribe, target:unit_all, tribe:unknown, val1:0.85, val2:0.24]</v>
      </c>
      <c r="H64" s="63">
        <f t="shared" si="1"/>
        <v>9</v>
      </c>
      <c r="I64" s="63">
        <f t="shared" si="2"/>
        <v>26</v>
      </c>
      <c r="J64" s="63">
        <f t="shared" si="3"/>
        <v>35</v>
      </c>
      <c r="K64" s="63">
        <f t="shared" si="4"/>
        <v>43</v>
      </c>
      <c r="L64" s="63" t="str">
        <f>IFERROR(VLOOKUP(MID(G64,J64,K64-J64),[6]skilldef!$C:$D,2,FALSE),"-") &amp; " / " &amp; IFERROR(VLOOKUP(MID(G64,H64,I64-H64),[6]skilldef!$A:$B,2,FALSE),"-")</f>
        <v>味方全体に / 種族キラー</v>
      </c>
      <c r="M64" s="63" t="str">
        <f t="shared" si="5"/>
        <v>none</v>
      </c>
      <c r="N64" s="48" t="str">
        <f t="shared" si="6"/>
        <v>none</v>
      </c>
      <c r="O64" s="63" t="e">
        <f t="shared" si="7"/>
        <v>#VALUE!</v>
      </c>
      <c r="P64" s="63">
        <f t="shared" si="8"/>
        <v>4</v>
      </c>
      <c r="Q64" s="63" t="e">
        <f t="shared" si="9"/>
        <v>#VALUE!</v>
      </c>
      <c r="R64" s="63" t="e">
        <f t="shared" si="10"/>
        <v>#VALUE!</v>
      </c>
      <c r="S64" s="63" t="str">
        <f>IFERROR(VLOOKUP(MID(N64,Q64,R64-Q64),[6]skilldef!$C:$D,2,FALSE),"-") &amp; " / " &amp; IFERROR(VLOOKUP(MID(N64,O64,P64-O64),[6]skilldef!$A:$B,2,FALSE),"-")</f>
        <v>- / -</v>
      </c>
      <c r="T64" s="48" t="str">
        <f t="shared" si="11"/>
        <v>none</v>
      </c>
      <c r="U64" s="63" t="e">
        <f t="shared" si="12"/>
        <v>#VALUE!</v>
      </c>
      <c r="V64" s="63">
        <f t="shared" si="13"/>
        <v>4</v>
      </c>
      <c r="W64" s="63" t="e">
        <f t="shared" si="14"/>
        <v>#VALUE!</v>
      </c>
      <c r="X64" s="63" t="e">
        <f t="shared" si="15"/>
        <v>#VALUE!</v>
      </c>
      <c r="Y64" s="63" t="str">
        <f>IFERROR(VLOOKUP(MID(T64,W64,X64-W64),[6]skilldef!$C:$D,2,FALSE),"-") &amp; " / " &amp; IFERROR(VLOOKUP(MID(T64,U64,V64-U64),[6]skilldef!$A:$B,2,FALSE),"-")</f>
        <v>- / -</v>
      </c>
      <c r="Z64" s="50"/>
      <c r="AA64" s="52"/>
      <c r="AB64" s="50"/>
    </row>
    <row r="65" spans="1:28" ht="21" customHeight="1">
      <c r="A65" s="22">
        <v>50002064</v>
      </c>
      <c r="B65" s="47" t="s">
        <v>227</v>
      </c>
      <c r="C65" s="50">
        <v>3</v>
      </c>
      <c r="D65" s="50" t="s">
        <v>128</v>
      </c>
      <c r="E65" s="51" t="s">
        <v>303</v>
      </c>
      <c r="F65" s="51" t="s">
        <v>337</v>
      </c>
      <c r="G65" s="63" t="str">
        <f t="shared" si="0"/>
        <v>[effect:nothing]</v>
      </c>
      <c r="H65" s="63">
        <f t="shared" si="1"/>
        <v>9</v>
      </c>
      <c r="I65" s="63">
        <f t="shared" si="2"/>
        <v>16</v>
      </c>
      <c r="J65" s="63" t="e">
        <f t="shared" si="3"/>
        <v>#VALUE!</v>
      </c>
      <c r="K65" s="63" t="e">
        <f t="shared" si="4"/>
        <v>#VALUE!</v>
      </c>
      <c r="L65" s="63" t="str">
        <f>IFERROR(VLOOKUP(MID(G65,J65,K65-J65),[6]skilldef!$C:$D,2,FALSE),"-") &amp; " / " &amp; IFERROR(VLOOKUP(MID(G65,H65,I65-H65),[6]skilldef!$A:$B,2,FALSE),"-")</f>
        <v>- / 何もしない</v>
      </c>
      <c r="M65" s="63" t="str">
        <f t="shared" si="5"/>
        <v>none</v>
      </c>
      <c r="N65" s="48" t="str">
        <f t="shared" si="6"/>
        <v>none</v>
      </c>
      <c r="O65" s="63" t="e">
        <f t="shared" si="7"/>
        <v>#VALUE!</v>
      </c>
      <c r="P65" s="63">
        <f t="shared" si="8"/>
        <v>4</v>
      </c>
      <c r="Q65" s="63" t="e">
        <f t="shared" si="9"/>
        <v>#VALUE!</v>
      </c>
      <c r="R65" s="63" t="e">
        <f t="shared" si="10"/>
        <v>#VALUE!</v>
      </c>
      <c r="S65" s="63" t="str">
        <f>IFERROR(VLOOKUP(MID(N65,Q65,R65-Q65),[6]skilldef!$C:$D,2,FALSE),"-") &amp; " / " &amp; IFERROR(VLOOKUP(MID(N65,O65,P65-O65),[6]skilldef!$A:$B,2,FALSE),"-")</f>
        <v>- / -</v>
      </c>
      <c r="T65" s="48" t="str">
        <f t="shared" si="11"/>
        <v>none</v>
      </c>
      <c r="U65" s="63" t="e">
        <f t="shared" si="12"/>
        <v>#VALUE!</v>
      </c>
      <c r="V65" s="63">
        <f t="shared" si="13"/>
        <v>4</v>
      </c>
      <c r="W65" s="63" t="e">
        <f t="shared" si="14"/>
        <v>#VALUE!</v>
      </c>
      <c r="X65" s="63" t="e">
        <f t="shared" si="15"/>
        <v>#VALUE!</v>
      </c>
      <c r="Y65" s="63" t="str">
        <f>IFERROR(VLOOKUP(MID(T65,W65,X65-W65),[6]skilldef!$C:$D,2,FALSE),"-") &amp; " / " &amp; IFERROR(VLOOKUP(MID(T65,U65,V65-U65),[6]skilldef!$A:$B,2,FALSE),"-")</f>
        <v>- / -</v>
      </c>
      <c r="Z65" s="50"/>
      <c r="AA65" s="52"/>
      <c r="AB65" s="50"/>
    </row>
    <row r="66" spans="1:28" ht="21" customHeight="1">
      <c r="A66" s="22">
        <v>50002065</v>
      </c>
      <c r="B66" s="47" t="s">
        <v>354</v>
      </c>
      <c r="C66" s="50">
        <v>3</v>
      </c>
      <c r="D66" s="50" t="s">
        <v>128</v>
      </c>
      <c r="E66" s="51" t="s">
        <v>305</v>
      </c>
      <c r="F66" s="51" t="s">
        <v>335</v>
      </c>
      <c r="G66" s="63" t="str">
        <f t="shared" si="0"/>
        <v>[effect:remove_enhancement, target:unit_all, target_effect:enhance, target_type:buff, status:defense, animation:frozen_wave]</v>
      </c>
      <c r="H66" s="63">
        <f t="shared" si="1"/>
        <v>9</v>
      </c>
      <c r="I66" s="63">
        <f t="shared" si="2"/>
        <v>27</v>
      </c>
      <c r="J66" s="63">
        <f t="shared" si="3"/>
        <v>36</v>
      </c>
      <c r="K66" s="63">
        <f t="shared" si="4"/>
        <v>44</v>
      </c>
      <c r="L66" s="63" t="str">
        <f>IFERROR(VLOOKUP(MID(G66,J66,K66-J66),[6]skilldef!$C:$D,2,FALSE),"-") &amp; " / " &amp; IFERROR(VLOOKUP(MID(G66,H66,I66-H66),[6]skilldef!$A:$B,2,FALSE),"-")</f>
        <v>味方全体に / -</v>
      </c>
      <c r="M66" s="63" t="str">
        <f t="shared" si="5"/>
        <v>[effect:remove_enhancement, target:unit_all, target_effect:reduction, target_type:buff],[effect:critical, val:2.3]</v>
      </c>
      <c r="N66" s="48" t="str">
        <f t="shared" si="6"/>
        <v>[effect:remove_enhancement, target:unit_all, target_effect:reduction, target_type:buff],[effect:critical, val:2.3]</v>
      </c>
      <c r="O66" s="63">
        <f t="shared" si="7"/>
        <v>9</v>
      </c>
      <c r="P66" s="63">
        <f t="shared" si="8"/>
        <v>27</v>
      </c>
      <c r="Q66" s="63">
        <f t="shared" si="9"/>
        <v>36</v>
      </c>
      <c r="R66" s="63">
        <f t="shared" si="10"/>
        <v>44</v>
      </c>
      <c r="S66" s="63" t="str">
        <f>IFERROR(VLOOKUP(MID(N66,Q66,R66-Q66),[6]skilldef!$C:$D,2,FALSE),"-") &amp; " / " &amp; IFERROR(VLOOKUP(MID(N66,O66,P66-O66),[6]skilldef!$A:$B,2,FALSE),"-")</f>
        <v>味方全体に / -</v>
      </c>
      <c r="T66" s="48" t="str">
        <f t="shared" si="11"/>
        <v>[effect:critical, val:2.3]</v>
      </c>
      <c r="U66" s="63">
        <f t="shared" si="12"/>
        <v>9</v>
      </c>
      <c r="V66" s="63">
        <f t="shared" si="13"/>
        <v>17</v>
      </c>
      <c r="W66" s="63" t="e">
        <f t="shared" si="14"/>
        <v>#VALUE!</v>
      </c>
      <c r="X66" s="63" t="e">
        <f t="shared" si="15"/>
        <v>#VALUE!</v>
      </c>
      <c r="Y66" s="63" t="str">
        <f>IFERROR(VLOOKUP(MID(T66,W66,X66-W66),[6]skilldef!$C:$D,2,FALSE),"-") &amp; " / " &amp; IFERROR(VLOOKUP(MID(T66,U66,V66-U66),[6]skilldef!$A:$B,2,FALSE),"-")</f>
        <v>- / 大攻撃</v>
      </c>
      <c r="Z66" s="50"/>
      <c r="AA66" s="52"/>
      <c r="AB66" s="50"/>
    </row>
    <row r="67" spans="1:28" ht="21" customHeight="1">
      <c r="A67" s="22">
        <v>50002066</v>
      </c>
      <c r="B67" s="47" t="s">
        <v>265</v>
      </c>
      <c r="C67" s="50">
        <v>3</v>
      </c>
      <c r="D67" s="50" t="s">
        <v>128</v>
      </c>
      <c r="E67" s="51" t="s">
        <v>323</v>
      </c>
      <c r="F67" s="51" t="s">
        <v>359</v>
      </c>
      <c r="G67" s="63" t="str">
        <f t="shared" ref="G67:G81" si="16">IFERROR(LEFT(B67,FIND("],",B67)),B67)</f>
        <v>[effect:change_panel_ratio, turn:-1, block_type:heal, val:0, animation:block_incidence04]</v>
      </c>
      <c r="H67" s="63">
        <f t="shared" ref="H67:H81" si="17">FIND("effect:",G67)+7</f>
        <v>9</v>
      </c>
      <c r="I67" s="63">
        <f t="shared" ref="I67:I81" si="18">IFERROR(FIND(",",G67),LEN(G67))</f>
        <v>27</v>
      </c>
      <c r="J67" s="63" t="e">
        <f t="shared" ref="J67:J81" si="19">FIND("target:",G67)+7</f>
        <v>#VALUE!</v>
      </c>
      <c r="K67" s="63">
        <f t="shared" ref="K67:K81" si="20">FIND(",",G67,I67+1)</f>
        <v>36</v>
      </c>
      <c r="L67" s="63" t="str">
        <f>IFERROR(VLOOKUP(MID(G67,J67,K67-J67),[6]skilldef!$C:$D,2,FALSE),"-") &amp; " / " &amp; IFERROR(VLOOKUP(MID(G67,H67,I67-H67),[6]skilldef!$A:$B,2,FALSE),"-")</f>
        <v>- / -</v>
      </c>
      <c r="M67" s="63" t="str">
        <f t="shared" ref="M67:M81" si="21">IFERROR(RIGHT(B67,LEN(B67)-FIND("],",B67)-1),"none")</f>
        <v>[effect:remove_enhancement, target:unit_all, target_effect:enhance, target_type:buff, animation:frozen_wave]</v>
      </c>
      <c r="N67" s="48" t="str">
        <f t="shared" ref="N67:N71" si="22">IFERROR(LEFT(M67,FIND("],",M67)+S77),M67)</f>
        <v>[effect:remove_enhancement, target:unit_all, target_effect:enhance, target_type:buff, animation:frozen_wave]</v>
      </c>
      <c r="O67" s="63">
        <f t="shared" ref="O67:O81" si="23">FIND("effect:",N67)+7</f>
        <v>9</v>
      </c>
      <c r="P67" s="63">
        <f t="shared" ref="P67:P81" si="24">IFERROR(FIND(",",N67),LEN(N67))</f>
        <v>27</v>
      </c>
      <c r="Q67" s="63">
        <f t="shared" ref="Q67:Q81" si="25">FIND("target:",N67)+7</f>
        <v>36</v>
      </c>
      <c r="R67" s="63">
        <f t="shared" ref="R67:R81" si="26">FIND(",",N67,P67+1)</f>
        <v>44</v>
      </c>
      <c r="S67" s="63" t="str">
        <f>IFERROR(VLOOKUP(MID(N67,Q67,R67-Q67),[6]skilldef!$C:$D,2,FALSE),"-") &amp; " / " &amp; IFERROR(VLOOKUP(MID(N67,O67,P67-O67),[6]skilldef!$A:$B,2,FALSE),"-")</f>
        <v>味方全体に / -</v>
      </c>
      <c r="T67" s="48" t="str">
        <f t="shared" ref="T67:T81" si="27">IFERROR(RIGHT(M67,LEN(M67)-FIND("],",M67)-1),"none")</f>
        <v>none</v>
      </c>
      <c r="U67" s="63" t="e">
        <f t="shared" ref="U67:U81" si="28">FIND("effect:",T67)+7</f>
        <v>#VALUE!</v>
      </c>
      <c r="V67" s="63">
        <f t="shared" ref="V67:V81" si="29">IFERROR(FIND(",",T67),LEN(T67))</f>
        <v>4</v>
      </c>
      <c r="W67" s="63" t="e">
        <f t="shared" ref="W67:W81" si="30">FIND("target:",T67)+7</f>
        <v>#VALUE!</v>
      </c>
      <c r="X67" s="63" t="e">
        <f t="shared" ref="X67:X81" si="31">FIND(",",T67,V67+1)</f>
        <v>#VALUE!</v>
      </c>
      <c r="Y67" s="63" t="str">
        <f>IFERROR(VLOOKUP(MID(T67,W67,X67-W67),[6]skilldef!$C:$D,2,FALSE),"-") &amp; " / " &amp; IFERROR(VLOOKUP(MID(T67,U67,V67-U67),[6]skilldef!$A:$B,2,FALSE),"-")</f>
        <v>- / -</v>
      </c>
      <c r="Z67" s="50"/>
      <c r="AA67" s="52"/>
      <c r="AB67" s="50"/>
    </row>
    <row r="68" spans="1:28" ht="21" customHeight="1">
      <c r="A68" s="22">
        <v>50002067</v>
      </c>
      <c r="B68" s="47" t="s">
        <v>227</v>
      </c>
      <c r="C68" s="50">
        <v>3</v>
      </c>
      <c r="D68" s="50" t="s">
        <v>128</v>
      </c>
      <c r="E68" s="51" t="s">
        <v>222</v>
      </c>
      <c r="F68" s="51" t="s">
        <v>213</v>
      </c>
      <c r="G68" s="63" t="str">
        <f t="shared" si="16"/>
        <v>[effect:nothing]</v>
      </c>
      <c r="H68" s="63">
        <f t="shared" si="17"/>
        <v>9</v>
      </c>
      <c r="I68" s="63">
        <f t="shared" si="18"/>
        <v>16</v>
      </c>
      <c r="J68" s="63" t="e">
        <f t="shared" si="19"/>
        <v>#VALUE!</v>
      </c>
      <c r="K68" s="63" t="e">
        <f t="shared" si="20"/>
        <v>#VALUE!</v>
      </c>
      <c r="L68" s="63" t="str">
        <f>IFERROR(VLOOKUP(MID(G68,J68,K68-J68),[6]skilldef!$C:$D,2,FALSE),"-") &amp; " / " &amp; IFERROR(VLOOKUP(MID(G68,H68,I68-H68),[6]skilldef!$A:$B,2,FALSE),"-")</f>
        <v>- / 何もしない</v>
      </c>
      <c r="M68" s="63" t="str">
        <f t="shared" si="21"/>
        <v>none</v>
      </c>
      <c r="N68" s="48" t="str">
        <f t="shared" si="22"/>
        <v>none</v>
      </c>
      <c r="O68" s="63" t="e">
        <f t="shared" si="23"/>
        <v>#VALUE!</v>
      </c>
      <c r="P68" s="63">
        <f t="shared" si="24"/>
        <v>4</v>
      </c>
      <c r="Q68" s="63" t="e">
        <f t="shared" si="25"/>
        <v>#VALUE!</v>
      </c>
      <c r="R68" s="63" t="e">
        <f t="shared" si="26"/>
        <v>#VALUE!</v>
      </c>
      <c r="S68" s="63" t="str">
        <f>IFERROR(VLOOKUP(MID(N68,Q68,R68-Q68),[6]skilldef!$C:$D,2,FALSE),"-") &amp; " / " &amp; IFERROR(VLOOKUP(MID(N68,O68,P68-O68),[6]skilldef!$A:$B,2,FALSE),"-")</f>
        <v>- / -</v>
      </c>
      <c r="T68" s="48" t="str">
        <f t="shared" si="27"/>
        <v>none</v>
      </c>
      <c r="U68" s="63" t="e">
        <f t="shared" si="28"/>
        <v>#VALUE!</v>
      </c>
      <c r="V68" s="63">
        <f t="shared" si="29"/>
        <v>4</v>
      </c>
      <c r="W68" s="63" t="e">
        <f t="shared" si="30"/>
        <v>#VALUE!</v>
      </c>
      <c r="X68" s="63" t="e">
        <f t="shared" si="31"/>
        <v>#VALUE!</v>
      </c>
      <c r="Y68" s="63" t="str">
        <f>IFERROR(VLOOKUP(MID(T68,W68,X68-W68),[6]skilldef!$C:$D,2,FALSE),"-") &amp; " / " &amp; IFERROR(VLOOKUP(MID(T68,U68,V68-U68),[6]skilldef!$A:$B,2,FALSE),"-")</f>
        <v>- / -</v>
      </c>
      <c r="Z68" s="50"/>
      <c r="AA68" s="52"/>
      <c r="AB68" s="50"/>
    </row>
    <row r="69" spans="1:28" ht="21" customHeight="1">
      <c r="A69" s="22">
        <v>50002068</v>
      </c>
      <c r="B69" s="47" t="s">
        <v>231</v>
      </c>
      <c r="C69" s="50">
        <v>3</v>
      </c>
      <c r="D69" s="50" t="s">
        <v>128</v>
      </c>
      <c r="E69" s="51" t="s">
        <v>222</v>
      </c>
      <c r="F69" s="51" t="s">
        <v>213</v>
      </c>
      <c r="G69" s="63" t="str">
        <f t="shared" si="16"/>
        <v>[effect:nothing]</v>
      </c>
      <c r="H69" s="63">
        <f t="shared" si="17"/>
        <v>9</v>
      </c>
      <c r="I69" s="63">
        <f t="shared" si="18"/>
        <v>16</v>
      </c>
      <c r="J69" s="63" t="e">
        <f t="shared" si="19"/>
        <v>#VALUE!</v>
      </c>
      <c r="K69" s="63" t="e">
        <f t="shared" si="20"/>
        <v>#VALUE!</v>
      </c>
      <c r="L69" s="63" t="str">
        <f>IFERROR(VLOOKUP(MID(G69,J69,K69-J69),[6]skilldef!$C:$D,2,FALSE),"-") &amp; " / " &amp; IFERROR(VLOOKUP(MID(G69,H69,I69-H69),[6]skilldef!$A:$B,2,FALSE),"-")</f>
        <v>- / 何もしない</v>
      </c>
      <c r="M69" s="63" t="str">
        <f t="shared" si="21"/>
        <v>none</v>
      </c>
      <c r="N69" s="48" t="str">
        <f t="shared" si="22"/>
        <v>none</v>
      </c>
      <c r="O69" s="63" t="e">
        <f t="shared" si="23"/>
        <v>#VALUE!</v>
      </c>
      <c r="P69" s="63">
        <f t="shared" si="24"/>
        <v>4</v>
      </c>
      <c r="Q69" s="63" t="e">
        <f t="shared" si="25"/>
        <v>#VALUE!</v>
      </c>
      <c r="R69" s="63" t="e">
        <f t="shared" si="26"/>
        <v>#VALUE!</v>
      </c>
      <c r="S69" s="63" t="str">
        <f>IFERROR(VLOOKUP(MID(N69,Q69,R69-Q69),[6]skilldef!$C:$D,2,FALSE),"-") &amp; " / " &amp; IFERROR(VLOOKUP(MID(N69,O69,P69-O69),[6]skilldef!$A:$B,2,FALSE),"-")</f>
        <v>- / -</v>
      </c>
      <c r="T69" s="48" t="str">
        <f t="shared" si="27"/>
        <v>none</v>
      </c>
      <c r="U69" s="63" t="e">
        <f t="shared" si="28"/>
        <v>#VALUE!</v>
      </c>
      <c r="V69" s="63">
        <f t="shared" si="29"/>
        <v>4</v>
      </c>
      <c r="W69" s="63" t="e">
        <f t="shared" si="30"/>
        <v>#VALUE!</v>
      </c>
      <c r="X69" s="63" t="e">
        <f t="shared" si="31"/>
        <v>#VALUE!</v>
      </c>
      <c r="Y69" s="63" t="str">
        <f>IFERROR(VLOOKUP(MID(T69,W69,X69-W69),[6]skilldef!$C:$D,2,FALSE),"-") &amp; " / " &amp; IFERROR(VLOOKUP(MID(T69,U69,V69-U69),[6]skilldef!$A:$B,2,FALSE),"-")</f>
        <v>- / -</v>
      </c>
      <c r="Z69" s="50"/>
      <c r="AA69" s="52"/>
      <c r="AB69" s="50"/>
    </row>
    <row r="70" spans="1:28" ht="21" customHeight="1">
      <c r="A70" s="22">
        <v>50002069</v>
      </c>
      <c r="B70" s="47" t="s">
        <v>227</v>
      </c>
      <c r="C70" s="50">
        <v>3</v>
      </c>
      <c r="D70" s="50" t="s">
        <v>128</v>
      </c>
      <c r="E70" s="51" t="s">
        <v>222</v>
      </c>
      <c r="F70" s="51" t="s">
        <v>213</v>
      </c>
      <c r="G70" s="63" t="str">
        <f t="shared" si="16"/>
        <v>[effect:nothing]</v>
      </c>
      <c r="H70" s="63">
        <f t="shared" si="17"/>
        <v>9</v>
      </c>
      <c r="I70" s="63">
        <f t="shared" si="18"/>
        <v>16</v>
      </c>
      <c r="J70" s="63" t="e">
        <f t="shared" si="19"/>
        <v>#VALUE!</v>
      </c>
      <c r="K70" s="63" t="e">
        <f t="shared" si="20"/>
        <v>#VALUE!</v>
      </c>
      <c r="L70" s="63" t="str">
        <f>IFERROR(VLOOKUP(MID(G70,J70,K70-J70),[6]skilldef!$C:$D,2,FALSE),"-") &amp; " / " &amp; IFERROR(VLOOKUP(MID(G70,H70,I70-H70),[6]skilldef!$A:$B,2,FALSE),"-")</f>
        <v>- / 何もしない</v>
      </c>
      <c r="M70" s="63" t="str">
        <f t="shared" si="21"/>
        <v>none</v>
      </c>
      <c r="N70" s="48" t="str">
        <f t="shared" si="22"/>
        <v>none</v>
      </c>
      <c r="O70" s="63" t="e">
        <f t="shared" si="23"/>
        <v>#VALUE!</v>
      </c>
      <c r="P70" s="63">
        <f t="shared" si="24"/>
        <v>4</v>
      </c>
      <c r="Q70" s="63" t="e">
        <f t="shared" si="25"/>
        <v>#VALUE!</v>
      </c>
      <c r="R70" s="63" t="e">
        <f t="shared" si="26"/>
        <v>#VALUE!</v>
      </c>
      <c r="S70" s="63" t="str">
        <f>IFERROR(VLOOKUP(MID(N70,Q70,R70-Q70),[6]skilldef!$C:$D,2,FALSE),"-") &amp; " / " &amp; IFERROR(VLOOKUP(MID(N70,O70,P70-O70),[6]skilldef!$A:$B,2,FALSE),"-")</f>
        <v>- / -</v>
      </c>
      <c r="T70" s="48" t="str">
        <f t="shared" si="27"/>
        <v>none</v>
      </c>
      <c r="U70" s="63" t="e">
        <f t="shared" si="28"/>
        <v>#VALUE!</v>
      </c>
      <c r="V70" s="63">
        <f t="shared" si="29"/>
        <v>4</v>
      </c>
      <c r="W70" s="63" t="e">
        <f t="shared" si="30"/>
        <v>#VALUE!</v>
      </c>
      <c r="X70" s="63" t="e">
        <f t="shared" si="31"/>
        <v>#VALUE!</v>
      </c>
      <c r="Y70" s="63" t="str">
        <f>IFERROR(VLOOKUP(MID(T70,W70,X70-W70),[6]skilldef!$C:$D,2,FALSE),"-") &amp; " / " &amp; IFERROR(VLOOKUP(MID(T70,U70,V70-U70),[6]skilldef!$A:$B,2,FALSE),"-")</f>
        <v>- / -</v>
      </c>
      <c r="Z70" s="50"/>
      <c r="AA70" s="52"/>
      <c r="AB70" s="50"/>
    </row>
    <row r="71" spans="1:28" ht="21" customHeight="1">
      <c r="A71" s="22">
        <v>50002070</v>
      </c>
      <c r="B71" s="47" t="s">
        <v>227</v>
      </c>
      <c r="C71" s="50">
        <v>3</v>
      </c>
      <c r="D71" s="50" t="s">
        <v>128</v>
      </c>
      <c r="E71" s="51" t="s">
        <v>222</v>
      </c>
      <c r="F71" s="51" t="s">
        <v>213</v>
      </c>
      <c r="G71" s="63" t="str">
        <f t="shared" si="16"/>
        <v>[effect:nothing]</v>
      </c>
      <c r="H71" s="63">
        <f t="shared" si="17"/>
        <v>9</v>
      </c>
      <c r="I71" s="63">
        <f t="shared" si="18"/>
        <v>16</v>
      </c>
      <c r="J71" s="63" t="e">
        <f t="shared" si="19"/>
        <v>#VALUE!</v>
      </c>
      <c r="K71" s="63" t="e">
        <f t="shared" si="20"/>
        <v>#VALUE!</v>
      </c>
      <c r="L71" s="63" t="str">
        <f>IFERROR(VLOOKUP(MID(G71,J71,K71-J71),[6]skilldef!$C:$D,2,FALSE),"-") &amp; " / " &amp; IFERROR(VLOOKUP(MID(G71,H71,I71-H71),[6]skilldef!$A:$B,2,FALSE),"-")</f>
        <v>- / 何もしない</v>
      </c>
      <c r="M71" s="63" t="str">
        <f t="shared" si="21"/>
        <v>none</v>
      </c>
      <c r="N71" s="48" t="str">
        <f t="shared" si="22"/>
        <v>none</v>
      </c>
      <c r="O71" s="63" t="e">
        <f t="shared" si="23"/>
        <v>#VALUE!</v>
      </c>
      <c r="P71" s="63">
        <f t="shared" si="24"/>
        <v>4</v>
      </c>
      <c r="Q71" s="63" t="e">
        <f t="shared" si="25"/>
        <v>#VALUE!</v>
      </c>
      <c r="R71" s="63" t="e">
        <f t="shared" si="26"/>
        <v>#VALUE!</v>
      </c>
      <c r="S71" s="63" t="str">
        <f>IFERROR(VLOOKUP(MID(N71,Q71,R71-Q71),[6]skilldef!$C:$D,2,FALSE),"-") &amp; " / " &amp; IFERROR(VLOOKUP(MID(N71,O71,P71-O71),[6]skilldef!$A:$B,2,FALSE),"-")</f>
        <v>- / -</v>
      </c>
      <c r="T71" s="48" t="str">
        <f t="shared" si="27"/>
        <v>none</v>
      </c>
      <c r="U71" s="63" t="e">
        <f t="shared" si="28"/>
        <v>#VALUE!</v>
      </c>
      <c r="V71" s="63">
        <f t="shared" si="29"/>
        <v>4</v>
      </c>
      <c r="W71" s="63" t="e">
        <f t="shared" si="30"/>
        <v>#VALUE!</v>
      </c>
      <c r="X71" s="63" t="e">
        <f t="shared" si="31"/>
        <v>#VALUE!</v>
      </c>
      <c r="Y71" s="63" t="str">
        <f>IFERROR(VLOOKUP(MID(T71,W71,X71-W71),[6]skilldef!$C:$D,2,FALSE),"-") &amp; " / " &amp; IFERROR(VLOOKUP(MID(T71,U71,V71-U71),[6]skilldef!$A:$B,2,FALSE),"-")</f>
        <v>- / -</v>
      </c>
      <c r="Z71" s="50"/>
      <c r="AA71" s="52"/>
      <c r="AB71" s="50"/>
    </row>
    <row r="72" spans="1:28" ht="21" customHeight="1">
      <c r="A72" s="22">
        <v>50002071</v>
      </c>
      <c r="B72" s="47" t="s">
        <v>344</v>
      </c>
      <c r="C72" s="50">
        <v>3</v>
      </c>
      <c r="D72" s="50" t="s">
        <v>128</v>
      </c>
      <c r="E72" s="51" t="s">
        <v>356</v>
      </c>
      <c r="F72" s="51" t="s">
        <v>360</v>
      </c>
      <c r="G72" s="63" t="str">
        <f t="shared" si="16"/>
        <v>[effect:tolerance, target:myself, turn:-1, tolerance_effect:hungup, count:-1]</v>
      </c>
      <c r="H72" s="63">
        <f t="shared" si="17"/>
        <v>9</v>
      </c>
      <c r="I72" s="63">
        <f t="shared" si="18"/>
        <v>18</v>
      </c>
      <c r="J72" s="63">
        <f t="shared" si="19"/>
        <v>27</v>
      </c>
      <c r="K72" s="63">
        <f t="shared" si="20"/>
        <v>33</v>
      </c>
      <c r="L72" s="63" t="str">
        <f>IFERROR(VLOOKUP(MID(G72,J72,K72-J72),[6]skilldef!$C:$D,2,FALSE),"-") &amp; " / " &amp; IFERROR(VLOOKUP(MID(G72,H72,I72-H72),[6]skilldef!$A:$B,2,FALSE),"-")</f>
        <v>自分自身に / 状態異常耐性</v>
      </c>
      <c r="M72" s="63" t="str">
        <f t="shared" si="21"/>
        <v xml:space="preserve">[effect:tolerance, target:myself, turn:-1, tolerance_effect:virus, count:-1],[effect:tolerance, target:myself, turn:-1, tolerance_effect:sleep, count:-1, animation:enemy_tolerance],[effect:change_panel_ratio, turn:-1, block_type:heal, val:0],[effect:break_enchance_enemy, val:0.001, lowest_val:0, count :-1, status:attack, turn:-1, block:block_heart, target:myself, calc:mul, animation:enemy_enhance_attack]    </v>
      </c>
      <c r="N72" s="48" t="str">
        <f>IFERROR(LEFT(M72,FIND("],",M72)+#REF!),M72)</f>
        <v xml:space="preserve">[effect:tolerance, target:myself, turn:-1, tolerance_effect:virus, count:-1],[effect:tolerance, target:myself, turn:-1, tolerance_effect:sleep, count:-1, animation:enemy_tolerance],[effect:change_panel_ratio, turn:-1, block_type:heal, val:0],[effect:break_enchance_enemy, val:0.001, lowest_val:0, count :-1, status:attack, turn:-1, block:block_heart, target:myself, calc:mul, animation:enemy_enhance_attack]    </v>
      </c>
      <c r="O72" s="63">
        <f t="shared" si="23"/>
        <v>9</v>
      </c>
      <c r="P72" s="63">
        <f t="shared" si="24"/>
        <v>18</v>
      </c>
      <c r="Q72" s="63">
        <f t="shared" si="25"/>
        <v>27</v>
      </c>
      <c r="R72" s="63">
        <f t="shared" si="26"/>
        <v>33</v>
      </c>
      <c r="S72" s="63" t="str">
        <f>IFERROR(VLOOKUP(MID(N72,Q72,R72-Q72),[6]skilldef!$C:$D,2,FALSE),"-") &amp; " / " &amp; IFERROR(VLOOKUP(MID(N72,O72,P72-O72),[6]skilldef!$A:$B,2,FALSE),"-")</f>
        <v>自分自身に / 状態異常耐性</v>
      </c>
      <c r="T72" s="48" t="str">
        <f t="shared" si="27"/>
        <v xml:space="preserve">[effect:tolerance, target:myself, turn:-1, tolerance_effect:sleep, count:-1, animation:enemy_tolerance],[effect:change_panel_ratio, turn:-1, block_type:heal, val:0],[effect:break_enchance_enemy, val:0.001, lowest_val:0, count :-1, status:attack, turn:-1, block:block_heart, target:myself, calc:mul, animation:enemy_enhance_attack]    </v>
      </c>
      <c r="U72" s="63">
        <f t="shared" si="28"/>
        <v>9</v>
      </c>
      <c r="V72" s="63">
        <f t="shared" si="29"/>
        <v>18</v>
      </c>
      <c r="W72" s="63">
        <f t="shared" si="30"/>
        <v>27</v>
      </c>
      <c r="X72" s="63">
        <f t="shared" si="31"/>
        <v>33</v>
      </c>
      <c r="Y72" s="63" t="str">
        <f>IFERROR(VLOOKUP(MID(T72,W72,X72-W72),[6]skilldef!$C:$D,2,FALSE),"-") &amp; " / " &amp; IFERROR(VLOOKUP(MID(T72,U72,V72-U72),[6]skilldef!$A:$B,2,FALSE),"-")</f>
        <v>自分自身に / 状態異常耐性</v>
      </c>
      <c r="Z72" s="50"/>
      <c r="AA72" s="52"/>
      <c r="AB72" s="50"/>
    </row>
    <row r="73" spans="1:28" ht="21" customHeight="1">
      <c r="A73" s="22">
        <v>50002072</v>
      </c>
      <c r="B73" s="47" t="s">
        <v>345</v>
      </c>
      <c r="C73" s="50">
        <v>3</v>
      </c>
      <c r="D73" s="50" t="s">
        <v>128</v>
      </c>
      <c r="E73" s="51" t="s">
        <v>297</v>
      </c>
      <c r="F73" s="51" t="s">
        <v>238</v>
      </c>
      <c r="G73" s="63" t="str">
        <f t="shared" si="16"/>
        <v>[effect:degrade_fever, val:1000, animation:fevergauge_down]</v>
      </c>
      <c r="H73" s="63">
        <f t="shared" si="17"/>
        <v>9</v>
      </c>
      <c r="I73" s="63">
        <f t="shared" si="18"/>
        <v>22</v>
      </c>
      <c r="J73" s="63" t="e">
        <f t="shared" si="19"/>
        <v>#VALUE!</v>
      </c>
      <c r="K73" s="63">
        <f t="shared" si="20"/>
        <v>32</v>
      </c>
      <c r="L73" s="63" t="str">
        <f>IFERROR(VLOOKUP(MID(G73,J73,K73-J73),[6]skilldef!$C:$D,2,FALSE),"-") &amp; " / " &amp; IFERROR(VLOOKUP(MID(G73,H73,I73-H73),[6]skilldef!$A:$B,2,FALSE),"-")</f>
        <v>- / フィーバーゲージ減少</v>
      </c>
      <c r="M73" s="63" t="str">
        <f t="shared" si="21"/>
        <v>[effect:spread, val:0.23]</v>
      </c>
      <c r="N73" s="48" t="str">
        <f>IFERROR(LEFT(M73,FIND("],",M73)+#REF!),M73)</f>
        <v>[effect:spread, val:0.23]</v>
      </c>
      <c r="O73" s="63">
        <f t="shared" si="23"/>
        <v>9</v>
      </c>
      <c r="P73" s="63">
        <f t="shared" si="24"/>
        <v>15</v>
      </c>
      <c r="Q73" s="63" t="e">
        <f t="shared" si="25"/>
        <v>#VALUE!</v>
      </c>
      <c r="R73" s="63" t="e">
        <f t="shared" si="26"/>
        <v>#VALUE!</v>
      </c>
      <c r="S73" s="63" t="str">
        <f>IFERROR(VLOOKUP(MID(N73,Q73,R73-Q73),[6]skilldef!$C:$D,2,FALSE),"-") &amp; " / " &amp; IFERROR(VLOOKUP(MID(N73,O73,P73-O73),[6]skilldef!$A:$B,2,FALSE),"-")</f>
        <v>- / 全体攻撃</v>
      </c>
      <c r="T73" s="48" t="str">
        <f t="shared" si="27"/>
        <v>none</v>
      </c>
      <c r="U73" s="63" t="e">
        <f t="shared" si="28"/>
        <v>#VALUE!</v>
      </c>
      <c r="V73" s="63">
        <f t="shared" si="29"/>
        <v>4</v>
      </c>
      <c r="W73" s="63" t="e">
        <f t="shared" si="30"/>
        <v>#VALUE!</v>
      </c>
      <c r="X73" s="63" t="e">
        <f t="shared" si="31"/>
        <v>#VALUE!</v>
      </c>
      <c r="Y73" s="63" t="str">
        <f>IFERROR(VLOOKUP(MID(T73,W73,X73-W73),[6]skilldef!$C:$D,2,FALSE),"-") &amp; " / " &amp; IFERROR(VLOOKUP(MID(T73,U73,V73-U73),[6]skilldef!$A:$B,2,FALSE),"-")</f>
        <v>- / -</v>
      </c>
      <c r="Z73" s="50"/>
      <c r="AA73" s="52"/>
      <c r="AB73" s="50"/>
    </row>
    <row r="74" spans="1:28" ht="21" customHeight="1">
      <c r="A74" s="22">
        <v>50002073</v>
      </c>
      <c r="B74" s="47" t="s">
        <v>346</v>
      </c>
      <c r="C74" s="50">
        <v>3</v>
      </c>
      <c r="D74" s="50" t="s">
        <v>128</v>
      </c>
      <c r="E74" s="51" t="s">
        <v>298</v>
      </c>
      <c r="F74" s="51" t="s">
        <v>224</v>
      </c>
      <c r="G74" s="63" t="str">
        <f t="shared" si="16"/>
        <v>[effect:rush, count:6, val:0.16]</v>
      </c>
      <c r="H74" s="63">
        <f t="shared" si="17"/>
        <v>9</v>
      </c>
      <c r="I74" s="63">
        <f t="shared" si="18"/>
        <v>13</v>
      </c>
      <c r="J74" s="63" t="e">
        <f t="shared" si="19"/>
        <v>#VALUE!</v>
      </c>
      <c r="K74" s="63">
        <f t="shared" si="20"/>
        <v>22</v>
      </c>
      <c r="L74" s="63" t="str">
        <f>IFERROR(VLOOKUP(MID(G74,J74,K74-J74),[6]skilldef!$C:$D,2,FALSE),"-") &amp; " / " &amp; IFERROR(VLOOKUP(MID(G74,H74,I74-H74),[6]skilldef!$A:$B,2,FALSE),"-")</f>
        <v>- / 連続攻撃</v>
      </c>
      <c r="M74" s="63" t="str">
        <f t="shared" si="21"/>
        <v>none</v>
      </c>
      <c r="N74" s="48" t="str">
        <f>IFERROR(LEFT(M74,FIND("],",M74)+#REF!),M74)</f>
        <v>none</v>
      </c>
      <c r="O74" s="63" t="e">
        <f t="shared" si="23"/>
        <v>#VALUE!</v>
      </c>
      <c r="P74" s="63">
        <f t="shared" si="24"/>
        <v>4</v>
      </c>
      <c r="Q74" s="63" t="e">
        <f t="shared" si="25"/>
        <v>#VALUE!</v>
      </c>
      <c r="R74" s="63" t="e">
        <f t="shared" si="26"/>
        <v>#VALUE!</v>
      </c>
      <c r="S74" s="63" t="str">
        <f>IFERROR(VLOOKUP(MID(N74,Q74,R74-Q74),[6]skilldef!$C:$D,2,FALSE),"-") &amp; " / " &amp; IFERROR(VLOOKUP(MID(N74,O74,P74-O74),[6]skilldef!$A:$B,2,FALSE),"-")</f>
        <v>- / -</v>
      </c>
      <c r="T74" s="48" t="str">
        <f t="shared" si="27"/>
        <v>none</v>
      </c>
      <c r="U74" s="63" t="e">
        <f t="shared" si="28"/>
        <v>#VALUE!</v>
      </c>
      <c r="V74" s="63">
        <f t="shared" si="29"/>
        <v>4</v>
      </c>
      <c r="W74" s="63" t="e">
        <f t="shared" si="30"/>
        <v>#VALUE!</v>
      </c>
      <c r="X74" s="63" t="e">
        <f t="shared" si="31"/>
        <v>#VALUE!</v>
      </c>
      <c r="Y74" s="63" t="str">
        <f>IFERROR(VLOOKUP(MID(T74,W74,X74-W74),[6]skilldef!$C:$D,2,FALSE),"-") &amp; " / " &amp; IFERROR(VLOOKUP(MID(T74,U74,V74-U74),[6]skilldef!$A:$B,2,FALSE),"-")</f>
        <v>- / -</v>
      </c>
      <c r="Z74" s="50"/>
      <c r="AA74" s="52"/>
      <c r="AB74" s="50"/>
    </row>
    <row r="75" spans="1:28" ht="21" customHeight="1">
      <c r="A75" s="22">
        <v>50002074</v>
      </c>
      <c r="B75" s="47" t="s">
        <v>358</v>
      </c>
      <c r="C75" s="50">
        <v>3</v>
      </c>
      <c r="D75" s="50" t="s">
        <v>128</v>
      </c>
      <c r="E75" s="51" t="s">
        <v>355</v>
      </c>
      <c r="F75" s="51" t="s">
        <v>309</v>
      </c>
      <c r="G75" s="63" t="str">
        <f t="shared" si="16"/>
        <v>[effect:enhance_enemy, target:myself, turn:-1, status:attack, val:0.23, calc:mul, animation:enemy_enhance_attack]</v>
      </c>
      <c r="H75" s="63">
        <f t="shared" si="17"/>
        <v>9</v>
      </c>
      <c r="I75" s="63">
        <f t="shared" si="18"/>
        <v>22</v>
      </c>
      <c r="J75" s="63">
        <f t="shared" si="19"/>
        <v>31</v>
      </c>
      <c r="K75" s="63">
        <f t="shared" si="20"/>
        <v>37</v>
      </c>
      <c r="L75" s="63" t="str">
        <f>IFERROR(VLOOKUP(MID(G75,J75,K75-J75),[6]skilldef!$C:$D,2,FALSE),"-") &amp; " / " &amp; IFERROR(VLOOKUP(MID(G75,H75,I75-H75),[6]skilldef!$A:$B,2,FALSE),"-")</f>
        <v>自分自身に / ステータス強化</v>
      </c>
      <c r="M75" s="63" t="str">
        <f t="shared" si="21"/>
        <v>[effect:spread, val:0.45]</v>
      </c>
      <c r="N75" s="48" t="str">
        <f>IFERROR(LEFT(M75,FIND("],",M75)+#REF!),M75)</f>
        <v>[effect:spread, val:0.45]</v>
      </c>
      <c r="O75" s="63">
        <f t="shared" si="23"/>
        <v>9</v>
      </c>
      <c r="P75" s="63">
        <f t="shared" si="24"/>
        <v>15</v>
      </c>
      <c r="Q75" s="63" t="e">
        <f t="shared" si="25"/>
        <v>#VALUE!</v>
      </c>
      <c r="R75" s="63" t="e">
        <f t="shared" si="26"/>
        <v>#VALUE!</v>
      </c>
      <c r="S75" s="63" t="str">
        <f>IFERROR(VLOOKUP(MID(N75,Q75,R75-Q75),[6]skilldef!$C:$D,2,FALSE),"-") &amp; " / " &amp; IFERROR(VLOOKUP(MID(N75,O75,P75-O75),[6]skilldef!$A:$B,2,FALSE),"-")</f>
        <v>- / 全体攻撃</v>
      </c>
      <c r="T75" s="48" t="str">
        <f t="shared" si="27"/>
        <v>none</v>
      </c>
      <c r="U75" s="63" t="e">
        <f t="shared" si="28"/>
        <v>#VALUE!</v>
      </c>
      <c r="V75" s="63">
        <f t="shared" si="29"/>
        <v>4</v>
      </c>
      <c r="W75" s="63" t="e">
        <f t="shared" si="30"/>
        <v>#VALUE!</v>
      </c>
      <c r="X75" s="63" t="e">
        <f t="shared" si="31"/>
        <v>#VALUE!</v>
      </c>
      <c r="Y75" s="63" t="str">
        <f>IFERROR(VLOOKUP(MID(T75,W75,X75-W75),[6]skilldef!$C:$D,2,FALSE),"-") &amp; " / " &amp; IFERROR(VLOOKUP(MID(T75,U75,V75-U75),[6]skilldef!$A:$B,2,FALSE),"-")</f>
        <v>- / -</v>
      </c>
      <c r="Z75" s="50"/>
      <c r="AA75" s="52"/>
      <c r="AB75" s="50"/>
    </row>
    <row r="76" spans="1:28" ht="21" customHeight="1">
      <c r="A76" s="22">
        <v>50002075</v>
      </c>
      <c r="B76" s="47" t="s">
        <v>227</v>
      </c>
      <c r="C76" s="50">
        <v>3</v>
      </c>
      <c r="D76" s="50" t="s">
        <v>128</v>
      </c>
      <c r="E76" s="51" t="s">
        <v>306</v>
      </c>
      <c r="F76" s="51" t="s">
        <v>337</v>
      </c>
      <c r="G76" s="63" t="str">
        <f t="shared" si="16"/>
        <v>[effect:nothing]</v>
      </c>
      <c r="H76" s="63">
        <f t="shared" si="17"/>
        <v>9</v>
      </c>
      <c r="I76" s="63">
        <f t="shared" si="18"/>
        <v>16</v>
      </c>
      <c r="J76" s="63" t="e">
        <f t="shared" si="19"/>
        <v>#VALUE!</v>
      </c>
      <c r="K76" s="63" t="e">
        <f t="shared" si="20"/>
        <v>#VALUE!</v>
      </c>
      <c r="L76" s="63" t="str">
        <f>IFERROR(VLOOKUP(MID(G76,J76,K76-J76),[6]skilldef!$C:$D,2,FALSE),"-") &amp; " / " &amp; IFERROR(VLOOKUP(MID(G76,H76,I76-H76),[6]skilldef!$A:$B,2,FALSE),"-")</f>
        <v>- / 何もしない</v>
      </c>
      <c r="M76" s="63" t="str">
        <f t="shared" si="21"/>
        <v>none</v>
      </c>
      <c r="N76" s="48" t="str">
        <f>IFERROR(LEFT(M76,FIND("],",M76)+#REF!),M76)</f>
        <v>none</v>
      </c>
      <c r="O76" s="63" t="e">
        <f t="shared" si="23"/>
        <v>#VALUE!</v>
      </c>
      <c r="P76" s="63">
        <f t="shared" si="24"/>
        <v>4</v>
      </c>
      <c r="Q76" s="63" t="e">
        <f t="shared" si="25"/>
        <v>#VALUE!</v>
      </c>
      <c r="R76" s="63" t="e">
        <f t="shared" si="26"/>
        <v>#VALUE!</v>
      </c>
      <c r="S76" s="63" t="str">
        <f>IFERROR(VLOOKUP(MID(N76,Q76,R76-Q76),[6]skilldef!$C:$D,2,FALSE),"-") &amp; " / " &amp; IFERROR(VLOOKUP(MID(N76,O76,P76-O76),[6]skilldef!$A:$B,2,FALSE),"-")</f>
        <v>- / -</v>
      </c>
      <c r="T76" s="48" t="str">
        <f t="shared" si="27"/>
        <v>none</v>
      </c>
      <c r="U76" s="63" t="e">
        <f t="shared" si="28"/>
        <v>#VALUE!</v>
      </c>
      <c r="V76" s="63">
        <f t="shared" si="29"/>
        <v>4</v>
      </c>
      <c r="W76" s="63" t="e">
        <f t="shared" si="30"/>
        <v>#VALUE!</v>
      </c>
      <c r="X76" s="63" t="e">
        <f t="shared" si="31"/>
        <v>#VALUE!</v>
      </c>
      <c r="Y76" s="63" t="str">
        <f>IFERROR(VLOOKUP(MID(T76,W76,X76-W76),[6]skilldef!$C:$D,2,FALSE),"-") &amp; " / " &amp; IFERROR(VLOOKUP(MID(T76,U76,V76-U76),[6]skilldef!$A:$B,2,FALSE),"-")</f>
        <v>- / -</v>
      </c>
      <c r="Z76" s="50"/>
      <c r="AA76" s="52"/>
      <c r="AB76" s="50"/>
    </row>
    <row r="77" spans="1:28" ht="21" customHeight="1">
      <c r="A77" s="22">
        <v>50002076</v>
      </c>
      <c r="B77" s="47" t="s">
        <v>352</v>
      </c>
      <c r="C77" s="50">
        <v>3</v>
      </c>
      <c r="D77" s="50" t="s">
        <v>128</v>
      </c>
      <c r="E77" s="51" t="s">
        <v>307</v>
      </c>
      <c r="F77" s="100" t="s">
        <v>334</v>
      </c>
      <c r="G77" s="63" t="str">
        <f t="shared" si="16"/>
        <v>[effect:remove_enhancement, target:unit_all, target_effect:enhance, target_type:buff, status:defense, animation:frozen_wave]</v>
      </c>
      <c r="H77" s="63">
        <f t="shared" si="17"/>
        <v>9</v>
      </c>
      <c r="I77" s="63">
        <f t="shared" si="18"/>
        <v>27</v>
      </c>
      <c r="J77" s="63">
        <f t="shared" si="19"/>
        <v>36</v>
      </c>
      <c r="K77" s="63">
        <f t="shared" si="20"/>
        <v>44</v>
      </c>
      <c r="L77" s="63" t="str">
        <f>IFERROR(VLOOKUP(MID(G77,J77,K77-J77),[6]skilldef!$C:$D,2,FALSE),"-") &amp; " / " &amp; IFERROR(VLOOKUP(MID(G77,H77,I77-H77),[6]skilldef!$A:$B,2,FALSE),"-")</f>
        <v>味方全体に / -</v>
      </c>
      <c r="M77" s="63" t="str">
        <f t="shared" si="21"/>
        <v>[effect:remove_enhancement, target:unit_all, target_effect:reduction, target_type:buff],[effect:critical, val:2.1]</v>
      </c>
      <c r="N77" s="48" t="str">
        <f>IFERROR(LEFT(M77,FIND("],",M77)+#REF!),M77)</f>
        <v>[effect:remove_enhancement, target:unit_all, target_effect:reduction, target_type:buff],[effect:critical, val:2.1]</v>
      </c>
      <c r="O77" s="63">
        <f t="shared" si="23"/>
        <v>9</v>
      </c>
      <c r="P77" s="63">
        <f t="shared" si="24"/>
        <v>27</v>
      </c>
      <c r="Q77" s="63">
        <f t="shared" si="25"/>
        <v>36</v>
      </c>
      <c r="R77" s="63">
        <f t="shared" si="26"/>
        <v>44</v>
      </c>
      <c r="S77" s="63" t="str">
        <f>IFERROR(VLOOKUP(MID(N77,Q77,R77-Q77),[6]skilldef!$C:$D,2,FALSE),"-") &amp; " / " &amp; IFERROR(VLOOKUP(MID(N77,O77,P77-O77),[6]skilldef!$A:$B,2,FALSE),"-")</f>
        <v>味方全体に / -</v>
      </c>
      <c r="T77" s="48" t="str">
        <f t="shared" si="27"/>
        <v>[effect:critical, val:2.1]</v>
      </c>
      <c r="U77" s="63">
        <f t="shared" si="28"/>
        <v>9</v>
      </c>
      <c r="V77" s="63">
        <f t="shared" si="29"/>
        <v>17</v>
      </c>
      <c r="W77" s="63" t="e">
        <f t="shared" si="30"/>
        <v>#VALUE!</v>
      </c>
      <c r="X77" s="63" t="e">
        <f t="shared" si="31"/>
        <v>#VALUE!</v>
      </c>
      <c r="Y77" s="63" t="str">
        <f>IFERROR(VLOOKUP(MID(T77,W77,X77-W77),[6]skilldef!$C:$D,2,FALSE),"-") &amp; " / " &amp; IFERROR(VLOOKUP(MID(T77,U77,V77-U77),[6]skilldef!$A:$B,2,FALSE),"-")</f>
        <v>- / 大攻撃</v>
      </c>
      <c r="Z77" s="50"/>
      <c r="AA77" s="52"/>
      <c r="AB77" s="50"/>
    </row>
    <row r="78" spans="1:28" ht="21" customHeight="1">
      <c r="A78" s="22">
        <v>50002077</v>
      </c>
      <c r="B78" s="47" t="s">
        <v>312</v>
      </c>
      <c r="C78" s="50">
        <v>3</v>
      </c>
      <c r="D78" s="50" t="s">
        <v>128</v>
      </c>
      <c r="E78" s="51" t="s">
        <v>299</v>
      </c>
      <c r="F78" s="51" t="s">
        <v>239</v>
      </c>
      <c r="G78" s="63" t="str">
        <f t="shared" si="16"/>
        <v>[effect:fix_speed, target:myself, turn:5]</v>
      </c>
      <c r="H78" s="63">
        <f t="shared" si="17"/>
        <v>9</v>
      </c>
      <c r="I78" s="63">
        <f t="shared" si="18"/>
        <v>18</v>
      </c>
      <c r="J78" s="63">
        <f t="shared" si="19"/>
        <v>27</v>
      </c>
      <c r="K78" s="63">
        <f t="shared" si="20"/>
        <v>33</v>
      </c>
      <c r="L78" s="63" t="str">
        <f>IFERROR(VLOOKUP(MID(G78,J78,K78-J78),[6]skilldef!$C:$D,2,FALSE),"-") &amp; " / " &amp; IFERROR(VLOOKUP(MID(G78,H78,I78-H78),[6]skilldef!$A:$B,2,FALSE),"-")</f>
        <v>自分自身に / 行動値設定</v>
      </c>
      <c r="M78" s="63" t="str">
        <f t="shared" si="21"/>
        <v>[effect:enhance_enemy, target:myself, turn:5, status:defense, val:13000, calc:add, animation:enemy_enhance_defense]</v>
      </c>
      <c r="N78" s="48" t="str">
        <f>IFERROR(LEFT(M78,FIND("],",M78)+#REF!),M78)</f>
        <v>[effect:enhance_enemy, target:myself, turn:5, status:defense, val:13000, calc:add, animation:enemy_enhance_defense]</v>
      </c>
      <c r="O78" s="63">
        <f t="shared" si="23"/>
        <v>9</v>
      </c>
      <c r="P78" s="63">
        <f t="shared" si="24"/>
        <v>22</v>
      </c>
      <c r="Q78" s="63">
        <f t="shared" si="25"/>
        <v>31</v>
      </c>
      <c r="R78" s="63">
        <f t="shared" si="26"/>
        <v>37</v>
      </c>
      <c r="S78" s="63" t="str">
        <f>IFERROR(VLOOKUP(MID(N78,Q78,R78-Q78),[6]skilldef!$C:$D,2,FALSE),"-") &amp; " / " &amp; IFERROR(VLOOKUP(MID(N78,O78,P78-O78),[6]skilldef!$A:$B,2,FALSE),"-")</f>
        <v>自分自身に / ステータス強化</v>
      </c>
      <c r="T78" s="48" t="str">
        <f t="shared" si="27"/>
        <v>none</v>
      </c>
      <c r="U78" s="63" t="e">
        <f t="shared" si="28"/>
        <v>#VALUE!</v>
      </c>
      <c r="V78" s="63">
        <f t="shared" si="29"/>
        <v>4</v>
      </c>
      <c r="W78" s="63" t="e">
        <f t="shared" si="30"/>
        <v>#VALUE!</v>
      </c>
      <c r="X78" s="63" t="e">
        <f t="shared" si="31"/>
        <v>#VALUE!</v>
      </c>
      <c r="Y78" s="63" t="str">
        <f>IFERROR(VLOOKUP(MID(T78,W78,X78-W78),[6]skilldef!$C:$D,2,FALSE),"-") &amp; " / " &amp; IFERROR(VLOOKUP(MID(T78,U78,V78-U78),[6]skilldef!$A:$B,2,FALSE),"-")</f>
        <v>- / -</v>
      </c>
      <c r="Z78" s="50"/>
      <c r="AA78" s="52"/>
      <c r="AB78" s="50"/>
    </row>
    <row r="79" spans="1:28" ht="21" customHeight="1">
      <c r="A79" s="22">
        <v>50002078</v>
      </c>
      <c r="B79" s="47" t="s">
        <v>311</v>
      </c>
      <c r="C79" s="50">
        <v>3</v>
      </c>
      <c r="D79" s="50" t="s">
        <v>128</v>
      </c>
      <c r="E79" s="51" t="s">
        <v>350</v>
      </c>
      <c r="F79" s="51" t="s">
        <v>347</v>
      </c>
      <c r="G79" s="63" t="str">
        <f t="shared" si="16"/>
        <v>[effect:remove_enhancement, target:unit_all, target_effect:enhance, target_type:buff, animation:frozen_wave]</v>
      </c>
      <c r="H79" s="63">
        <f t="shared" si="17"/>
        <v>9</v>
      </c>
      <c r="I79" s="63">
        <f t="shared" si="18"/>
        <v>27</v>
      </c>
      <c r="J79" s="63">
        <f t="shared" si="19"/>
        <v>36</v>
      </c>
      <c r="K79" s="63">
        <f t="shared" si="20"/>
        <v>44</v>
      </c>
      <c r="L79" s="63" t="str">
        <f>IFERROR(VLOOKUP(MID(G79,J79,K79-J79),[6]skilldef!$C:$D,2,FALSE),"-") &amp; " / " &amp; IFERROR(VLOOKUP(MID(G79,H79,I79-H79),[6]skilldef!$A:$B,2,FALSE),"-")</f>
        <v>味方全体に / -</v>
      </c>
      <c r="M79" s="63" t="str">
        <f t="shared" si="21"/>
        <v>[effect:critical, val:50.0]</v>
      </c>
      <c r="N79" s="48" t="str">
        <f>IFERROR(LEFT(M79,FIND("],",M79)+#REF!),M79)</f>
        <v>[effect:critical, val:50.0]</v>
      </c>
      <c r="O79" s="63">
        <f t="shared" si="23"/>
        <v>9</v>
      </c>
      <c r="P79" s="63">
        <f t="shared" si="24"/>
        <v>17</v>
      </c>
      <c r="Q79" s="63" t="e">
        <f t="shared" si="25"/>
        <v>#VALUE!</v>
      </c>
      <c r="R79" s="63" t="e">
        <f t="shared" si="26"/>
        <v>#VALUE!</v>
      </c>
      <c r="S79" s="63" t="str">
        <f>IFERROR(VLOOKUP(MID(N79,Q79,R79-Q79),[6]skilldef!$C:$D,2,FALSE),"-") &amp; " / " &amp; IFERROR(VLOOKUP(MID(N79,O79,P79-O79),[6]skilldef!$A:$B,2,FALSE),"-")</f>
        <v>- / 大攻撃</v>
      </c>
      <c r="T79" s="48" t="str">
        <f t="shared" si="27"/>
        <v>none</v>
      </c>
      <c r="U79" s="63" t="e">
        <f t="shared" si="28"/>
        <v>#VALUE!</v>
      </c>
      <c r="V79" s="63">
        <f t="shared" si="29"/>
        <v>4</v>
      </c>
      <c r="W79" s="63" t="e">
        <f t="shared" si="30"/>
        <v>#VALUE!</v>
      </c>
      <c r="X79" s="63" t="e">
        <f t="shared" si="31"/>
        <v>#VALUE!</v>
      </c>
      <c r="Y79" s="63" t="str">
        <f>IFERROR(VLOOKUP(MID(T79,W79,X79-W79),[6]skilldef!$C:$D,2,FALSE),"-") &amp; " / " &amp; IFERROR(VLOOKUP(MID(T79,U79,V79-U79),[6]skilldef!$A:$B,2,FALSE),"-")</f>
        <v>- / -</v>
      </c>
      <c r="Z79" s="50"/>
      <c r="AA79" s="52"/>
      <c r="AB79" s="50"/>
    </row>
    <row r="80" spans="1:28" ht="21" customHeight="1">
      <c r="A80" s="22">
        <v>50002079</v>
      </c>
      <c r="B80" s="47" t="s">
        <v>227</v>
      </c>
      <c r="C80" s="50">
        <v>3</v>
      </c>
      <c r="D80" s="50" t="s">
        <v>128</v>
      </c>
      <c r="E80" s="51" t="s">
        <v>349</v>
      </c>
      <c r="F80" s="51" t="s">
        <v>213</v>
      </c>
      <c r="G80" s="63" t="str">
        <f t="shared" si="16"/>
        <v>[effect:nothing]</v>
      </c>
      <c r="H80" s="63">
        <f t="shared" si="17"/>
        <v>9</v>
      </c>
      <c r="I80" s="63">
        <f t="shared" si="18"/>
        <v>16</v>
      </c>
      <c r="J80" s="63" t="e">
        <f t="shared" si="19"/>
        <v>#VALUE!</v>
      </c>
      <c r="K80" s="63" t="e">
        <f t="shared" si="20"/>
        <v>#VALUE!</v>
      </c>
      <c r="L80" s="63" t="str">
        <f>IFERROR(VLOOKUP(MID(G80,J80,K80-J80),[6]skilldef!$C:$D,2,FALSE),"-") &amp; " / " &amp; IFERROR(VLOOKUP(MID(G80,H80,I80-H80),[6]skilldef!$A:$B,2,FALSE),"-")</f>
        <v>- / 何もしない</v>
      </c>
      <c r="M80" s="63" t="str">
        <f t="shared" si="21"/>
        <v>none</v>
      </c>
      <c r="N80" s="48" t="str">
        <f>IFERROR(LEFT(M80,FIND("],",M80)+#REF!),M80)</f>
        <v>none</v>
      </c>
      <c r="O80" s="63" t="e">
        <f t="shared" si="23"/>
        <v>#VALUE!</v>
      </c>
      <c r="P80" s="63">
        <f t="shared" si="24"/>
        <v>4</v>
      </c>
      <c r="Q80" s="63" t="e">
        <f t="shared" si="25"/>
        <v>#VALUE!</v>
      </c>
      <c r="R80" s="63" t="e">
        <f t="shared" si="26"/>
        <v>#VALUE!</v>
      </c>
      <c r="S80" s="63" t="str">
        <f>IFERROR(VLOOKUP(MID(N80,Q80,R80-Q80),[6]skilldef!$C:$D,2,FALSE),"-") &amp; " / " &amp; IFERROR(VLOOKUP(MID(N80,O80,P80-O80),[6]skilldef!$A:$B,2,FALSE),"-")</f>
        <v>- / -</v>
      </c>
      <c r="T80" s="48" t="str">
        <f t="shared" si="27"/>
        <v>none</v>
      </c>
      <c r="U80" s="63" t="e">
        <f t="shared" si="28"/>
        <v>#VALUE!</v>
      </c>
      <c r="V80" s="63">
        <f t="shared" si="29"/>
        <v>4</v>
      </c>
      <c r="W80" s="63" t="e">
        <f t="shared" si="30"/>
        <v>#VALUE!</v>
      </c>
      <c r="X80" s="63" t="e">
        <f t="shared" si="31"/>
        <v>#VALUE!</v>
      </c>
      <c r="Y80" s="63" t="str">
        <f>IFERROR(VLOOKUP(MID(T80,W80,X80-W80),[6]skilldef!$C:$D,2,FALSE),"-") &amp; " / " &amp; IFERROR(VLOOKUP(MID(T80,U80,V80-U80),[6]skilldef!$A:$B,2,FALSE),"-")</f>
        <v>- / -</v>
      </c>
      <c r="Z80" s="50"/>
      <c r="AA80" s="52"/>
      <c r="AB80" s="50"/>
    </row>
    <row r="81" spans="1:28" ht="21" customHeight="1">
      <c r="A81" s="22">
        <v>50002080</v>
      </c>
      <c r="B81" s="47" t="s">
        <v>227</v>
      </c>
      <c r="C81" s="50">
        <v>3</v>
      </c>
      <c r="D81" s="50" t="s">
        <v>128</v>
      </c>
      <c r="E81" s="51" t="s">
        <v>348</v>
      </c>
      <c r="F81" s="51" t="s">
        <v>213</v>
      </c>
      <c r="G81" s="63" t="str">
        <f t="shared" si="16"/>
        <v>[effect:nothing]</v>
      </c>
      <c r="H81" s="63">
        <f t="shared" si="17"/>
        <v>9</v>
      </c>
      <c r="I81" s="63">
        <f t="shared" si="18"/>
        <v>16</v>
      </c>
      <c r="J81" s="63" t="e">
        <f t="shared" si="19"/>
        <v>#VALUE!</v>
      </c>
      <c r="K81" s="63" t="e">
        <f t="shared" si="20"/>
        <v>#VALUE!</v>
      </c>
      <c r="L81" s="63" t="str">
        <f>IFERROR(VLOOKUP(MID(G81,J81,K81-J81),[6]skilldef!$C:$D,2,FALSE),"-") &amp; " / " &amp; IFERROR(VLOOKUP(MID(G81,H81,I81-H81),[6]skilldef!$A:$B,2,FALSE),"-")</f>
        <v>- / 何もしない</v>
      </c>
      <c r="M81" s="63" t="str">
        <f t="shared" si="21"/>
        <v>none</v>
      </c>
      <c r="N81" s="48" t="str">
        <f>IFERROR(LEFT(M81,FIND("],",M81)+#REF!),M81)</f>
        <v>none</v>
      </c>
      <c r="O81" s="63" t="e">
        <f t="shared" si="23"/>
        <v>#VALUE!</v>
      </c>
      <c r="P81" s="63">
        <f t="shared" si="24"/>
        <v>4</v>
      </c>
      <c r="Q81" s="63" t="e">
        <f t="shared" si="25"/>
        <v>#VALUE!</v>
      </c>
      <c r="R81" s="63" t="e">
        <f t="shared" si="26"/>
        <v>#VALUE!</v>
      </c>
      <c r="S81" s="63" t="str">
        <f>IFERROR(VLOOKUP(MID(N81,Q81,R81-Q81),[6]skilldef!$C:$D,2,FALSE),"-") &amp; " / " &amp; IFERROR(VLOOKUP(MID(N81,O81,P81-O81),[6]skilldef!$A:$B,2,FALSE),"-")</f>
        <v>- / -</v>
      </c>
      <c r="T81" s="48" t="str">
        <f t="shared" si="27"/>
        <v>none</v>
      </c>
      <c r="U81" s="63" t="e">
        <f t="shared" si="28"/>
        <v>#VALUE!</v>
      </c>
      <c r="V81" s="63">
        <f t="shared" si="29"/>
        <v>4</v>
      </c>
      <c r="W81" s="63" t="e">
        <f t="shared" si="30"/>
        <v>#VALUE!</v>
      </c>
      <c r="X81" s="63" t="e">
        <f t="shared" si="31"/>
        <v>#VALUE!</v>
      </c>
      <c r="Y81" s="63" t="str">
        <f>IFERROR(VLOOKUP(MID(T81,W81,X81-W81),[6]skilldef!$C:$D,2,FALSE),"-") &amp; " / " &amp; IFERROR(VLOOKUP(MID(T81,U81,V81-U81),[6]skilldef!$A:$B,2,FALSE),"-")</f>
        <v>- / -</v>
      </c>
      <c r="Z81" s="50"/>
      <c r="AA81" s="52"/>
      <c r="AB81" s="50"/>
    </row>
    <row r="82" spans="1:28" ht="21" customHeight="1">
      <c r="A82" s="22">
        <v>50002081</v>
      </c>
      <c r="B82" s="47" t="s">
        <v>327</v>
      </c>
      <c r="C82" s="50">
        <v>3</v>
      </c>
      <c r="D82" s="50" t="s">
        <v>128</v>
      </c>
      <c r="E82" s="51" t="s">
        <v>316</v>
      </c>
      <c r="F82" s="51" t="s">
        <v>317</v>
      </c>
      <c r="G82" s="63" t="str">
        <f t="shared" ref="G82:G86" si="32">IFERROR(LEFT(B82,FIND("],",B82)),B82)</f>
        <v>[effect:suicide, val:1, dead_type:escape, target:myself]</v>
      </c>
      <c r="H82" s="63">
        <f t="shared" ref="H82:H86" si="33">FIND("effect:",G82)+7</f>
        <v>9</v>
      </c>
      <c r="I82" s="63">
        <f t="shared" ref="I82:I86" si="34">IFERROR(FIND(",",G82),LEN(G82))</f>
        <v>16</v>
      </c>
      <c r="J82" s="63">
        <f t="shared" ref="J82:J86" si="35">FIND("target:",G82)+7</f>
        <v>50</v>
      </c>
      <c r="K82" s="63">
        <f t="shared" ref="K82:K86" si="36">FIND(",",G82,I82+1)</f>
        <v>23</v>
      </c>
      <c r="L82" s="63" t="str">
        <f>IFERROR(VLOOKUP(MID(G82,J82,K82-J82),[6]skilldef!$C:$D,2,FALSE),"-") &amp; " / " &amp; IFERROR(VLOOKUP(MID(G82,H82,I82-H82),[6]skilldef!$A:$B,2,FALSE),"-")</f>
        <v>- / -</v>
      </c>
      <c r="M82" s="63" t="str">
        <f t="shared" ref="M82:M86" si="37">IFERROR(RIGHT(B82,LEN(B82)-FIND("],",B82)-1),"none")</f>
        <v>none</v>
      </c>
      <c r="N82" s="48" t="str">
        <f>IFERROR(LEFT(M82,FIND("],",M82)+#REF!),M82)</f>
        <v>none</v>
      </c>
      <c r="O82" s="63" t="e">
        <f t="shared" ref="O82:O86" si="38">FIND("effect:",N82)+7</f>
        <v>#VALUE!</v>
      </c>
      <c r="P82" s="63">
        <f t="shared" ref="P82:P86" si="39">IFERROR(FIND(",",N82),LEN(N82))</f>
        <v>4</v>
      </c>
      <c r="Q82" s="63" t="e">
        <f t="shared" ref="Q82:Q86" si="40">FIND("target:",N82)+7</f>
        <v>#VALUE!</v>
      </c>
      <c r="R82" s="63" t="e">
        <f t="shared" ref="R82:R86" si="41">FIND(",",N82,P82+1)</f>
        <v>#VALUE!</v>
      </c>
      <c r="S82" s="63" t="str">
        <f>IFERROR(VLOOKUP(MID(N82,Q82,R82-Q82),[6]skilldef!$C:$D,2,FALSE),"-") &amp; " / " &amp; IFERROR(VLOOKUP(MID(N82,O82,P82-O82),[6]skilldef!$A:$B,2,FALSE),"-")</f>
        <v>- / -</v>
      </c>
      <c r="T82" s="48" t="str">
        <f t="shared" ref="T82:T86" si="42">IFERROR(RIGHT(M82,LEN(M82)-FIND("],",M82)-1),"none")</f>
        <v>none</v>
      </c>
      <c r="U82" s="63" t="e">
        <f t="shared" ref="U82:U86" si="43">FIND("effect:",T82)+7</f>
        <v>#VALUE!</v>
      </c>
      <c r="V82" s="63">
        <f t="shared" ref="V82:V86" si="44">IFERROR(FIND(",",T82),LEN(T82))</f>
        <v>4</v>
      </c>
      <c r="W82" s="63" t="e">
        <f t="shared" ref="W82:W86" si="45">FIND("target:",T82)+7</f>
        <v>#VALUE!</v>
      </c>
      <c r="X82" s="63" t="e">
        <f t="shared" ref="X82:X86" si="46">FIND(",",T82,V82+1)</f>
        <v>#VALUE!</v>
      </c>
      <c r="Y82" s="63" t="str">
        <f>IFERROR(VLOOKUP(MID(T82,W82,X82-W82),[6]skilldef!$C:$D,2,FALSE),"-") &amp; " / " &amp; IFERROR(VLOOKUP(MID(T82,U82,V82-U82),[6]skilldef!$A:$B,2,FALSE),"-")</f>
        <v>- / -</v>
      </c>
      <c r="Z82" s="50"/>
      <c r="AA82" s="52"/>
      <c r="AB82" s="50"/>
    </row>
    <row r="83" spans="1:28" ht="21" customHeight="1">
      <c r="A83" s="22">
        <v>50002082</v>
      </c>
      <c r="B83" s="47" t="s">
        <v>327</v>
      </c>
      <c r="C83" s="50">
        <v>3</v>
      </c>
      <c r="D83" s="50" t="s">
        <v>128</v>
      </c>
      <c r="E83" s="51" t="s">
        <v>316</v>
      </c>
      <c r="F83" s="51" t="s">
        <v>317</v>
      </c>
      <c r="G83" s="63" t="str">
        <f t="shared" si="32"/>
        <v>[effect:suicide, val:1, dead_type:escape, target:myself]</v>
      </c>
      <c r="H83" s="63">
        <f t="shared" si="33"/>
        <v>9</v>
      </c>
      <c r="I83" s="63">
        <f t="shared" si="34"/>
        <v>16</v>
      </c>
      <c r="J83" s="63">
        <f t="shared" si="35"/>
        <v>50</v>
      </c>
      <c r="K83" s="63">
        <f t="shared" si="36"/>
        <v>23</v>
      </c>
      <c r="L83" s="63" t="str">
        <f>IFERROR(VLOOKUP(MID(G83,J83,K83-J83),[6]skilldef!$C:$D,2,FALSE),"-") &amp; " / " &amp; IFERROR(VLOOKUP(MID(G83,H83,I83-H83),[6]skilldef!$A:$B,2,FALSE),"-")</f>
        <v>- / -</v>
      </c>
      <c r="M83" s="63" t="str">
        <f t="shared" si="37"/>
        <v>none</v>
      </c>
      <c r="N83" s="48" t="str">
        <f>IFERROR(LEFT(M83,FIND("],",M83)+#REF!),M83)</f>
        <v>none</v>
      </c>
      <c r="O83" s="63" t="e">
        <f t="shared" si="38"/>
        <v>#VALUE!</v>
      </c>
      <c r="P83" s="63">
        <f t="shared" si="39"/>
        <v>4</v>
      </c>
      <c r="Q83" s="63" t="e">
        <f t="shared" si="40"/>
        <v>#VALUE!</v>
      </c>
      <c r="R83" s="63" t="e">
        <f t="shared" si="41"/>
        <v>#VALUE!</v>
      </c>
      <c r="S83" s="63" t="str">
        <f>IFERROR(VLOOKUP(MID(N83,Q83,R83-Q83),[6]skilldef!$C:$D,2,FALSE),"-") &amp; " / " &amp; IFERROR(VLOOKUP(MID(N83,O83,P83-O83),[6]skilldef!$A:$B,2,FALSE),"-")</f>
        <v>- / -</v>
      </c>
      <c r="T83" s="48" t="str">
        <f t="shared" si="42"/>
        <v>none</v>
      </c>
      <c r="U83" s="63" t="e">
        <f t="shared" si="43"/>
        <v>#VALUE!</v>
      </c>
      <c r="V83" s="63">
        <f t="shared" si="44"/>
        <v>4</v>
      </c>
      <c r="W83" s="63" t="e">
        <f t="shared" si="45"/>
        <v>#VALUE!</v>
      </c>
      <c r="X83" s="63" t="e">
        <f t="shared" si="46"/>
        <v>#VALUE!</v>
      </c>
      <c r="Y83" s="63" t="str">
        <f>IFERROR(VLOOKUP(MID(T83,W83,X83-W83),[6]skilldef!$C:$D,2,FALSE),"-") &amp; " / " &amp; IFERROR(VLOOKUP(MID(T83,U83,V83-U83),[6]skilldef!$A:$B,2,FALSE),"-")</f>
        <v>- / -</v>
      </c>
      <c r="Z83" s="50"/>
      <c r="AA83" s="52"/>
      <c r="AB83" s="50"/>
    </row>
    <row r="84" spans="1:28" ht="21" customHeight="1">
      <c r="A84" s="22">
        <v>50002083</v>
      </c>
      <c r="B84" s="47" t="s">
        <v>366</v>
      </c>
      <c r="C84" s="50">
        <v>3</v>
      </c>
      <c r="D84" s="50" t="s">
        <v>128</v>
      </c>
      <c r="E84" s="51" t="s">
        <v>340</v>
      </c>
      <c r="F84" s="51" t="s">
        <v>228</v>
      </c>
      <c r="G84" s="63" t="str">
        <f t="shared" si="32"/>
        <v>[effect:tolerance, target:myself, turn:-1, tolerance_effect:hungup, count:-1]</v>
      </c>
      <c r="H84" s="63">
        <f t="shared" si="33"/>
        <v>9</v>
      </c>
      <c r="I84" s="63">
        <f t="shared" si="34"/>
        <v>18</v>
      </c>
      <c r="J84" s="63">
        <f t="shared" si="35"/>
        <v>27</v>
      </c>
      <c r="K84" s="63">
        <f t="shared" si="36"/>
        <v>33</v>
      </c>
      <c r="L84" s="63" t="str">
        <f>IFERROR(VLOOKUP(MID(G84,J84,K84-J84),[6]skilldef!$C:$D,2,FALSE),"-") &amp; " / " &amp; IFERROR(VLOOKUP(MID(G84,H84,I84-H84),[6]skilldef!$A:$B,2,FALSE),"-")</f>
        <v>自分自身に / 状態異常耐性</v>
      </c>
      <c r="M84" s="63" t="str">
        <f t="shared" si="37"/>
        <v>[effect:tolerance, target:myself, turn:-1, tolerance_effect:virus, count:-1],[effect:tolerance, target:myself, turn:-1, tolerance_effect:sleep, count:-1, animation:enemy_tolerance],[effect:enemy_counter, target:myself, invoke_condition:unit_all, counter_target:attacker, turn:5, val:0.5, animation:enemy_counter][effect:fix_speed, target:myself, turn:3]</v>
      </c>
      <c r="N84" s="48" t="str">
        <f t="shared" ref="N84:N85" si="47">IFERROR(LEFT(M84,FIND("],",M84)+S94),M84)</f>
        <v>[effect:tolerance, target:myself, turn:-1, tolerance_effect:virus, count:-1]</v>
      </c>
      <c r="O84" s="63">
        <f t="shared" si="38"/>
        <v>9</v>
      </c>
      <c r="P84" s="63">
        <f t="shared" si="39"/>
        <v>18</v>
      </c>
      <c r="Q84" s="63">
        <f t="shared" si="40"/>
        <v>27</v>
      </c>
      <c r="R84" s="63">
        <f t="shared" si="41"/>
        <v>33</v>
      </c>
      <c r="S84" s="63" t="str">
        <f>IFERROR(VLOOKUP(MID(N84,Q84,R84-Q84),[6]skilldef!$C:$D,2,FALSE),"-") &amp; " / " &amp; IFERROR(VLOOKUP(MID(N84,O84,P84-O84),[6]skilldef!$A:$B,2,FALSE),"-")</f>
        <v>自分自身に / 状態異常耐性</v>
      </c>
      <c r="T84" s="48" t="str">
        <f t="shared" si="42"/>
        <v>[effect:tolerance, target:myself, turn:-1, tolerance_effect:sleep, count:-1, animation:enemy_tolerance],[effect:enemy_counter, target:myself, invoke_condition:unit_all, counter_target:attacker, turn:5, val:0.5, animation:enemy_counter][effect:fix_speed, target:myself, turn:3]</v>
      </c>
      <c r="U84" s="63">
        <f t="shared" si="43"/>
        <v>9</v>
      </c>
      <c r="V84" s="63">
        <f t="shared" si="44"/>
        <v>18</v>
      </c>
      <c r="W84" s="63">
        <f t="shared" si="45"/>
        <v>27</v>
      </c>
      <c r="X84" s="63">
        <f t="shared" si="46"/>
        <v>33</v>
      </c>
      <c r="Y84" s="63" t="str">
        <f>IFERROR(VLOOKUP(MID(T84,W84,X84-W84),[6]skilldef!$C:$D,2,FALSE),"-") &amp; " / " &amp; IFERROR(VLOOKUP(MID(T84,U84,V84-U84),[6]skilldef!$A:$B,2,FALSE),"-")</f>
        <v>自分自身に / 状態異常耐性</v>
      </c>
      <c r="Z84" s="50"/>
      <c r="AA84" s="52"/>
      <c r="AB84" s="50"/>
    </row>
    <row r="85" spans="1:28" ht="21" customHeight="1">
      <c r="A85" s="22">
        <v>50002084</v>
      </c>
      <c r="B85" s="47" t="s">
        <v>308</v>
      </c>
      <c r="C85" s="50">
        <v>3</v>
      </c>
      <c r="D85" s="50" t="s">
        <v>128</v>
      </c>
      <c r="E85" s="51" t="s">
        <v>368</v>
      </c>
      <c r="F85" s="51" t="s">
        <v>361</v>
      </c>
      <c r="G85" s="63" t="str">
        <f t="shared" si="32"/>
        <v>[effect:fix_speed, target:myself, turn:1]</v>
      </c>
      <c r="H85" s="63">
        <f t="shared" si="33"/>
        <v>9</v>
      </c>
      <c r="I85" s="63">
        <f t="shared" si="34"/>
        <v>18</v>
      </c>
      <c r="J85" s="63">
        <f t="shared" si="35"/>
        <v>27</v>
      </c>
      <c r="K85" s="63">
        <f t="shared" si="36"/>
        <v>33</v>
      </c>
      <c r="L85" s="63" t="str">
        <f>IFERROR(VLOOKUP(MID(G85,J85,K85-J85),[6]skilldef!$C:$D,2,FALSE),"-") &amp; " / " &amp; IFERROR(VLOOKUP(MID(G85,H85,I85-H85),[6]skilldef!$A:$B,2,FALSE),"-")</f>
        <v>自分自身に / 行動値設定</v>
      </c>
      <c r="M85" s="63" t="str">
        <f t="shared" si="37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animation:enemy_tolerance],[effect:hungup, target:unit_blue, turn:5, rate:1, animation:hungup01]</v>
      </c>
      <c r="N85" s="48" t="str">
        <f t="shared" si="47"/>
        <v>[effect:tolerance, target:myself, turn:-1, tolerance_effect:hungup, count:-1]</v>
      </c>
      <c r="O85" s="63">
        <f t="shared" si="38"/>
        <v>9</v>
      </c>
      <c r="P85" s="63">
        <f t="shared" si="39"/>
        <v>18</v>
      </c>
      <c r="Q85" s="63">
        <f t="shared" si="40"/>
        <v>27</v>
      </c>
      <c r="R85" s="63">
        <f t="shared" si="41"/>
        <v>33</v>
      </c>
      <c r="S85" s="63" t="str">
        <f>IFERROR(VLOOKUP(MID(N85,Q85,R85-Q85),[6]skilldef!$C:$D,2,FALSE),"-") &amp; " / " &amp; IFERROR(VLOOKUP(MID(N85,O85,P85-O85),[6]skilldef!$A:$B,2,FALSE),"-")</f>
        <v>自分自身に / 状態異常耐性</v>
      </c>
      <c r="T85" s="48" t="str">
        <f t="shared" si="42"/>
        <v>[effect:tolerance, target:myself, turn:-1, tolerance_effect:virus, count:-1],[effect:tolerance, target:myself, turn:-1, tolerance_effect:sleep, count:-1, animation:enemy_tolerance],[effect:hungup, target:unit_blue, turn:5, rate:1, animation:hungup01]</v>
      </c>
      <c r="U85" s="63">
        <f t="shared" si="43"/>
        <v>9</v>
      </c>
      <c r="V85" s="63">
        <f t="shared" si="44"/>
        <v>18</v>
      </c>
      <c r="W85" s="63">
        <f t="shared" si="45"/>
        <v>27</v>
      </c>
      <c r="X85" s="63">
        <f t="shared" si="46"/>
        <v>33</v>
      </c>
      <c r="Y85" s="63" t="str">
        <f>IFERROR(VLOOKUP(MID(T85,W85,X85-W85),[6]skilldef!$C:$D,2,FALSE),"-") &amp; " / " &amp; IFERROR(VLOOKUP(MID(T85,U85,V85-U85),[6]skilldef!$A:$B,2,FALSE),"-")</f>
        <v>自分自身に / 状態異常耐性</v>
      </c>
      <c r="Z85" s="50"/>
      <c r="AA85" s="52"/>
      <c r="AB85" s="50"/>
    </row>
    <row r="86" spans="1:28" ht="21" customHeight="1">
      <c r="A86" s="22">
        <v>50002085</v>
      </c>
      <c r="B86" s="47" t="s">
        <v>344</v>
      </c>
      <c r="C86" s="50">
        <v>3</v>
      </c>
      <c r="D86" s="50" t="s">
        <v>128</v>
      </c>
      <c r="E86" s="51" t="s">
        <v>357</v>
      </c>
      <c r="F86" s="51" t="s">
        <v>360</v>
      </c>
      <c r="G86" s="63" t="str">
        <f t="shared" si="32"/>
        <v>[effect:tolerance, target:myself, turn:-1, tolerance_effect:hungup, count:-1]</v>
      </c>
      <c r="H86" s="63">
        <f t="shared" si="33"/>
        <v>9</v>
      </c>
      <c r="I86" s="63">
        <f t="shared" si="34"/>
        <v>18</v>
      </c>
      <c r="J86" s="63">
        <f t="shared" si="35"/>
        <v>27</v>
      </c>
      <c r="K86" s="63">
        <f t="shared" si="36"/>
        <v>33</v>
      </c>
      <c r="L86" s="63" t="str">
        <f>IFERROR(VLOOKUP(MID(G86,J86,K86-J86),[6]skilldef!$C:$D,2,FALSE),"-") &amp; " / " &amp; IFERROR(VLOOKUP(MID(G86,H86,I86-H86),[6]skilldef!$A:$B,2,FALSE),"-")</f>
        <v>自分自身に / 状態異常耐性</v>
      </c>
      <c r="M86" s="63" t="str">
        <f t="shared" si="37"/>
        <v xml:space="preserve">[effect:tolerance, target:myself, turn:-1, tolerance_effect:virus, count:-1],[effect:tolerance, target:myself, turn:-1, tolerance_effect:sleep, count:-1, animation:enemy_tolerance],[effect:change_panel_ratio, turn:-1, block_type:heal, val:0],[effect:break_enchance_enemy, val:0.001, lowest_val:0, count :-1, status:attack, turn:-1, block:block_heart, target:myself, calc:mul, animation:enemy_enhance_attack]    </v>
      </c>
      <c r="N86" s="48" t="str">
        <f>IFERROR(LEFT(M86,FIND("],",M86)+#REF!),M86)</f>
        <v xml:space="preserve">[effect:tolerance, target:myself, turn:-1, tolerance_effect:virus, count:-1],[effect:tolerance, target:myself, turn:-1, tolerance_effect:sleep, count:-1, animation:enemy_tolerance],[effect:change_panel_ratio, turn:-1, block_type:heal, val:0],[effect:break_enchance_enemy, val:0.001, lowest_val:0, count :-1, status:attack, turn:-1, block:block_heart, target:myself, calc:mul, animation:enemy_enhance_attack]    </v>
      </c>
      <c r="O86" s="63">
        <f t="shared" si="38"/>
        <v>9</v>
      </c>
      <c r="P86" s="63">
        <f t="shared" si="39"/>
        <v>18</v>
      </c>
      <c r="Q86" s="63">
        <f t="shared" si="40"/>
        <v>27</v>
      </c>
      <c r="R86" s="63">
        <f t="shared" si="41"/>
        <v>33</v>
      </c>
      <c r="S86" s="63" t="str">
        <f>IFERROR(VLOOKUP(MID(N86,Q86,R86-Q86),[6]skilldef!$C:$D,2,FALSE),"-") &amp; " / " &amp; IFERROR(VLOOKUP(MID(N86,O86,P86-O86),[6]skilldef!$A:$B,2,FALSE),"-")</f>
        <v>自分自身に / 状態異常耐性</v>
      </c>
      <c r="T86" s="48" t="str">
        <f t="shared" si="42"/>
        <v xml:space="preserve">[effect:tolerance, target:myself, turn:-1, tolerance_effect:sleep, count:-1, animation:enemy_tolerance],[effect:change_panel_ratio, turn:-1, block_type:heal, val:0],[effect:break_enchance_enemy, val:0.001, lowest_val:0, count :-1, status:attack, turn:-1, block:block_heart, target:myself, calc:mul, animation:enemy_enhance_attack]    </v>
      </c>
      <c r="U86" s="63">
        <f t="shared" si="43"/>
        <v>9</v>
      </c>
      <c r="V86" s="63">
        <f t="shared" si="44"/>
        <v>18</v>
      </c>
      <c r="W86" s="63">
        <f t="shared" si="45"/>
        <v>27</v>
      </c>
      <c r="X86" s="63">
        <f t="shared" si="46"/>
        <v>33</v>
      </c>
      <c r="Y86" s="63" t="str">
        <f>IFERROR(VLOOKUP(MID(T86,W86,X86-W86),[6]skilldef!$C:$D,2,FALSE),"-") &amp; " / " &amp; IFERROR(VLOOKUP(MID(T86,U86,V86-U86),[6]skilldef!$A:$B,2,FALSE),"-")</f>
        <v>自分自身に / 状態異常耐性</v>
      </c>
      <c r="Z86" s="50"/>
      <c r="AA86" s="52"/>
      <c r="AB86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</sheetPr>
  <dimension ref="A1:K89"/>
  <sheetViews>
    <sheetView showGridLines="0" workbookViewId="0">
      <pane ySplit="1" topLeftCell="A70" activePane="bottomLeft" state="frozenSplit"/>
      <selection pane="bottomLeft" activeCell="C90" sqref="C90"/>
    </sheetView>
  </sheetViews>
  <sheetFormatPr baseColWidth="12" defaultColWidth="12.83203125" defaultRowHeight="21" customHeight="1" x14ac:dyDescent="0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>
      <c r="A2" s="22">
        <v>50002001</v>
      </c>
      <c r="B2" s="47">
        <v>0</v>
      </c>
      <c r="C2" s="47" t="s">
        <v>89</v>
      </c>
      <c r="D2" s="47">
        <v>100</v>
      </c>
      <c r="E2" s="47" t="s">
        <v>211</v>
      </c>
      <c r="F2" s="47" t="s">
        <v>211</v>
      </c>
      <c r="G2" s="47" t="s">
        <v>211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>
      <c r="A3" s="22">
        <v>50002002</v>
      </c>
      <c r="B3" s="47">
        <v>0</v>
      </c>
      <c r="C3" s="47" t="s">
        <v>89</v>
      </c>
      <c r="D3" s="47">
        <v>100</v>
      </c>
      <c r="E3" s="47" t="s">
        <v>211</v>
      </c>
      <c r="F3" s="47" t="s">
        <v>211</v>
      </c>
      <c r="G3" s="47" t="s">
        <v>211</v>
      </c>
      <c r="H3" s="47" t="s">
        <v>90</v>
      </c>
      <c r="I3" s="47" t="s">
        <v>90</v>
      </c>
      <c r="J3" s="48">
        <f t="shared" ref="J3:J66" si="1">D3</f>
        <v>100</v>
      </c>
    </row>
    <row r="4" spans="1:11" ht="21" customHeight="1">
      <c r="A4" s="22">
        <v>50002003</v>
      </c>
      <c r="B4" s="47">
        <v>0</v>
      </c>
      <c r="C4" s="47" t="s">
        <v>89</v>
      </c>
      <c r="D4" s="47">
        <v>100</v>
      </c>
      <c r="E4" s="47" t="s">
        <v>211</v>
      </c>
      <c r="F4" s="47" t="s">
        <v>211</v>
      </c>
      <c r="G4" s="47" t="s">
        <v>211</v>
      </c>
      <c r="H4" s="47" t="s">
        <v>90</v>
      </c>
      <c r="I4" s="47" t="s">
        <v>90</v>
      </c>
      <c r="J4" s="48">
        <f t="shared" si="1"/>
        <v>100</v>
      </c>
    </row>
    <row r="5" spans="1:11" ht="21" customHeight="1">
      <c r="A5" s="22">
        <v>50002004</v>
      </c>
      <c r="B5" s="47">
        <v>0</v>
      </c>
      <c r="C5" s="47" t="s">
        <v>89</v>
      </c>
      <c r="D5" s="47">
        <v>100</v>
      </c>
      <c r="E5" s="47" t="s">
        <v>211</v>
      </c>
      <c r="F5" s="47" t="s">
        <v>211</v>
      </c>
      <c r="G5" s="47" t="s">
        <v>211</v>
      </c>
      <c r="H5" s="47" t="s">
        <v>90</v>
      </c>
      <c r="I5" s="47" t="s">
        <v>90</v>
      </c>
      <c r="J5" s="48">
        <f t="shared" si="1"/>
        <v>100</v>
      </c>
    </row>
    <row r="6" spans="1:11" ht="21" customHeight="1">
      <c r="A6" s="22">
        <v>50002005</v>
      </c>
      <c r="B6" s="47">
        <v>0</v>
      </c>
      <c r="C6" s="47" t="s">
        <v>89</v>
      </c>
      <c r="D6" s="47">
        <v>100</v>
      </c>
      <c r="E6" s="47" t="s">
        <v>211</v>
      </c>
      <c r="F6" s="47" t="s">
        <v>211</v>
      </c>
      <c r="G6" s="47" t="s">
        <v>53</v>
      </c>
      <c r="H6" s="47" t="s">
        <v>90</v>
      </c>
      <c r="I6" s="47" t="s">
        <v>90</v>
      </c>
      <c r="J6" s="48">
        <f t="shared" si="1"/>
        <v>100</v>
      </c>
    </row>
    <row r="7" spans="1:11" ht="21" customHeight="1">
      <c r="A7" s="22">
        <v>50002006</v>
      </c>
      <c r="B7" s="47">
        <v>1</v>
      </c>
      <c r="C7" s="47" t="s">
        <v>89</v>
      </c>
      <c r="D7" s="47">
        <v>100</v>
      </c>
      <c r="E7" s="47" t="s">
        <v>211</v>
      </c>
      <c r="F7" s="47" t="s">
        <v>211</v>
      </c>
      <c r="G7" s="47">
        <v>1</v>
      </c>
      <c r="H7" s="47" t="s">
        <v>90</v>
      </c>
      <c r="I7" s="47" t="s">
        <v>90</v>
      </c>
      <c r="J7" s="48">
        <f t="shared" si="1"/>
        <v>100</v>
      </c>
    </row>
    <row r="8" spans="1:11" ht="21" customHeight="1">
      <c r="A8" s="22">
        <v>50002007</v>
      </c>
      <c r="B8" s="47">
        <v>0</v>
      </c>
      <c r="C8" s="47" t="s">
        <v>89</v>
      </c>
      <c r="D8" s="47">
        <v>40</v>
      </c>
      <c r="E8" s="47" t="s">
        <v>211</v>
      </c>
      <c r="F8" s="47" t="s">
        <v>211</v>
      </c>
      <c r="G8" s="47" t="s">
        <v>211</v>
      </c>
      <c r="H8" s="47" t="s">
        <v>53</v>
      </c>
      <c r="I8" s="47" t="s">
        <v>90</v>
      </c>
      <c r="J8" s="48">
        <f t="shared" si="1"/>
        <v>40</v>
      </c>
    </row>
    <row r="9" spans="1:11" ht="21" customHeight="1">
      <c r="A9" s="22">
        <v>50002008</v>
      </c>
      <c r="B9" s="47">
        <v>0</v>
      </c>
      <c r="C9" s="47" t="s">
        <v>89</v>
      </c>
      <c r="D9" s="47">
        <v>100</v>
      </c>
      <c r="E9" s="47" t="s">
        <v>211</v>
      </c>
      <c r="F9" s="47" t="s">
        <v>211</v>
      </c>
      <c r="G9" s="47">
        <v>1</v>
      </c>
      <c r="H9" s="47">
        <v>3</v>
      </c>
      <c r="I9" s="47" t="s">
        <v>90</v>
      </c>
      <c r="J9" s="48">
        <f t="shared" si="1"/>
        <v>100</v>
      </c>
    </row>
    <row r="10" spans="1:11" ht="21" customHeight="1">
      <c r="A10" s="22">
        <v>50002009</v>
      </c>
      <c r="B10" s="47">
        <v>0</v>
      </c>
      <c r="C10" s="47" t="s">
        <v>89</v>
      </c>
      <c r="D10" s="47">
        <v>100</v>
      </c>
      <c r="E10" s="47">
        <v>50</v>
      </c>
      <c r="F10" s="47" t="s">
        <v>211</v>
      </c>
      <c r="G10" s="47">
        <v>1</v>
      </c>
      <c r="H10" s="47" t="s">
        <v>90</v>
      </c>
      <c r="I10" s="47" t="s">
        <v>90</v>
      </c>
      <c r="J10" s="48">
        <f t="shared" si="1"/>
        <v>100</v>
      </c>
    </row>
    <row r="11" spans="1:11" ht="21" customHeight="1">
      <c r="A11" s="22">
        <v>50002010</v>
      </c>
      <c r="B11" s="47">
        <v>0</v>
      </c>
      <c r="C11" s="47" t="s">
        <v>89</v>
      </c>
      <c r="D11" s="47">
        <v>100</v>
      </c>
      <c r="E11" s="47" t="s">
        <v>211</v>
      </c>
      <c r="F11" s="47" t="s">
        <v>211</v>
      </c>
      <c r="G11" s="47">
        <v>1</v>
      </c>
      <c r="H11" s="47" t="s">
        <v>90</v>
      </c>
      <c r="I11" s="47">
        <v>7</v>
      </c>
      <c r="J11" s="48">
        <f t="shared" si="1"/>
        <v>100</v>
      </c>
    </row>
    <row r="12" spans="1:11" ht="21" customHeight="1">
      <c r="A12" s="22">
        <v>50002011</v>
      </c>
      <c r="B12" s="47">
        <v>0</v>
      </c>
      <c r="C12" s="47" t="s">
        <v>89</v>
      </c>
      <c r="D12" s="47">
        <v>100</v>
      </c>
      <c r="E12" s="47" t="s">
        <v>211</v>
      </c>
      <c r="F12" s="47" t="s">
        <v>211</v>
      </c>
      <c r="G12" s="47">
        <v>1</v>
      </c>
      <c r="H12" s="47" t="s">
        <v>90</v>
      </c>
      <c r="I12" s="47">
        <v>5</v>
      </c>
      <c r="J12" s="48">
        <f t="shared" si="1"/>
        <v>100</v>
      </c>
    </row>
    <row r="13" spans="1:11" ht="21" customHeight="1">
      <c r="A13" s="22">
        <v>50002012</v>
      </c>
      <c r="B13" s="47">
        <v>0</v>
      </c>
      <c r="C13" s="47" t="s">
        <v>89</v>
      </c>
      <c r="D13" s="47">
        <v>100</v>
      </c>
      <c r="E13" s="47" t="s">
        <v>211</v>
      </c>
      <c r="F13" s="47" t="s">
        <v>211</v>
      </c>
      <c r="G13" s="47" t="s">
        <v>211</v>
      </c>
      <c r="H13" s="47" t="s">
        <v>90</v>
      </c>
      <c r="I13" s="47" t="s">
        <v>90</v>
      </c>
      <c r="J13" s="48">
        <f t="shared" si="1"/>
        <v>100</v>
      </c>
    </row>
    <row r="14" spans="1:11" ht="21" customHeight="1">
      <c r="A14" s="22">
        <v>50002013</v>
      </c>
      <c r="B14" s="47">
        <v>0</v>
      </c>
      <c r="C14" s="47" t="s">
        <v>89</v>
      </c>
      <c r="D14" s="47">
        <v>100</v>
      </c>
      <c r="E14" s="47" t="s">
        <v>211</v>
      </c>
      <c r="F14" s="47" t="s">
        <v>211</v>
      </c>
      <c r="G14" s="47" t="s">
        <v>211</v>
      </c>
      <c r="H14" s="47" t="s">
        <v>90</v>
      </c>
      <c r="I14" s="47" t="s">
        <v>90</v>
      </c>
      <c r="J14" s="48">
        <f t="shared" si="1"/>
        <v>100</v>
      </c>
    </row>
    <row r="15" spans="1:11" ht="21" customHeight="1">
      <c r="A15" s="22">
        <v>50002014</v>
      </c>
      <c r="B15" s="47">
        <v>0</v>
      </c>
      <c r="C15" s="47" t="s">
        <v>89</v>
      </c>
      <c r="D15" s="47">
        <v>100</v>
      </c>
      <c r="E15" s="47" t="s">
        <v>211</v>
      </c>
      <c r="F15" s="47" t="s">
        <v>211</v>
      </c>
      <c r="G15" s="47" t="s">
        <v>211</v>
      </c>
      <c r="H15" s="47" t="s">
        <v>90</v>
      </c>
      <c r="I15" s="47" t="s">
        <v>90</v>
      </c>
      <c r="J15" s="48">
        <f t="shared" si="1"/>
        <v>100</v>
      </c>
    </row>
    <row r="16" spans="1:11" ht="21" customHeight="1">
      <c r="A16" s="22">
        <v>50002015</v>
      </c>
      <c r="B16" s="47">
        <v>0</v>
      </c>
      <c r="C16" s="47" t="s">
        <v>89</v>
      </c>
      <c r="D16" s="47">
        <v>100</v>
      </c>
      <c r="E16" s="47" t="s">
        <v>211</v>
      </c>
      <c r="F16" s="47" t="s">
        <v>211</v>
      </c>
      <c r="G16" s="47" t="s">
        <v>211</v>
      </c>
      <c r="H16" s="47" t="s">
        <v>90</v>
      </c>
      <c r="I16" s="47" t="s">
        <v>90</v>
      </c>
      <c r="J16" s="48">
        <f t="shared" si="1"/>
        <v>100</v>
      </c>
    </row>
    <row r="17" spans="1:10" ht="21" customHeight="1">
      <c r="A17" s="22">
        <v>50002016</v>
      </c>
      <c r="B17" s="47">
        <v>0</v>
      </c>
      <c r="C17" s="47">
        <v>10</v>
      </c>
      <c r="D17" s="47">
        <v>100</v>
      </c>
      <c r="E17" s="47" t="s">
        <v>211</v>
      </c>
      <c r="F17" s="47" t="s">
        <v>211</v>
      </c>
      <c r="G17" s="47" t="s">
        <v>211</v>
      </c>
      <c r="H17" s="47" t="s">
        <v>53</v>
      </c>
      <c r="I17" s="47" t="s">
        <v>90</v>
      </c>
      <c r="J17" s="48">
        <f t="shared" si="1"/>
        <v>100</v>
      </c>
    </row>
    <row r="18" spans="1:10" ht="21" customHeight="1">
      <c r="A18" s="22">
        <v>50002017</v>
      </c>
      <c r="B18" s="47">
        <v>1</v>
      </c>
      <c r="C18" s="47" t="s">
        <v>89</v>
      </c>
      <c r="D18" s="47">
        <v>100</v>
      </c>
      <c r="E18" s="47" t="s">
        <v>211</v>
      </c>
      <c r="F18" s="47" t="s">
        <v>211</v>
      </c>
      <c r="G18" s="47">
        <v>1</v>
      </c>
      <c r="H18" s="47" t="s">
        <v>90</v>
      </c>
      <c r="I18" s="47" t="s">
        <v>90</v>
      </c>
      <c r="J18" s="48">
        <f t="shared" si="1"/>
        <v>100</v>
      </c>
    </row>
    <row r="19" spans="1:10" ht="21" customHeight="1">
      <c r="A19" s="22">
        <v>50002018</v>
      </c>
      <c r="B19" s="47">
        <v>0</v>
      </c>
      <c r="C19" s="47" t="s">
        <v>89</v>
      </c>
      <c r="D19" s="47">
        <v>100</v>
      </c>
      <c r="E19" s="47" t="s">
        <v>211</v>
      </c>
      <c r="F19" s="47" t="s">
        <v>211</v>
      </c>
      <c r="G19" s="47">
        <v>1</v>
      </c>
      <c r="H19" s="47" t="s">
        <v>90</v>
      </c>
      <c r="I19" s="47">
        <v>245</v>
      </c>
      <c r="J19" s="48">
        <f t="shared" si="1"/>
        <v>100</v>
      </c>
    </row>
    <row r="20" spans="1:10" ht="21" customHeight="1">
      <c r="A20" s="22">
        <v>50002019</v>
      </c>
      <c r="B20" s="47">
        <v>0</v>
      </c>
      <c r="C20" s="47" t="s">
        <v>89</v>
      </c>
      <c r="D20" s="47">
        <v>100</v>
      </c>
      <c r="E20" s="47" t="s">
        <v>211</v>
      </c>
      <c r="F20" s="47" t="s">
        <v>211</v>
      </c>
      <c r="G20" s="47" t="s">
        <v>211</v>
      </c>
      <c r="H20" s="47" t="s">
        <v>90</v>
      </c>
      <c r="I20" s="47" t="s">
        <v>90</v>
      </c>
      <c r="J20" s="48">
        <f t="shared" si="1"/>
        <v>100</v>
      </c>
    </row>
    <row r="21" spans="1:10" ht="21" customHeight="1">
      <c r="A21" s="22">
        <v>50002020</v>
      </c>
      <c r="B21" s="47">
        <v>0</v>
      </c>
      <c r="C21" s="47" t="s">
        <v>89</v>
      </c>
      <c r="D21" s="47">
        <v>100</v>
      </c>
      <c r="E21" s="47" t="s">
        <v>211</v>
      </c>
      <c r="F21" s="47" t="s">
        <v>211</v>
      </c>
      <c r="G21" s="47" t="s">
        <v>211</v>
      </c>
      <c r="H21" s="47" t="s">
        <v>90</v>
      </c>
      <c r="I21" s="47" t="s">
        <v>90</v>
      </c>
      <c r="J21" s="48">
        <f t="shared" si="1"/>
        <v>100</v>
      </c>
    </row>
    <row r="22" spans="1:10" ht="21" customHeight="1">
      <c r="A22" s="22">
        <v>50002021</v>
      </c>
      <c r="B22" s="47">
        <v>0</v>
      </c>
      <c r="C22" s="47">
        <v>10</v>
      </c>
      <c r="D22" s="47">
        <v>100</v>
      </c>
      <c r="E22" s="47" t="s">
        <v>211</v>
      </c>
      <c r="F22" s="47" t="s">
        <v>211</v>
      </c>
      <c r="G22" s="47" t="s">
        <v>211</v>
      </c>
      <c r="H22" s="47" t="s">
        <v>53</v>
      </c>
      <c r="I22" s="47" t="s">
        <v>90</v>
      </c>
      <c r="J22" s="48">
        <f t="shared" si="1"/>
        <v>100</v>
      </c>
    </row>
    <row r="23" spans="1:10" ht="21" customHeight="1">
      <c r="A23" s="22">
        <v>50002022</v>
      </c>
      <c r="B23" s="47">
        <v>1</v>
      </c>
      <c r="C23" s="47" t="s">
        <v>89</v>
      </c>
      <c r="D23" s="47">
        <v>100</v>
      </c>
      <c r="E23" s="47" t="s">
        <v>211</v>
      </c>
      <c r="F23" s="47" t="s">
        <v>211</v>
      </c>
      <c r="G23" s="47">
        <v>1</v>
      </c>
      <c r="H23" s="47" t="s">
        <v>90</v>
      </c>
      <c r="I23" s="47" t="s">
        <v>90</v>
      </c>
      <c r="J23" s="48">
        <f t="shared" si="1"/>
        <v>100</v>
      </c>
    </row>
    <row r="24" spans="1:10" ht="21" customHeight="1">
      <c r="A24" s="22">
        <v>50002023</v>
      </c>
      <c r="B24" s="47">
        <v>0</v>
      </c>
      <c r="C24" s="47" t="s">
        <v>89</v>
      </c>
      <c r="D24" s="47">
        <v>100</v>
      </c>
      <c r="E24" s="47" t="s">
        <v>211</v>
      </c>
      <c r="F24" s="47" t="s">
        <v>211</v>
      </c>
      <c r="G24" s="47">
        <v>1</v>
      </c>
      <c r="H24" s="47" t="s">
        <v>90</v>
      </c>
      <c r="I24" s="47">
        <v>245</v>
      </c>
      <c r="J24" s="48">
        <f t="shared" si="1"/>
        <v>100</v>
      </c>
    </row>
    <row r="25" spans="1:10" ht="21" customHeight="1">
      <c r="A25" s="22">
        <v>50002024</v>
      </c>
      <c r="B25" s="47">
        <v>0</v>
      </c>
      <c r="C25" s="47" t="s">
        <v>89</v>
      </c>
      <c r="D25" s="47">
        <v>100</v>
      </c>
      <c r="E25" s="47" t="s">
        <v>211</v>
      </c>
      <c r="F25" s="47" t="s">
        <v>211</v>
      </c>
      <c r="G25" s="47" t="s">
        <v>211</v>
      </c>
      <c r="H25" s="47" t="s">
        <v>90</v>
      </c>
      <c r="I25" s="47" t="s">
        <v>90</v>
      </c>
      <c r="J25" s="48">
        <f t="shared" si="1"/>
        <v>100</v>
      </c>
    </row>
    <row r="26" spans="1:10" ht="21" customHeight="1">
      <c r="A26" s="22">
        <v>50002025</v>
      </c>
      <c r="B26" s="47">
        <v>0</v>
      </c>
      <c r="C26" s="47" t="s">
        <v>89</v>
      </c>
      <c r="D26" s="47">
        <v>100</v>
      </c>
      <c r="E26" s="47" t="s">
        <v>211</v>
      </c>
      <c r="F26" s="47" t="s">
        <v>211</v>
      </c>
      <c r="G26" s="47" t="s">
        <v>211</v>
      </c>
      <c r="H26" s="47" t="s">
        <v>90</v>
      </c>
      <c r="I26" s="47" t="s">
        <v>90</v>
      </c>
      <c r="J26" s="48">
        <f t="shared" si="1"/>
        <v>100</v>
      </c>
    </row>
    <row r="27" spans="1:10" ht="21" customHeight="1">
      <c r="A27" s="22">
        <v>50002026</v>
      </c>
      <c r="B27" s="47">
        <v>1</v>
      </c>
      <c r="C27" s="47" t="s">
        <v>89</v>
      </c>
      <c r="D27" s="47">
        <v>100</v>
      </c>
      <c r="E27" s="47" t="s">
        <v>211</v>
      </c>
      <c r="F27" s="47" t="s">
        <v>211</v>
      </c>
      <c r="G27" s="47">
        <v>1</v>
      </c>
      <c r="H27" s="47" t="s">
        <v>90</v>
      </c>
      <c r="I27" s="47" t="s">
        <v>90</v>
      </c>
      <c r="J27" s="48">
        <f t="shared" si="1"/>
        <v>100</v>
      </c>
    </row>
    <row r="28" spans="1:10" ht="21" customHeight="1">
      <c r="A28" s="22">
        <v>50002027</v>
      </c>
      <c r="B28" s="47">
        <v>0</v>
      </c>
      <c r="C28" s="47" t="s">
        <v>89</v>
      </c>
      <c r="D28" s="47">
        <v>30</v>
      </c>
      <c r="E28" s="47" t="s">
        <v>211</v>
      </c>
      <c r="F28" s="47" t="s">
        <v>211</v>
      </c>
      <c r="G28" s="47" t="s">
        <v>211</v>
      </c>
      <c r="H28" s="47" t="s">
        <v>90</v>
      </c>
      <c r="I28" s="47" t="s">
        <v>90</v>
      </c>
      <c r="J28" s="48">
        <f t="shared" si="1"/>
        <v>30</v>
      </c>
    </row>
    <row r="29" spans="1:10" ht="21" customHeight="1">
      <c r="A29" s="22">
        <v>50002028</v>
      </c>
      <c r="B29" s="47">
        <v>0</v>
      </c>
      <c r="C29" s="47" t="s">
        <v>89</v>
      </c>
      <c r="D29" s="47">
        <v>100</v>
      </c>
      <c r="E29" s="47" t="s">
        <v>211</v>
      </c>
      <c r="F29" s="47" t="s">
        <v>211</v>
      </c>
      <c r="G29" s="47" t="s">
        <v>211</v>
      </c>
      <c r="H29" s="47" t="s">
        <v>90</v>
      </c>
      <c r="I29" s="47" t="s">
        <v>90</v>
      </c>
      <c r="J29" s="48">
        <f t="shared" si="1"/>
        <v>100</v>
      </c>
    </row>
    <row r="30" spans="1:10" ht="21" customHeight="1">
      <c r="A30" s="22">
        <v>50002029</v>
      </c>
      <c r="B30" s="47">
        <v>0</v>
      </c>
      <c r="C30" s="47" t="s">
        <v>89</v>
      </c>
      <c r="D30" s="47">
        <v>100</v>
      </c>
      <c r="E30" s="47" t="s">
        <v>211</v>
      </c>
      <c r="F30" s="47" t="s">
        <v>211</v>
      </c>
      <c r="G30" s="47" t="s">
        <v>211</v>
      </c>
      <c r="H30" s="47" t="s">
        <v>90</v>
      </c>
      <c r="I30" s="47" t="s">
        <v>90</v>
      </c>
      <c r="J30" s="48">
        <f t="shared" si="1"/>
        <v>100</v>
      </c>
    </row>
    <row r="31" spans="1:10" ht="21" customHeight="1">
      <c r="A31" s="22">
        <v>50002030</v>
      </c>
      <c r="B31" s="47">
        <v>0</v>
      </c>
      <c r="C31" s="47" t="s">
        <v>89</v>
      </c>
      <c r="D31" s="47">
        <v>100</v>
      </c>
      <c r="E31" s="47" t="s">
        <v>211</v>
      </c>
      <c r="F31" s="47" t="s">
        <v>211</v>
      </c>
      <c r="G31" s="47" t="s">
        <v>211</v>
      </c>
      <c r="H31" s="47" t="s">
        <v>90</v>
      </c>
      <c r="I31" s="47" t="s">
        <v>90</v>
      </c>
      <c r="J31" s="48">
        <f t="shared" si="1"/>
        <v>100</v>
      </c>
    </row>
    <row r="32" spans="1:10" ht="21" customHeight="1">
      <c r="A32" s="22">
        <v>50002031</v>
      </c>
      <c r="B32" s="47">
        <v>1</v>
      </c>
      <c r="C32" s="47" t="s">
        <v>89</v>
      </c>
      <c r="D32" s="47">
        <v>100</v>
      </c>
      <c r="E32" s="47" t="s">
        <v>211</v>
      </c>
      <c r="F32" s="47" t="s">
        <v>211</v>
      </c>
      <c r="G32" s="47">
        <v>1</v>
      </c>
      <c r="H32" s="47" t="s">
        <v>90</v>
      </c>
      <c r="I32" s="47" t="s">
        <v>90</v>
      </c>
      <c r="J32" s="48">
        <f t="shared" si="1"/>
        <v>100</v>
      </c>
    </row>
    <row r="33" spans="1:10" ht="21" customHeight="1">
      <c r="A33" s="22">
        <v>50002032</v>
      </c>
      <c r="B33" s="47">
        <v>0</v>
      </c>
      <c r="C33" s="47" t="s">
        <v>89</v>
      </c>
      <c r="D33" s="47">
        <v>50</v>
      </c>
      <c r="E33" s="47" t="s">
        <v>211</v>
      </c>
      <c r="F33" s="47" t="s">
        <v>211</v>
      </c>
      <c r="G33" s="47" t="s">
        <v>211</v>
      </c>
      <c r="H33" s="47" t="s">
        <v>90</v>
      </c>
      <c r="I33" s="47" t="s">
        <v>90</v>
      </c>
      <c r="J33" s="48">
        <f t="shared" si="1"/>
        <v>50</v>
      </c>
    </row>
    <row r="34" spans="1:10" ht="21" customHeight="1">
      <c r="A34" s="22">
        <v>50002033</v>
      </c>
      <c r="B34" s="47">
        <v>0</v>
      </c>
      <c r="C34" s="47" t="s">
        <v>89</v>
      </c>
      <c r="D34" s="47">
        <v>50</v>
      </c>
      <c r="E34" s="47" t="s">
        <v>211</v>
      </c>
      <c r="F34" s="47" t="s">
        <v>211</v>
      </c>
      <c r="G34" s="47" t="s">
        <v>211</v>
      </c>
      <c r="H34" s="47" t="s">
        <v>90</v>
      </c>
      <c r="I34" s="47" t="s">
        <v>90</v>
      </c>
      <c r="J34" s="48">
        <f t="shared" si="1"/>
        <v>50</v>
      </c>
    </row>
    <row r="35" spans="1:10" ht="21" customHeight="1">
      <c r="A35" s="22">
        <v>50002034</v>
      </c>
      <c r="B35" s="47">
        <v>0</v>
      </c>
      <c r="C35" s="47" t="s">
        <v>89</v>
      </c>
      <c r="D35" s="47">
        <v>100</v>
      </c>
      <c r="E35" s="47">
        <v>60</v>
      </c>
      <c r="F35" s="47" t="s">
        <v>211</v>
      </c>
      <c r="G35" s="47">
        <v>1</v>
      </c>
      <c r="H35" s="47" t="s">
        <v>90</v>
      </c>
      <c r="I35" s="47" t="s">
        <v>90</v>
      </c>
      <c r="J35" s="48">
        <f t="shared" si="1"/>
        <v>100</v>
      </c>
    </row>
    <row r="36" spans="1:10" ht="21" customHeight="1">
      <c r="A36" s="22">
        <v>50002035</v>
      </c>
      <c r="B36" s="47">
        <v>0</v>
      </c>
      <c r="C36" s="47" t="s">
        <v>89</v>
      </c>
      <c r="D36" s="47">
        <v>100</v>
      </c>
      <c r="E36" s="47">
        <v>40</v>
      </c>
      <c r="F36" s="47" t="s">
        <v>211</v>
      </c>
      <c r="G36" s="47">
        <v>1</v>
      </c>
      <c r="H36" s="47" t="s">
        <v>90</v>
      </c>
      <c r="I36" s="47" t="s">
        <v>90</v>
      </c>
      <c r="J36" s="48">
        <f t="shared" si="1"/>
        <v>100</v>
      </c>
    </row>
    <row r="37" spans="1:10" ht="21" customHeight="1">
      <c r="A37" s="22">
        <v>50002036</v>
      </c>
      <c r="B37" s="47">
        <v>0</v>
      </c>
      <c r="C37" s="47" t="s">
        <v>89</v>
      </c>
      <c r="D37" s="47">
        <v>100</v>
      </c>
      <c r="E37" s="47" t="s">
        <v>211</v>
      </c>
      <c r="F37" s="47" t="s">
        <v>211</v>
      </c>
      <c r="G37" s="47" t="s">
        <v>211</v>
      </c>
      <c r="H37" s="47" t="s">
        <v>90</v>
      </c>
      <c r="I37" s="47" t="s">
        <v>90</v>
      </c>
      <c r="J37" s="48">
        <f t="shared" si="1"/>
        <v>100</v>
      </c>
    </row>
    <row r="38" spans="1:10" ht="21" customHeight="1">
      <c r="A38" s="22">
        <v>50002037</v>
      </c>
      <c r="B38" s="47">
        <v>0</v>
      </c>
      <c r="C38" s="47" t="s">
        <v>89</v>
      </c>
      <c r="D38" s="47">
        <v>100</v>
      </c>
      <c r="E38" s="47" t="s">
        <v>211</v>
      </c>
      <c r="F38" s="47" t="s">
        <v>211</v>
      </c>
      <c r="G38" s="47" t="s">
        <v>211</v>
      </c>
      <c r="H38" s="47" t="s">
        <v>90</v>
      </c>
      <c r="I38" s="47" t="s">
        <v>90</v>
      </c>
      <c r="J38" s="48">
        <f t="shared" si="1"/>
        <v>100</v>
      </c>
    </row>
    <row r="39" spans="1:10" ht="21" customHeight="1">
      <c r="A39" s="22">
        <v>50002038</v>
      </c>
      <c r="B39" s="47">
        <v>0</v>
      </c>
      <c r="C39" s="47" t="s">
        <v>89</v>
      </c>
      <c r="D39" s="47">
        <v>100</v>
      </c>
      <c r="E39" s="47" t="s">
        <v>211</v>
      </c>
      <c r="F39" s="47" t="s">
        <v>211</v>
      </c>
      <c r="G39" s="47" t="s">
        <v>211</v>
      </c>
      <c r="H39" s="47" t="s">
        <v>90</v>
      </c>
      <c r="I39" s="47" t="s">
        <v>90</v>
      </c>
      <c r="J39" s="48">
        <f t="shared" si="1"/>
        <v>100</v>
      </c>
    </row>
    <row r="40" spans="1:10" ht="21" customHeight="1">
      <c r="A40" s="22">
        <v>50002039</v>
      </c>
      <c r="B40" s="47">
        <v>0</v>
      </c>
      <c r="C40" s="47" t="s">
        <v>89</v>
      </c>
      <c r="D40" s="47">
        <v>100</v>
      </c>
      <c r="E40" s="47" t="s">
        <v>211</v>
      </c>
      <c r="F40" s="47" t="s">
        <v>211</v>
      </c>
      <c r="G40" s="47" t="s">
        <v>211</v>
      </c>
      <c r="H40" s="47" t="s">
        <v>90</v>
      </c>
      <c r="I40" s="47" t="s">
        <v>90</v>
      </c>
      <c r="J40" s="48">
        <f t="shared" si="1"/>
        <v>100</v>
      </c>
    </row>
    <row r="41" spans="1:10" ht="21" customHeight="1">
      <c r="A41" s="22">
        <v>50002040</v>
      </c>
      <c r="B41" s="47">
        <v>0</v>
      </c>
      <c r="C41" s="47" t="s">
        <v>89</v>
      </c>
      <c r="D41" s="47">
        <v>100</v>
      </c>
      <c r="E41" s="47" t="s">
        <v>211</v>
      </c>
      <c r="F41" s="47" t="s">
        <v>211</v>
      </c>
      <c r="G41" s="47" t="s">
        <v>211</v>
      </c>
      <c r="H41" s="47" t="s">
        <v>90</v>
      </c>
      <c r="I41" s="47" t="s">
        <v>90</v>
      </c>
      <c r="J41" s="48">
        <f t="shared" si="1"/>
        <v>100</v>
      </c>
    </row>
    <row r="42" spans="1:10" ht="21" customHeight="1">
      <c r="A42" s="22">
        <v>50002041</v>
      </c>
      <c r="B42" s="47">
        <v>1</v>
      </c>
      <c r="C42" s="47" t="s">
        <v>89</v>
      </c>
      <c r="D42" s="47">
        <v>100</v>
      </c>
      <c r="E42" s="47" t="s">
        <v>211</v>
      </c>
      <c r="F42" s="47" t="s">
        <v>211</v>
      </c>
      <c r="G42" s="47">
        <v>1</v>
      </c>
      <c r="H42" s="47" t="s">
        <v>90</v>
      </c>
      <c r="I42" s="47" t="s">
        <v>90</v>
      </c>
      <c r="J42" s="48">
        <f t="shared" si="1"/>
        <v>100</v>
      </c>
    </row>
    <row r="43" spans="1:10" ht="21" customHeight="1">
      <c r="A43" s="22">
        <v>50002042</v>
      </c>
      <c r="B43" s="47">
        <v>0</v>
      </c>
      <c r="C43" s="47" t="s">
        <v>89</v>
      </c>
      <c r="D43" s="47">
        <v>50</v>
      </c>
      <c r="E43" s="47" t="s">
        <v>211</v>
      </c>
      <c r="F43" s="47" t="s">
        <v>211</v>
      </c>
      <c r="G43" s="47" t="s">
        <v>211</v>
      </c>
      <c r="H43" s="47" t="s">
        <v>90</v>
      </c>
      <c r="I43" s="47" t="s">
        <v>90</v>
      </c>
      <c r="J43" s="48">
        <f t="shared" si="1"/>
        <v>50</v>
      </c>
    </row>
    <row r="44" spans="1:10" ht="21" customHeight="1">
      <c r="A44" s="22">
        <v>50002043</v>
      </c>
      <c r="B44" s="47">
        <v>0</v>
      </c>
      <c r="C44" s="47" t="s">
        <v>89</v>
      </c>
      <c r="D44" s="47">
        <v>50</v>
      </c>
      <c r="E44" s="47" t="s">
        <v>211</v>
      </c>
      <c r="F44" s="47" t="s">
        <v>211</v>
      </c>
      <c r="G44" s="47" t="s">
        <v>211</v>
      </c>
      <c r="H44" s="47" t="s">
        <v>90</v>
      </c>
      <c r="I44" s="47" t="s">
        <v>90</v>
      </c>
      <c r="J44" s="48">
        <f t="shared" si="1"/>
        <v>50</v>
      </c>
    </row>
    <row r="45" spans="1:10" ht="21" customHeight="1">
      <c r="A45" s="22">
        <v>50002044</v>
      </c>
      <c r="B45" s="47">
        <v>0</v>
      </c>
      <c r="C45" s="47">
        <v>10</v>
      </c>
      <c r="D45" s="47">
        <v>100</v>
      </c>
      <c r="E45" s="47">
        <v>40</v>
      </c>
      <c r="F45" s="47" t="s">
        <v>211</v>
      </c>
      <c r="G45" s="47">
        <v>1</v>
      </c>
      <c r="H45" s="47" t="s">
        <v>90</v>
      </c>
      <c r="I45" s="47" t="s">
        <v>90</v>
      </c>
      <c r="J45" s="48">
        <f t="shared" si="1"/>
        <v>100</v>
      </c>
    </row>
    <row r="46" spans="1:10" ht="21" customHeight="1">
      <c r="A46" s="22">
        <v>50002045</v>
      </c>
      <c r="B46" s="47">
        <v>0</v>
      </c>
      <c r="C46" s="47">
        <v>5</v>
      </c>
      <c r="D46" s="47">
        <v>100</v>
      </c>
      <c r="E46" s="47">
        <v>40</v>
      </c>
      <c r="F46" s="47" t="s">
        <v>211</v>
      </c>
      <c r="G46" s="47" t="s">
        <v>211</v>
      </c>
      <c r="H46" s="47" t="s">
        <v>90</v>
      </c>
      <c r="I46" s="47" t="s">
        <v>90</v>
      </c>
      <c r="J46" s="48">
        <f t="shared" si="1"/>
        <v>100</v>
      </c>
    </row>
    <row r="47" spans="1:10" ht="21" customHeight="1">
      <c r="A47" s="22">
        <v>50002046</v>
      </c>
      <c r="B47" s="47">
        <v>0</v>
      </c>
      <c r="C47" s="47">
        <v>5</v>
      </c>
      <c r="D47" s="47">
        <v>100</v>
      </c>
      <c r="E47" s="47">
        <v>40</v>
      </c>
      <c r="F47" s="47" t="s">
        <v>211</v>
      </c>
      <c r="G47" s="47" t="s">
        <v>211</v>
      </c>
      <c r="H47" s="47" t="s">
        <v>90</v>
      </c>
      <c r="I47" s="47" t="s">
        <v>90</v>
      </c>
      <c r="J47" s="48">
        <f t="shared" si="1"/>
        <v>100</v>
      </c>
    </row>
    <row r="48" spans="1:10" ht="21" customHeight="1">
      <c r="A48" s="22">
        <v>50002047</v>
      </c>
      <c r="B48" s="47">
        <v>0</v>
      </c>
      <c r="C48" s="47">
        <v>5</v>
      </c>
      <c r="D48" s="47">
        <v>100</v>
      </c>
      <c r="E48" s="47">
        <v>40</v>
      </c>
      <c r="F48" s="47" t="s">
        <v>211</v>
      </c>
      <c r="G48" s="47" t="s">
        <v>211</v>
      </c>
      <c r="H48" s="47" t="s">
        <v>90</v>
      </c>
      <c r="I48" s="47" t="s">
        <v>90</v>
      </c>
      <c r="J48" s="48">
        <f t="shared" si="1"/>
        <v>100</v>
      </c>
    </row>
    <row r="49" spans="1:10" ht="21" customHeight="1">
      <c r="A49" s="22">
        <v>50002048</v>
      </c>
      <c r="B49" s="47">
        <v>0</v>
      </c>
      <c r="C49" s="47">
        <v>5</v>
      </c>
      <c r="D49" s="47">
        <v>100</v>
      </c>
      <c r="E49" s="47">
        <v>40</v>
      </c>
      <c r="F49" s="47" t="s">
        <v>211</v>
      </c>
      <c r="G49" s="47" t="s">
        <v>211</v>
      </c>
      <c r="H49" s="47" t="s">
        <v>90</v>
      </c>
      <c r="I49" s="47" t="s">
        <v>90</v>
      </c>
      <c r="J49" s="48">
        <f t="shared" si="1"/>
        <v>100</v>
      </c>
    </row>
    <row r="50" spans="1:10" ht="21" customHeight="1">
      <c r="A50" s="22">
        <v>50002049</v>
      </c>
      <c r="B50" s="47">
        <v>0</v>
      </c>
      <c r="C50" s="47" t="s">
        <v>89</v>
      </c>
      <c r="D50" s="47">
        <v>100</v>
      </c>
      <c r="E50" s="47" t="s">
        <v>211</v>
      </c>
      <c r="F50" s="47" t="s">
        <v>211</v>
      </c>
      <c r="G50" s="47" t="s">
        <v>211</v>
      </c>
      <c r="H50" s="47" t="s">
        <v>90</v>
      </c>
      <c r="I50" s="47" t="s">
        <v>90</v>
      </c>
      <c r="J50" s="48">
        <f t="shared" si="1"/>
        <v>100</v>
      </c>
    </row>
    <row r="51" spans="1:10" ht="21" customHeight="1">
      <c r="A51" s="22">
        <v>50002050</v>
      </c>
      <c r="B51" s="47">
        <v>0</v>
      </c>
      <c r="C51" s="47" t="s">
        <v>89</v>
      </c>
      <c r="D51" s="47">
        <v>100</v>
      </c>
      <c r="E51" s="47" t="s">
        <v>211</v>
      </c>
      <c r="F51" s="47" t="s">
        <v>211</v>
      </c>
      <c r="G51" s="47" t="s">
        <v>211</v>
      </c>
      <c r="H51" s="47" t="s">
        <v>90</v>
      </c>
      <c r="I51" s="47" t="s">
        <v>90</v>
      </c>
      <c r="J51" s="48">
        <f t="shared" si="1"/>
        <v>100</v>
      </c>
    </row>
    <row r="52" spans="1:10" ht="21" customHeight="1">
      <c r="A52" s="22">
        <v>50002051</v>
      </c>
      <c r="B52" s="47">
        <v>1</v>
      </c>
      <c r="C52" s="47" t="s">
        <v>89</v>
      </c>
      <c r="D52" s="47">
        <v>100</v>
      </c>
      <c r="E52" s="47" t="s">
        <v>211</v>
      </c>
      <c r="F52" s="47" t="s">
        <v>211</v>
      </c>
      <c r="G52" s="47">
        <v>1</v>
      </c>
      <c r="H52" s="47" t="s">
        <v>90</v>
      </c>
      <c r="I52" s="47" t="s">
        <v>90</v>
      </c>
      <c r="J52" s="48">
        <f t="shared" si="1"/>
        <v>100</v>
      </c>
    </row>
    <row r="53" spans="1:10" ht="21" customHeight="1">
      <c r="A53" s="22">
        <v>50002052</v>
      </c>
      <c r="B53" s="47">
        <v>0</v>
      </c>
      <c r="C53" s="47" t="s">
        <v>89</v>
      </c>
      <c r="D53" s="47">
        <v>50</v>
      </c>
      <c r="E53" s="47" t="s">
        <v>211</v>
      </c>
      <c r="F53" s="47" t="s">
        <v>211</v>
      </c>
      <c r="G53" s="47" t="s">
        <v>211</v>
      </c>
      <c r="H53" s="47" t="s">
        <v>90</v>
      </c>
      <c r="I53" s="47" t="s">
        <v>90</v>
      </c>
      <c r="J53" s="48">
        <f t="shared" si="1"/>
        <v>50</v>
      </c>
    </row>
    <row r="54" spans="1:10" ht="21" customHeight="1">
      <c r="A54" s="22">
        <v>50002053</v>
      </c>
      <c r="B54" s="47">
        <v>0</v>
      </c>
      <c r="C54" s="47">
        <v>10</v>
      </c>
      <c r="D54" s="47">
        <v>100</v>
      </c>
      <c r="E54" s="47" t="s">
        <v>211</v>
      </c>
      <c r="F54" s="47" t="s">
        <v>211</v>
      </c>
      <c r="G54" s="47">
        <v>1</v>
      </c>
      <c r="H54" s="47">
        <v>4</v>
      </c>
      <c r="I54" s="47" t="s">
        <v>90</v>
      </c>
      <c r="J54" s="48">
        <f t="shared" si="1"/>
        <v>100</v>
      </c>
    </row>
    <row r="55" spans="1:10" ht="21" customHeight="1">
      <c r="A55" s="22">
        <v>50002054</v>
      </c>
      <c r="B55" s="47">
        <v>0</v>
      </c>
      <c r="C55" s="47">
        <v>5</v>
      </c>
      <c r="D55" s="47">
        <v>100</v>
      </c>
      <c r="E55" s="47" t="s">
        <v>261</v>
      </c>
      <c r="F55" s="47" t="s">
        <v>211</v>
      </c>
      <c r="G55" s="47">
        <v>1</v>
      </c>
      <c r="H55" s="47">
        <v>5</v>
      </c>
      <c r="I55" s="47" t="s">
        <v>90</v>
      </c>
      <c r="J55" s="48">
        <f t="shared" si="1"/>
        <v>100</v>
      </c>
    </row>
    <row r="56" spans="1:10" ht="21" customHeight="1">
      <c r="A56" s="22">
        <v>50002055</v>
      </c>
      <c r="B56" s="47">
        <v>0</v>
      </c>
      <c r="C56" s="47">
        <v>20</v>
      </c>
      <c r="D56" s="47">
        <v>100</v>
      </c>
      <c r="E56" s="47">
        <v>10</v>
      </c>
      <c r="F56" s="47" t="s">
        <v>211</v>
      </c>
      <c r="G56" s="47">
        <v>1</v>
      </c>
      <c r="H56" s="47" t="s">
        <v>264</v>
      </c>
      <c r="I56" s="47" t="s">
        <v>90</v>
      </c>
      <c r="J56" s="48">
        <f t="shared" si="1"/>
        <v>100</v>
      </c>
    </row>
    <row r="57" spans="1:10" ht="21" customHeight="1">
      <c r="A57" s="22">
        <v>50002056</v>
      </c>
      <c r="B57" s="47">
        <v>0</v>
      </c>
      <c r="C57" s="47" t="s">
        <v>89</v>
      </c>
      <c r="D57" s="47">
        <v>100</v>
      </c>
      <c r="E57" s="47" t="s">
        <v>211</v>
      </c>
      <c r="F57" s="47" t="s">
        <v>211</v>
      </c>
      <c r="G57" s="47" t="s">
        <v>211</v>
      </c>
      <c r="H57" s="47" t="s">
        <v>90</v>
      </c>
      <c r="I57" s="47" t="s">
        <v>90</v>
      </c>
      <c r="J57" s="48">
        <f t="shared" si="1"/>
        <v>100</v>
      </c>
    </row>
    <row r="58" spans="1:10" ht="21" customHeight="1">
      <c r="A58" s="22">
        <v>50002057</v>
      </c>
      <c r="B58" s="47">
        <v>0</v>
      </c>
      <c r="C58" s="47" t="s">
        <v>89</v>
      </c>
      <c r="D58" s="47">
        <v>100</v>
      </c>
      <c r="E58" s="47" t="s">
        <v>211</v>
      </c>
      <c r="F58" s="47" t="s">
        <v>211</v>
      </c>
      <c r="G58" s="47" t="s">
        <v>211</v>
      </c>
      <c r="H58" s="47" t="s">
        <v>90</v>
      </c>
      <c r="I58" s="47" t="s">
        <v>90</v>
      </c>
      <c r="J58" s="48">
        <f t="shared" si="1"/>
        <v>100</v>
      </c>
    </row>
    <row r="59" spans="1:10" ht="21" customHeight="1">
      <c r="A59" s="22">
        <v>50002058</v>
      </c>
      <c r="B59" s="47">
        <v>0</v>
      </c>
      <c r="C59" s="47" t="s">
        <v>89</v>
      </c>
      <c r="D59" s="47">
        <v>100</v>
      </c>
      <c r="E59" s="47" t="s">
        <v>211</v>
      </c>
      <c r="F59" s="47" t="s">
        <v>211</v>
      </c>
      <c r="G59" s="47" t="s">
        <v>211</v>
      </c>
      <c r="H59" s="47" t="s">
        <v>90</v>
      </c>
      <c r="I59" s="47" t="s">
        <v>90</v>
      </c>
      <c r="J59" s="48">
        <f t="shared" si="1"/>
        <v>100</v>
      </c>
    </row>
    <row r="60" spans="1:10" ht="21" customHeight="1">
      <c r="A60" s="22">
        <v>50002059</v>
      </c>
      <c r="B60" s="47">
        <v>0</v>
      </c>
      <c r="C60" s="47" t="s">
        <v>89</v>
      </c>
      <c r="D60" s="47">
        <v>100</v>
      </c>
      <c r="E60" s="47" t="s">
        <v>211</v>
      </c>
      <c r="F60" s="47" t="s">
        <v>211</v>
      </c>
      <c r="G60" s="47" t="s">
        <v>211</v>
      </c>
      <c r="H60" s="47" t="s">
        <v>90</v>
      </c>
      <c r="I60" s="47" t="s">
        <v>90</v>
      </c>
      <c r="J60" s="48">
        <f t="shared" si="1"/>
        <v>100</v>
      </c>
    </row>
    <row r="61" spans="1:10" ht="21" customHeight="1">
      <c r="A61" s="22">
        <v>50002060</v>
      </c>
      <c r="B61" s="47">
        <v>0</v>
      </c>
      <c r="C61" s="47" t="s">
        <v>89</v>
      </c>
      <c r="D61" s="47">
        <v>100</v>
      </c>
      <c r="E61" s="47" t="s">
        <v>211</v>
      </c>
      <c r="F61" s="47" t="s">
        <v>211</v>
      </c>
      <c r="G61" s="47" t="s">
        <v>211</v>
      </c>
      <c r="H61" s="47" t="s">
        <v>90</v>
      </c>
      <c r="I61" s="47" t="s">
        <v>90</v>
      </c>
      <c r="J61" s="48">
        <f t="shared" si="1"/>
        <v>100</v>
      </c>
    </row>
    <row r="62" spans="1:10" ht="21" customHeight="1">
      <c r="A62" s="22">
        <v>50002061</v>
      </c>
      <c r="B62" s="47">
        <v>1</v>
      </c>
      <c r="C62" s="47" t="s">
        <v>89</v>
      </c>
      <c r="D62" s="47">
        <v>100</v>
      </c>
      <c r="E62" s="47" t="s">
        <v>211</v>
      </c>
      <c r="F62" s="47" t="s">
        <v>211</v>
      </c>
      <c r="G62" s="47">
        <v>1</v>
      </c>
      <c r="H62" s="47" t="s">
        <v>261</v>
      </c>
      <c r="I62" s="47" t="s">
        <v>90</v>
      </c>
      <c r="J62" s="48">
        <f t="shared" si="1"/>
        <v>100</v>
      </c>
    </row>
    <row r="63" spans="1:10" ht="21" customHeight="1">
      <c r="A63" s="22">
        <v>50002062</v>
      </c>
      <c r="B63" s="47">
        <v>0</v>
      </c>
      <c r="C63" s="47" t="s">
        <v>89</v>
      </c>
      <c r="D63" s="47">
        <v>30</v>
      </c>
      <c r="E63" s="47" t="s">
        <v>211</v>
      </c>
      <c r="F63" s="47" t="s">
        <v>211</v>
      </c>
      <c r="G63" s="47" t="s">
        <v>211</v>
      </c>
      <c r="H63" s="47" t="s">
        <v>90</v>
      </c>
      <c r="I63" s="47" t="s">
        <v>90</v>
      </c>
      <c r="J63" s="48">
        <f t="shared" si="1"/>
        <v>30</v>
      </c>
    </row>
    <row r="64" spans="1:10" ht="21" customHeight="1">
      <c r="A64" s="22">
        <v>50002063</v>
      </c>
      <c r="B64" s="47">
        <v>0</v>
      </c>
      <c r="C64" s="47" t="s">
        <v>89</v>
      </c>
      <c r="D64" s="47">
        <v>30</v>
      </c>
      <c r="E64" s="47" t="s">
        <v>211</v>
      </c>
      <c r="F64" s="47" t="s">
        <v>211</v>
      </c>
      <c r="G64" s="47" t="s">
        <v>211</v>
      </c>
      <c r="H64" s="47" t="s">
        <v>90</v>
      </c>
      <c r="I64" s="47" t="s">
        <v>90</v>
      </c>
      <c r="J64" s="48">
        <f t="shared" si="1"/>
        <v>30</v>
      </c>
    </row>
    <row r="65" spans="1:10" ht="21" customHeight="1">
      <c r="A65" s="22">
        <v>50002064</v>
      </c>
      <c r="B65" s="47">
        <v>0</v>
      </c>
      <c r="C65" s="47">
        <v>10</v>
      </c>
      <c r="D65" s="47">
        <v>100</v>
      </c>
      <c r="E65" s="47" t="s">
        <v>53</v>
      </c>
      <c r="F65" s="47" t="s">
        <v>53</v>
      </c>
      <c r="G65" s="47">
        <v>1</v>
      </c>
      <c r="H65" s="47">
        <v>8</v>
      </c>
      <c r="I65" s="47" t="s">
        <v>90</v>
      </c>
      <c r="J65" s="48">
        <f t="shared" si="1"/>
        <v>100</v>
      </c>
    </row>
    <row r="66" spans="1:10" ht="21" customHeight="1">
      <c r="A66" s="22">
        <v>50002065</v>
      </c>
      <c r="B66" s="47">
        <v>0</v>
      </c>
      <c r="C66" s="47">
        <v>5</v>
      </c>
      <c r="D66" s="47">
        <v>100</v>
      </c>
      <c r="E66" s="47" t="s">
        <v>53</v>
      </c>
      <c r="F66" s="47" t="s">
        <v>53</v>
      </c>
      <c r="G66" s="47">
        <v>1</v>
      </c>
      <c r="H66" s="47">
        <v>9</v>
      </c>
      <c r="I66" s="47" t="s">
        <v>90</v>
      </c>
      <c r="J66" s="48">
        <f t="shared" si="1"/>
        <v>100</v>
      </c>
    </row>
    <row r="67" spans="1:10" ht="21" customHeight="1">
      <c r="A67" s="22">
        <v>50002066</v>
      </c>
      <c r="B67" s="47">
        <v>0</v>
      </c>
      <c r="C67" s="47">
        <v>20</v>
      </c>
      <c r="D67" s="47">
        <v>100</v>
      </c>
      <c r="E67" s="47">
        <v>30</v>
      </c>
      <c r="F67" s="47" t="s">
        <v>53</v>
      </c>
      <c r="G67" s="47">
        <v>1</v>
      </c>
      <c r="H67" s="47" t="s">
        <v>90</v>
      </c>
      <c r="I67" s="47" t="s">
        <v>90</v>
      </c>
      <c r="J67" s="48">
        <f t="shared" ref="J67:J81" si="2">D67</f>
        <v>100</v>
      </c>
    </row>
    <row r="68" spans="1:10" ht="21" customHeight="1">
      <c r="A68" s="22">
        <v>50002067</v>
      </c>
      <c r="B68" s="47">
        <v>0</v>
      </c>
      <c r="C68" s="47" t="s">
        <v>89</v>
      </c>
      <c r="D68" s="47">
        <v>100</v>
      </c>
      <c r="E68" s="47" t="s">
        <v>211</v>
      </c>
      <c r="F68" s="47" t="s">
        <v>211</v>
      </c>
      <c r="G68" s="47" t="s">
        <v>211</v>
      </c>
      <c r="H68" s="47" t="s">
        <v>90</v>
      </c>
      <c r="I68" s="47" t="s">
        <v>90</v>
      </c>
      <c r="J68" s="48">
        <f t="shared" si="2"/>
        <v>100</v>
      </c>
    </row>
    <row r="69" spans="1:10" ht="21" customHeight="1">
      <c r="A69" s="22">
        <v>50002068</v>
      </c>
      <c r="B69" s="47">
        <v>0</v>
      </c>
      <c r="C69" s="47" t="s">
        <v>89</v>
      </c>
      <c r="D69" s="47">
        <v>100</v>
      </c>
      <c r="E69" s="47" t="s">
        <v>211</v>
      </c>
      <c r="F69" s="47" t="s">
        <v>211</v>
      </c>
      <c r="G69" s="47" t="s">
        <v>211</v>
      </c>
      <c r="H69" s="47" t="s">
        <v>90</v>
      </c>
      <c r="I69" s="47" t="s">
        <v>90</v>
      </c>
      <c r="J69" s="48">
        <f t="shared" si="2"/>
        <v>100</v>
      </c>
    </row>
    <row r="70" spans="1:10" ht="21" customHeight="1">
      <c r="A70" s="22">
        <v>50002069</v>
      </c>
      <c r="B70" s="47">
        <v>0</v>
      </c>
      <c r="C70" s="47" t="s">
        <v>89</v>
      </c>
      <c r="D70" s="47">
        <v>100</v>
      </c>
      <c r="E70" s="47" t="s">
        <v>211</v>
      </c>
      <c r="F70" s="47" t="s">
        <v>211</v>
      </c>
      <c r="G70" s="47" t="s">
        <v>211</v>
      </c>
      <c r="H70" s="47" t="s">
        <v>90</v>
      </c>
      <c r="I70" s="47" t="s">
        <v>90</v>
      </c>
      <c r="J70" s="48">
        <f t="shared" si="2"/>
        <v>100</v>
      </c>
    </row>
    <row r="71" spans="1:10" ht="21" customHeight="1">
      <c r="A71" s="22">
        <v>50002070</v>
      </c>
      <c r="B71" s="47">
        <v>0</v>
      </c>
      <c r="C71" s="47" t="s">
        <v>89</v>
      </c>
      <c r="D71" s="47">
        <v>100</v>
      </c>
      <c r="E71" s="47" t="s">
        <v>211</v>
      </c>
      <c r="F71" s="47" t="s">
        <v>211</v>
      </c>
      <c r="G71" s="47" t="s">
        <v>211</v>
      </c>
      <c r="H71" s="47" t="s">
        <v>90</v>
      </c>
      <c r="I71" s="47" t="s">
        <v>90</v>
      </c>
      <c r="J71" s="48">
        <f t="shared" si="2"/>
        <v>100</v>
      </c>
    </row>
    <row r="72" spans="1:10" ht="21" customHeight="1">
      <c r="A72" s="22">
        <v>50002071</v>
      </c>
      <c r="B72" s="47">
        <v>1</v>
      </c>
      <c r="C72" s="47" t="s">
        <v>89</v>
      </c>
      <c r="D72" s="47">
        <v>100</v>
      </c>
      <c r="E72" s="47" t="s">
        <v>211</v>
      </c>
      <c r="F72" s="47" t="s">
        <v>211</v>
      </c>
      <c r="G72" s="47">
        <v>1</v>
      </c>
      <c r="H72" s="47" t="s">
        <v>90</v>
      </c>
      <c r="I72" s="47" t="s">
        <v>90</v>
      </c>
      <c r="J72" s="48">
        <f t="shared" si="2"/>
        <v>100</v>
      </c>
    </row>
    <row r="73" spans="1:10" ht="21" customHeight="1">
      <c r="A73" s="22">
        <v>50002072</v>
      </c>
      <c r="B73" s="47">
        <v>0</v>
      </c>
      <c r="C73" s="47" t="s">
        <v>89</v>
      </c>
      <c r="D73" s="47">
        <v>30</v>
      </c>
      <c r="E73" s="47" t="s">
        <v>211</v>
      </c>
      <c r="F73" s="47" t="s">
        <v>211</v>
      </c>
      <c r="G73" s="47" t="s">
        <v>211</v>
      </c>
      <c r="H73" s="47" t="s">
        <v>90</v>
      </c>
      <c r="I73" s="47" t="s">
        <v>90</v>
      </c>
      <c r="J73" s="48">
        <f t="shared" si="2"/>
        <v>30</v>
      </c>
    </row>
    <row r="74" spans="1:10" ht="21" customHeight="1">
      <c r="A74" s="22">
        <v>50002073</v>
      </c>
      <c r="B74" s="47">
        <v>0</v>
      </c>
      <c r="C74" s="47" t="s">
        <v>89</v>
      </c>
      <c r="D74" s="47">
        <v>30</v>
      </c>
      <c r="E74" s="47" t="s">
        <v>211</v>
      </c>
      <c r="F74" s="47" t="s">
        <v>211</v>
      </c>
      <c r="G74" s="47" t="s">
        <v>211</v>
      </c>
      <c r="H74" s="47" t="s">
        <v>90</v>
      </c>
      <c r="I74" s="47" t="s">
        <v>90</v>
      </c>
      <c r="J74" s="48">
        <f t="shared" si="2"/>
        <v>30</v>
      </c>
    </row>
    <row r="75" spans="1:10" ht="21" customHeight="1">
      <c r="A75" s="22">
        <v>50002074</v>
      </c>
      <c r="B75" s="47">
        <v>0</v>
      </c>
      <c r="C75" s="47" t="s">
        <v>89</v>
      </c>
      <c r="D75" s="47">
        <v>100</v>
      </c>
      <c r="E75" s="47">
        <v>80</v>
      </c>
      <c r="F75" s="47" t="s">
        <v>211</v>
      </c>
      <c r="G75" s="47">
        <v>1</v>
      </c>
      <c r="H75" s="47" t="s">
        <v>90</v>
      </c>
      <c r="I75" s="47" t="s">
        <v>90</v>
      </c>
      <c r="J75" s="48">
        <f t="shared" si="2"/>
        <v>100</v>
      </c>
    </row>
    <row r="76" spans="1:10" ht="21" customHeight="1">
      <c r="A76" s="22">
        <v>50002075</v>
      </c>
      <c r="B76" s="47">
        <v>0</v>
      </c>
      <c r="C76" s="47">
        <v>10</v>
      </c>
      <c r="D76" s="47">
        <v>100</v>
      </c>
      <c r="E76" s="47" t="s">
        <v>53</v>
      </c>
      <c r="F76" s="47">
        <v>30</v>
      </c>
      <c r="G76" s="47">
        <v>1</v>
      </c>
      <c r="H76" s="98">
        <v>8</v>
      </c>
      <c r="I76" s="47" t="s">
        <v>90</v>
      </c>
      <c r="J76" s="48">
        <f t="shared" si="2"/>
        <v>100</v>
      </c>
    </row>
    <row r="77" spans="1:10" ht="21" customHeight="1">
      <c r="A77" s="22">
        <v>50002076</v>
      </c>
      <c r="B77" s="47">
        <v>0</v>
      </c>
      <c r="C77" s="47">
        <v>5</v>
      </c>
      <c r="D77" s="47">
        <v>100</v>
      </c>
      <c r="E77" s="47" t="s">
        <v>53</v>
      </c>
      <c r="F77" s="47">
        <v>30</v>
      </c>
      <c r="G77" s="47">
        <v>1</v>
      </c>
      <c r="H77" s="47">
        <v>9</v>
      </c>
      <c r="I77" s="47" t="s">
        <v>90</v>
      </c>
      <c r="J77" s="48">
        <f t="shared" si="2"/>
        <v>100</v>
      </c>
    </row>
    <row r="78" spans="1:10" ht="21" customHeight="1">
      <c r="A78" s="22">
        <v>50002077</v>
      </c>
      <c r="B78" s="47">
        <v>0</v>
      </c>
      <c r="C78" s="47">
        <v>20</v>
      </c>
      <c r="D78" s="47">
        <v>100</v>
      </c>
      <c r="E78" s="47">
        <v>30</v>
      </c>
      <c r="F78" s="47" t="s">
        <v>211</v>
      </c>
      <c r="G78" s="47">
        <v>1</v>
      </c>
      <c r="H78" s="47" t="s">
        <v>90</v>
      </c>
      <c r="I78" s="47" t="s">
        <v>90</v>
      </c>
      <c r="J78" s="48">
        <f t="shared" si="2"/>
        <v>100</v>
      </c>
    </row>
    <row r="79" spans="1:10" ht="21" customHeight="1">
      <c r="A79" s="22">
        <v>50002078</v>
      </c>
      <c r="B79" s="47">
        <v>0</v>
      </c>
      <c r="C79" s="47">
        <v>15</v>
      </c>
      <c r="D79" s="47">
        <v>100</v>
      </c>
      <c r="E79" s="47">
        <v>30</v>
      </c>
      <c r="F79" s="47" t="s">
        <v>211</v>
      </c>
      <c r="G79" s="47">
        <v>1</v>
      </c>
      <c r="H79" s="47" t="s">
        <v>90</v>
      </c>
      <c r="I79" s="47" t="s">
        <v>90</v>
      </c>
      <c r="J79" s="48">
        <f t="shared" si="2"/>
        <v>100</v>
      </c>
    </row>
    <row r="80" spans="1:10" ht="21" customHeight="1">
      <c r="A80" s="22">
        <v>50002079</v>
      </c>
      <c r="B80" s="47">
        <v>0</v>
      </c>
      <c r="C80" s="47" t="s">
        <v>89</v>
      </c>
      <c r="D80" s="47">
        <v>100</v>
      </c>
      <c r="E80" s="47" t="s">
        <v>211</v>
      </c>
      <c r="F80" s="47" t="s">
        <v>211</v>
      </c>
      <c r="G80" s="47" t="s">
        <v>211</v>
      </c>
      <c r="H80" s="47" t="s">
        <v>90</v>
      </c>
      <c r="I80" s="47" t="s">
        <v>90</v>
      </c>
      <c r="J80" s="48">
        <f t="shared" si="2"/>
        <v>100</v>
      </c>
    </row>
    <row r="81" spans="1:10" ht="21" customHeight="1">
      <c r="A81" s="22">
        <v>50002080</v>
      </c>
      <c r="B81" s="47">
        <v>0</v>
      </c>
      <c r="C81" s="47" t="s">
        <v>89</v>
      </c>
      <c r="D81" s="47">
        <v>100</v>
      </c>
      <c r="E81" s="47" t="s">
        <v>211</v>
      </c>
      <c r="F81" s="47" t="s">
        <v>211</v>
      </c>
      <c r="G81" s="47" t="s">
        <v>211</v>
      </c>
      <c r="H81" s="47" t="s">
        <v>90</v>
      </c>
      <c r="I81" s="47" t="s">
        <v>90</v>
      </c>
      <c r="J81" s="48">
        <f t="shared" si="2"/>
        <v>100</v>
      </c>
    </row>
    <row r="82" spans="1:10" ht="21" customHeight="1">
      <c r="A82" s="22">
        <v>50002081</v>
      </c>
      <c r="B82" s="47">
        <v>0</v>
      </c>
      <c r="C82" s="47" t="s">
        <v>53</v>
      </c>
      <c r="D82" s="47">
        <v>100</v>
      </c>
      <c r="E82" s="47" t="s">
        <v>211</v>
      </c>
      <c r="F82" s="47" t="s">
        <v>211</v>
      </c>
      <c r="G82" s="47">
        <v>1</v>
      </c>
      <c r="H82" s="47" t="s">
        <v>324</v>
      </c>
      <c r="I82" s="47">
        <v>600</v>
      </c>
      <c r="J82" s="48">
        <f t="shared" ref="J82:J83" si="3">D82</f>
        <v>100</v>
      </c>
    </row>
    <row r="83" spans="1:10" ht="21" customHeight="1">
      <c r="A83" s="22">
        <v>50002082</v>
      </c>
      <c r="B83" s="47">
        <v>0</v>
      </c>
      <c r="C83" s="47" t="s">
        <v>53</v>
      </c>
      <c r="D83" s="47">
        <v>100</v>
      </c>
      <c r="E83" s="47" t="s">
        <v>211</v>
      </c>
      <c r="F83" s="47" t="s">
        <v>211</v>
      </c>
      <c r="G83" s="47">
        <v>1</v>
      </c>
      <c r="H83" s="47" t="s">
        <v>325</v>
      </c>
      <c r="I83" s="47">
        <v>600</v>
      </c>
      <c r="J83" s="48">
        <f t="shared" si="3"/>
        <v>100</v>
      </c>
    </row>
    <row r="84" spans="1:10" ht="21" customHeight="1">
      <c r="A84" s="22">
        <v>50002083</v>
      </c>
      <c r="B84" s="47">
        <v>1</v>
      </c>
      <c r="C84" s="47">
        <v>2</v>
      </c>
      <c r="D84" s="47">
        <v>100</v>
      </c>
      <c r="E84" s="47" t="s">
        <v>211</v>
      </c>
      <c r="F84" s="47" t="s">
        <v>211</v>
      </c>
      <c r="G84" s="47">
        <v>1</v>
      </c>
      <c r="H84" s="47" t="s">
        <v>325</v>
      </c>
      <c r="I84" s="47">
        <v>433</v>
      </c>
      <c r="J84" s="48">
        <f t="shared" ref="J84:J86" si="4">D84</f>
        <v>100</v>
      </c>
    </row>
    <row r="85" spans="1:10" ht="21" customHeight="1">
      <c r="A85" s="22">
        <v>50002084</v>
      </c>
      <c r="B85" s="47">
        <v>1</v>
      </c>
      <c r="C85" s="47">
        <v>2</v>
      </c>
      <c r="D85" s="47">
        <v>100</v>
      </c>
      <c r="E85" s="47" t="s">
        <v>211</v>
      </c>
      <c r="F85" s="47" t="s">
        <v>211</v>
      </c>
      <c r="G85" s="47">
        <v>1</v>
      </c>
      <c r="H85" s="47" t="s">
        <v>325</v>
      </c>
      <c r="I85" s="47">
        <v>432</v>
      </c>
      <c r="J85" s="48">
        <f t="shared" si="4"/>
        <v>100</v>
      </c>
    </row>
    <row r="86" spans="1:10" ht="21" customHeight="1">
      <c r="A86" s="22">
        <v>50002085</v>
      </c>
      <c r="B86" s="47">
        <v>1</v>
      </c>
      <c r="C86" s="47">
        <v>2</v>
      </c>
      <c r="D86" s="47">
        <v>100</v>
      </c>
      <c r="E86" s="47" t="s">
        <v>211</v>
      </c>
      <c r="F86" s="47" t="s">
        <v>211</v>
      </c>
      <c r="G86" s="47">
        <v>1</v>
      </c>
      <c r="H86" s="47" t="s">
        <v>325</v>
      </c>
      <c r="I86" s="47">
        <v>433</v>
      </c>
      <c r="J86" s="48">
        <f t="shared" si="4"/>
        <v>100</v>
      </c>
    </row>
    <row r="87" spans="1:10" ht="21" customHeight="1">
      <c r="A87" s="22">
        <v>50002086</v>
      </c>
      <c r="B87" s="47">
        <v>1</v>
      </c>
      <c r="C87" s="47">
        <v>2</v>
      </c>
      <c r="D87" s="47">
        <v>100</v>
      </c>
      <c r="E87" s="47" t="s">
        <v>211</v>
      </c>
      <c r="F87" s="47" t="s">
        <v>211</v>
      </c>
      <c r="G87" s="47">
        <v>1</v>
      </c>
      <c r="H87" s="47" t="s">
        <v>325</v>
      </c>
      <c r="I87" s="47">
        <v>432</v>
      </c>
      <c r="J87" s="48">
        <f t="shared" ref="J87:J89" si="5">D87</f>
        <v>100</v>
      </c>
    </row>
    <row r="88" spans="1:10" ht="21" customHeight="1">
      <c r="A88" s="22">
        <v>50002087</v>
      </c>
      <c r="B88" s="47">
        <v>1</v>
      </c>
      <c r="C88" s="47">
        <v>2</v>
      </c>
      <c r="D88" s="47">
        <v>100</v>
      </c>
      <c r="E88" s="47" t="s">
        <v>211</v>
      </c>
      <c r="F88" s="47" t="s">
        <v>211</v>
      </c>
      <c r="G88" s="47">
        <v>1</v>
      </c>
      <c r="H88" s="47" t="s">
        <v>325</v>
      </c>
      <c r="I88" s="47">
        <v>433</v>
      </c>
      <c r="J88" s="48">
        <f t="shared" si="5"/>
        <v>100</v>
      </c>
    </row>
    <row r="89" spans="1:10" ht="21" customHeight="1">
      <c r="A89" s="22">
        <v>50002088</v>
      </c>
      <c r="B89" s="47">
        <v>1</v>
      </c>
      <c r="C89" s="47">
        <v>2</v>
      </c>
      <c r="D89" s="47">
        <v>100</v>
      </c>
      <c r="E89" s="47" t="s">
        <v>211</v>
      </c>
      <c r="F89" s="47" t="s">
        <v>211</v>
      </c>
      <c r="G89" s="47">
        <v>1</v>
      </c>
      <c r="H89" s="47" t="s">
        <v>325</v>
      </c>
      <c r="I89" s="47">
        <v>432</v>
      </c>
      <c r="J89" s="48">
        <f t="shared" si="5"/>
        <v>100</v>
      </c>
    </row>
  </sheetData>
  <autoFilter ref="A1:G1"/>
  <phoneticPr fontId="5"/>
  <conditionalFormatting sqref="K90:K1048576 K1:K2">
    <cfRule type="duplicateValues" dxfId="2" priority="3"/>
  </conditionalFormatting>
  <conditionalFormatting sqref="K3:K86">
    <cfRule type="duplicateValues" dxfId="1" priority="7"/>
  </conditionalFormatting>
  <conditionalFormatting sqref="K87:K89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R10"/>
  <sheetViews>
    <sheetView workbookViewId="0">
      <selection activeCell="H15" sqref="H15"/>
    </sheetView>
  </sheetViews>
  <sheetFormatPr baseColWidth="12" defaultRowHeight="18" x14ac:dyDescent="0"/>
  <cols>
    <col min="17" max="18" width="19" bestFit="1" customWidth="1"/>
  </cols>
  <sheetData>
    <row r="1" spans="1:18">
      <c r="A1" s="64" t="s">
        <v>151</v>
      </c>
      <c r="B1" s="64" t="s">
        <v>152</v>
      </c>
      <c r="C1" s="65" t="s">
        <v>153</v>
      </c>
      <c r="D1" s="71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 s="99" customFormat="1">
      <c r="A2" s="81">
        <v>50002</v>
      </c>
      <c r="B2" s="81">
        <v>1</v>
      </c>
      <c r="C2" s="81" t="str">
        <f t="shared" ref="C2:C10" si="0">A2&amp; "_"&amp;B2</f>
        <v>50002_1</v>
      </c>
      <c r="D2" s="81" t="str">
        <f>VLOOKUP(C2,[2]stages!$A:$AE,31,FALSE)</f>
        <v>everyone</v>
      </c>
      <c r="E2" s="81">
        <v>1</v>
      </c>
      <c r="F2" s="81" t="s">
        <v>169</v>
      </c>
      <c r="G2" s="81">
        <v>65000</v>
      </c>
      <c r="H2" s="81" t="s">
        <v>272</v>
      </c>
      <c r="I2" s="81">
        <v>1</v>
      </c>
      <c r="J2" s="81">
        <v>1</v>
      </c>
      <c r="K2" s="81">
        <v>0</v>
      </c>
      <c r="L2" s="81">
        <v>0</v>
      </c>
      <c r="M2" s="81">
        <v>0</v>
      </c>
      <c r="N2" s="81">
        <v>0</v>
      </c>
      <c r="O2" s="81">
        <v>1</v>
      </c>
      <c r="P2" s="81">
        <v>150</v>
      </c>
      <c r="Q2" s="81" t="s">
        <v>170</v>
      </c>
      <c r="R2" s="81" t="s">
        <v>171</v>
      </c>
    </row>
    <row r="3" spans="1:18" s="99" customFormat="1">
      <c r="A3" s="81">
        <v>50002</v>
      </c>
      <c r="B3" s="81">
        <v>1</v>
      </c>
      <c r="C3" s="81" t="str">
        <f t="shared" si="0"/>
        <v>50002_1</v>
      </c>
      <c r="D3" s="81" t="str">
        <f>VLOOKUP(C3,[2]stages!$A:$AE,31,FALSE)</f>
        <v>everyone</v>
      </c>
      <c r="E3" s="81">
        <v>2</v>
      </c>
      <c r="F3" s="81" t="s">
        <v>274</v>
      </c>
      <c r="G3" s="81">
        <v>30</v>
      </c>
      <c r="H3" s="81" t="s">
        <v>272</v>
      </c>
      <c r="I3" s="81">
        <v>1</v>
      </c>
      <c r="J3" s="81">
        <v>1</v>
      </c>
      <c r="K3" s="81">
        <v>0</v>
      </c>
      <c r="L3" s="81">
        <v>0</v>
      </c>
      <c r="M3" s="81">
        <v>0</v>
      </c>
      <c r="N3" s="81">
        <v>0</v>
      </c>
      <c r="O3" s="81">
        <v>1</v>
      </c>
      <c r="P3" s="81">
        <v>150</v>
      </c>
      <c r="Q3" s="81" t="s">
        <v>170</v>
      </c>
      <c r="R3" s="81" t="s">
        <v>171</v>
      </c>
    </row>
    <row r="4" spans="1:18" s="99" customFormat="1">
      <c r="A4" s="81">
        <v>50002</v>
      </c>
      <c r="B4" s="81">
        <v>1</v>
      </c>
      <c r="C4" s="81" t="str">
        <f t="shared" si="0"/>
        <v>50002_1</v>
      </c>
      <c r="D4" s="81" t="str">
        <f>VLOOKUP(C4,[2]stages!$A:$AE,31,FALSE)</f>
        <v>everyone</v>
      </c>
      <c r="E4" s="81">
        <v>3</v>
      </c>
      <c r="F4" s="81" t="s">
        <v>273</v>
      </c>
      <c r="G4" s="81">
        <v>342</v>
      </c>
      <c r="H4" s="81">
        <v>1</v>
      </c>
      <c r="I4" s="81">
        <v>1</v>
      </c>
      <c r="J4" s="81">
        <v>1</v>
      </c>
      <c r="K4" s="81">
        <v>0</v>
      </c>
      <c r="L4" s="81">
        <v>0</v>
      </c>
      <c r="M4" s="81">
        <v>0</v>
      </c>
      <c r="N4" s="81">
        <v>0</v>
      </c>
      <c r="O4" s="81">
        <v>1</v>
      </c>
      <c r="P4" s="81">
        <v>140</v>
      </c>
      <c r="Q4" s="81" t="s">
        <v>170</v>
      </c>
      <c r="R4" s="81" t="s">
        <v>171</v>
      </c>
    </row>
    <row r="5" spans="1:18" s="99" customFormat="1">
      <c r="A5" s="81">
        <v>50002</v>
      </c>
      <c r="B5" s="81">
        <v>1</v>
      </c>
      <c r="C5" s="81" t="str">
        <f t="shared" si="0"/>
        <v>50002_1</v>
      </c>
      <c r="D5" s="81" t="str">
        <f>VLOOKUP(C5,[2]stages!$A:$AE,31,FALSE)</f>
        <v>everyone</v>
      </c>
      <c r="E5" s="81">
        <v>4</v>
      </c>
      <c r="F5" s="81" t="s">
        <v>273</v>
      </c>
      <c r="G5" s="81">
        <v>121</v>
      </c>
      <c r="H5" s="81">
        <v>1</v>
      </c>
      <c r="I5" s="81">
        <v>1</v>
      </c>
      <c r="J5" s="81">
        <v>1</v>
      </c>
      <c r="K5" s="81">
        <v>0</v>
      </c>
      <c r="L5" s="81">
        <v>0</v>
      </c>
      <c r="M5" s="81">
        <v>0</v>
      </c>
      <c r="N5" s="81">
        <v>0</v>
      </c>
      <c r="O5" s="81">
        <v>1</v>
      </c>
      <c r="P5" s="81">
        <v>50</v>
      </c>
      <c r="Q5" s="81" t="s">
        <v>170</v>
      </c>
      <c r="R5" s="81" t="s">
        <v>171</v>
      </c>
    </row>
    <row r="6" spans="1:18" s="99" customFormat="1">
      <c r="A6" s="81">
        <v>50002</v>
      </c>
      <c r="B6" s="81">
        <v>1</v>
      </c>
      <c r="C6" s="81" t="str">
        <f t="shared" si="0"/>
        <v>50002_1</v>
      </c>
      <c r="D6" s="81" t="str">
        <f>VLOOKUP(C6,[2]stages!$A:$AE,31,FALSE)</f>
        <v>everyone</v>
      </c>
      <c r="E6" s="81">
        <v>5</v>
      </c>
      <c r="F6" s="81" t="s">
        <v>273</v>
      </c>
      <c r="G6" s="81">
        <v>122</v>
      </c>
      <c r="H6" s="81">
        <v>1</v>
      </c>
      <c r="I6" s="81">
        <v>1</v>
      </c>
      <c r="J6" s="81">
        <v>1</v>
      </c>
      <c r="K6" s="81">
        <v>0</v>
      </c>
      <c r="L6" s="81">
        <v>0</v>
      </c>
      <c r="M6" s="81">
        <v>0</v>
      </c>
      <c r="N6" s="81">
        <v>0</v>
      </c>
      <c r="O6" s="81">
        <v>1</v>
      </c>
      <c r="P6" s="81">
        <v>50</v>
      </c>
      <c r="Q6" s="81" t="s">
        <v>170</v>
      </c>
      <c r="R6" s="81" t="s">
        <v>171</v>
      </c>
    </row>
    <row r="7" spans="1:18" s="99" customFormat="1">
      <c r="A7" s="81">
        <v>50002</v>
      </c>
      <c r="B7" s="81">
        <v>1</v>
      </c>
      <c r="C7" s="81" t="str">
        <f t="shared" si="0"/>
        <v>50002_1</v>
      </c>
      <c r="D7" s="81" t="str">
        <f>VLOOKUP(C7,[2]stages!$A:$AE,31,FALSE)</f>
        <v>everyone</v>
      </c>
      <c r="E7" s="81">
        <v>6</v>
      </c>
      <c r="F7" s="81" t="s">
        <v>273</v>
      </c>
      <c r="G7" s="81">
        <v>123</v>
      </c>
      <c r="H7" s="81">
        <v>1</v>
      </c>
      <c r="I7" s="81">
        <v>1</v>
      </c>
      <c r="J7" s="81">
        <v>1</v>
      </c>
      <c r="K7" s="81">
        <v>0</v>
      </c>
      <c r="L7" s="81">
        <v>0</v>
      </c>
      <c r="M7" s="81">
        <v>0</v>
      </c>
      <c r="N7" s="81">
        <v>0</v>
      </c>
      <c r="O7" s="81">
        <v>1</v>
      </c>
      <c r="P7" s="81">
        <v>50</v>
      </c>
      <c r="Q7" s="81" t="s">
        <v>170</v>
      </c>
      <c r="R7" s="81" t="s">
        <v>171</v>
      </c>
    </row>
    <row r="8" spans="1:18" s="99" customFormat="1">
      <c r="A8" s="81">
        <v>50002</v>
      </c>
      <c r="B8" s="81">
        <v>1</v>
      </c>
      <c r="C8" s="81" t="str">
        <f t="shared" si="0"/>
        <v>50002_1</v>
      </c>
      <c r="D8" s="81" t="str">
        <f>VLOOKUP(C8,[2]stages!$A:$AE,31,FALSE)</f>
        <v>everyone</v>
      </c>
      <c r="E8" s="81">
        <v>7</v>
      </c>
      <c r="F8" s="81" t="s">
        <v>273</v>
      </c>
      <c r="G8" s="81">
        <v>125</v>
      </c>
      <c r="H8" s="81">
        <v>1</v>
      </c>
      <c r="I8" s="81">
        <v>1</v>
      </c>
      <c r="J8" s="81">
        <v>1</v>
      </c>
      <c r="K8" s="81">
        <v>0</v>
      </c>
      <c r="L8" s="81">
        <v>0</v>
      </c>
      <c r="M8" s="81">
        <v>0</v>
      </c>
      <c r="N8" s="81">
        <v>0</v>
      </c>
      <c r="O8" s="81">
        <v>1</v>
      </c>
      <c r="P8" s="81">
        <v>10</v>
      </c>
      <c r="Q8" s="81" t="s">
        <v>170</v>
      </c>
      <c r="R8" s="81" t="s">
        <v>171</v>
      </c>
    </row>
    <row r="9" spans="1:18" s="99" customFormat="1">
      <c r="A9" s="81">
        <v>50002</v>
      </c>
      <c r="B9" s="81">
        <v>1</v>
      </c>
      <c r="C9" s="81" t="str">
        <f t="shared" si="0"/>
        <v>50002_1</v>
      </c>
      <c r="D9" s="81" t="str">
        <f>VLOOKUP(C9,[2]stages!$A:$AE,31,FALSE)</f>
        <v>everyone</v>
      </c>
      <c r="E9" s="81">
        <v>8</v>
      </c>
      <c r="F9" s="81" t="s">
        <v>273</v>
      </c>
      <c r="G9" s="81">
        <v>573</v>
      </c>
      <c r="H9" s="81">
        <v>1</v>
      </c>
      <c r="I9" s="81">
        <v>1</v>
      </c>
      <c r="J9" s="81">
        <v>1</v>
      </c>
      <c r="K9" s="81">
        <v>0</v>
      </c>
      <c r="L9" s="81">
        <v>0</v>
      </c>
      <c r="M9" s="81">
        <v>0</v>
      </c>
      <c r="N9" s="81">
        <v>0</v>
      </c>
      <c r="O9" s="81">
        <v>1</v>
      </c>
      <c r="P9" s="81">
        <v>250</v>
      </c>
      <c r="Q9" s="81" t="s">
        <v>170</v>
      </c>
      <c r="R9" s="81" t="s">
        <v>171</v>
      </c>
    </row>
    <row r="10" spans="1:18" s="99" customFormat="1">
      <c r="A10" s="81">
        <v>50002</v>
      </c>
      <c r="B10" s="81">
        <v>1</v>
      </c>
      <c r="C10" s="81" t="str">
        <f t="shared" si="0"/>
        <v>50002_1</v>
      </c>
      <c r="D10" s="81" t="str">
        <f>VLOOKUP(C10,[2]stages!$A:$AE,31,FALSE)</f>
        <v>everyone</v>
      </c>
      <c r="E10" s="81">
        <v>9</v>
      </c>
      <c r="F10" s="81" t="s">
        <v>273</v>
      </c>
      <c r="G10" s="81">
        <v>352</v>
      </c>
      <c r="H10" s="81">
        <v>1</v>
      </c>
      <c r="I10" s="81">
        <v>1</v>
      </c>
      <c r="J10" s="81">
        <v>1</v>
      </c>
      <c r="K10" s="81">
        <v>0</v>
      </c>
      <c r="L10" s="81">
        <v>0</v>
      </c>
      <c r="M10" s="81">
        <v>0</v>
      </c>
      <c r="N10" s="81">
        <v>0</v>
      </c>
      <c r="O10" s="81">
        <v>1</v>
      </c>
      <c r="P10" s="81">
        <v>150</v>
      </c>
      <c r="Q10" s="81" t="s">
        <v>170</v>
      </c>
      <c r="R10" s="81" t="s">
        <v>171</v>
      </c>
    </row>
  </sheetData>
  <phoneticPr fontId="5"/>
  <dataValidations count="1">
    <dataValidation type="list" allowBlank="1" showInputMessage="1" showErrorMessage="1" sqref="F2:F10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J2" sqref="J2"/>
    </sheetView>
  </sheetViews>
  <sheetFormatPr baseColWidth="12" defaultColWidth="13" defaultRowHeight="18" outlineLevelCol="1" x14ac:dyDescent="0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>
      <c r="A1" s="76" t="s">
        <v>189</v>
      </c>
      <c r="B1" s="72" t="s">
        <v>190</v>
      </c>
      <c r="C1" s="77" t="s">
        <v>191</v>
      </c>
      <c r="D1" s="77" t="s">
        <v>33</v>
      </c>
      <c r="E1" s="72" t="s">
        <v>192</v>
      </c>
      <c r="F1" s="77" t="s">
        <v>193</v>
      </c>
      <c r="G1" s="77" t="s">
        <v>33</v>
      </c>
      <c r="H1" s="72" t="s">
        <v>194</v>
      </c>
      <c r="I1" s="92" t="s">
        <v>196</v>
      </c>
      <c r="J1" s="79" t="s">
        <v>127</v>
      </c>
      <c r="K1" s="78" t="s">
        <v>187</v>
      </c>
      <c r="L1" s="93" t="s">
        <v>186</v>
      </c>
      <c r="M1" s="80" t="s">
        <v>197</v>
      </c>
    </row>
    <row r="2" spans="1:13">
      <c r="A2" s="81" t="s">
        <v>202</v>
      </c>
      <c r="B2" s="82">
        <v>50002</v>
      </c>
      <c r="C2" s="83">
        <f ca="1">VLOOKUP($C2,OFFSET([2]quests!$A$1,0,0,COUNTA([2]quests!$A:$A),MATCH(C$1,[2]quests!$1:$1,0)-MATCH($C$1,[2]quests!$1:$1,0)+1),MATCH(C$1,[2]quests!$1:$1,0)-MATCH($C$1,[2]quests!$1:$1,0)+1,FALSE)</f>
        <v>0</v>
      </c>
      <c r="D2" s="83" t="e">
        <f ca="1">VLOOKUP($C2,OFFSET([2]quests!$A$1,0,0,COUNTA([2]quests!$A:$A),MATCH(D$1,[2]quests!$1:$1,0)-MATCH($C$1,[2]quests!$1:$1,0)+1),MATCH(D$1,[2]quests!$1:$1,0)-MATCH($C$1,[2]quests!$1:$1,0)+1,FALSE)</f>
        <v>#N/A</v>
      </c>
      <c r="E2" s="84">
        <v>1</v>
      </c>
      <c r="F2" s="83" t="str">
        <f ca="1">VLOOKUP($C2&amp;"_"&amp;$F2,OFFSET([2]stages!$A$1,0,0,COUNTA([2]stages!$A:$A),MATCH(F$1,[2]stages!$2:$2,0)-MATCH("temp_stage",[2]stages!$2:$2,0)+1),MATCH(F$1,[2]stages!$2:$2,0)-MATCH("temp_stage",[2]stages!$2:$2,0)+1,FALSE)</f>
        <v>降臨1</v>
      </c>
      <c r="G2" s="83" t="e">
        <f ca="1">VLOOKUP($C2&amp;"_"&amp;$F2,OFFSET([2]stages!$A$1,0,0,COUNTA([2]stages!$A:$A),MATCH(G$1,[2]stages!$2:$2,0)-MATCH("temp_stage",[2]stages!$2:$2,0)+1),MATCH(G$1,[2]stages!$2:$2,0)-MATCH("temp_stage",[2]stages!$2:$2,0)+1,FALSE)</f>
        <v>#N/A</v>
      </c>
      <c r="H2" s="84">
        <v>0</v>
      </c>
      <c r="I2">
        <v>50002001</v>
      </c>
      <c r="J2" s="84" t="s">
        <v>128</v>
      </c>
      <c r="K2" s="94" t="str">
        <f>VLOOKUP(I2,stage_hints_i18n!A2:E2,3,FALSE)</f>
        <v>オーディン事件の真相</v>
      </c>
      <c r="L2" s="94" t="str">
        <f>VLOOKUP(J2,stage_hints_i18n!B2:F2,3,FALSE)</f>
        <v>女王の圧政を問題に思ったオーディンは自ら_x000D_女王勢力を内側から抑え込もうと考え_x000D_単身で女王勢力に参加していた_x000D_君の力を認めたオーディンは女王事件の事を_x000D_君に託し、再びALICEの守護に就いた</v>
      </c>
      <c r="M2" s="57" t="s">
        <v>201</v>
      </c>
    </row>
    <row r="3" spans="1:13">
      <c r="A3" s="81"/>
      <c r="B3" s="82"/>
      <c r="C3" s="83"/>
      <c r="D3" s="83"/>
      <c r="E3" s="87"/>
      <c r="F3" s="83"/>
      <c r="G3" s="83"/>
      <c r="H3" s="85"/>
      <c r="J3" s="84"/>
      <c r="K3" s="94"/>
      <c r="L3" s="95"/>
      <c r="M3" s="57"/>
    </row>
    <row r="4" spans="1:13">
      <c r="A4" s="81"/>
      <c r="B4" s="82"/>
      <c r="C4" s="83"/>
      <c r="D4" s="83"/>
      <c r="E4" s="87"/>
      <c r="F4" s="83"/>
      <c r="G4" s="83"/>
      <c r="H4" s="85"/>
      <c r="J4" s="84"/>
      <c r="K4" s="94"/>
      <c r="L4" s="95"/>
      <c r="M4" s="57"/>
    </row>
    <row r="5" spans="1:13">
      <c r="A5" s="81"/>
      <c r="B5" s="82"/>
      <c r="C5" s="83"/>
      <c r="D5" s="83"/>
      <c r="E5" s="87"/>
      <c r="F5" s="83"/>
      <c r="G5" s="83"/>
      <c r="H5" s="85"/>
      <c r="J5" s="84"/>
      <c r="K5" s="94"/>
      <c r="L5" s="95"/>
      <c r="M5" s="57"/>
    </row>
    <row r="6" spans="1:13">
      <c r="A6" s="81"/>
      <c r="B6" s="82"/>
      <c r="C6" s="83"/>
      <c r="D6" s="83"/>
      <c r="E6" s="87"/>
      <c r="F6" s="83"/>
      <c r="G6" s="83"/>
      <c r="H6" s="85"/>
      <c r="J6" s="84"/>
      <c r="K6" s="94"/>
      <c r="L6" s="95"/>
      <c r="M6" s="57"/>
    </row>
    <row r="7" spans="1:13">
      <c r="A7" s="81"/>
      <c r="B7" s="82"/>
      <c r="C7" s="83"/>
      <c r="D7" s="83"/>
      <c r="E7" s="87"/>
      <c r="F7" s="83"/>
      <c r="G7" s="83"/>
      <c r="H7" s="85"/>
      <c r="J7" s="84"/>
      <c r="K7" s="94"/>
      <c r="L7" s="95"/>
      <c r="M7" s="57"/>
    </row>
    <row r="8" spans="1:13">
      <c r="A8" s="81"/>
      <c r="B8" s="82"/>
      <c r="C8" s="83"/>
      <c r="D8" s="83"/>
      <c r="E8" s="87"/>
      <c r="F8" s="83"/>
      <c r="G8" s="83"/>
      <c r="H8" s="85"/>
      <c r="J8" s="84"/>
      <c r="K8" s="94"/>
      <c r="L8" s="95"/>
      <c r="M8" s="57"/>
    </row>
    <row r="9" spans="1:13">
      <c r="A9" s="81"/>
      <c r="B9" s="82"/>
      <c r="C9" s="83"/>
      <c r="D9" s="83"/>
      <c r="E9" s="87"/>
      <c r="F9" s="83"/>
      <c r="G9" s="83"/>
      <c r="H9" s="85"/>
      <c r="J9" s="84"/>
      <c r="K9" s="94"/>
      <c r="L9" s="95"/>
      <c r="M9" s="57"/>
    </row>
    <row r="10" spans="1:13">
      <c r="A10" s="81"/>
      <c r="B10" s="82"/>
      <c r="C10" s="83"/>
      <c r="D10" s="83"/>
      <c r="E10" s="87"/>
      <c r="F10" s="83"/>
      <c r="G10" s="83"/>
      <c r="H10" s="85"/>
      <c r="J10" s="84"/>
      <c r="K10" s="94"/>
      <c r="L10" s="95"/>
      <c r="M10" s="57"/>
    </row>
    <row r="11" spans="1:13">
      <c r="A11" s="81"/>
      <c r="B11" s="82"/>
      <c r="C11" s="83"/>
      <c r="D11" s="83"/>
      <c r="E11" s="87"/>
      <c r="F11" s="83"/>
      <c r="G11" s="83"/>
      <c r="H11" s="85"/>
      <c r="J11" s="84"/>
      <c r="K11" s="94"/>
      <c r="L11" s="95"/>
      <c r="M11" s="57"/>
    </row>
    <row r="12" spans="1:13">
      <c r="A12" s="81"/>
      <c r="B12" s="82"/>
      <c r="C12" s="83"/>
      <c r="D12" s="83"/>
      <c r="E12" s="87"/>
      <c r="F12" s="83"/>
      <c r="G12" s="83"/>
      <c r="H12" s="85"/>
      <c r="J12" s="84"/>
      <c r="K12" s="94"/>
      <c r="L12" s="95"/>
      <c r="M12" s="57"/>
    </row>
    <row r="13" spans="1:13">
      <c r="A13" s="81"/>
      <c r="B13" s="82"/>
      <c r="C13" s="83"/>
      <c r="D13" s="83"/>
      <c r="E13" s="87"/>
      <c r="F13" s="83"/>
      <c r="G13" s="83"/>
      <c r="H13" s="85"/>
      <c r="J13" s="84"/>
      <c r="K13" s="94"/>
      <c r="L13" s="95"/>
      <c r="M13" s="57"/>
    </row>
    <row r="14" spans="1:13">
      <c r="A14" s="81"/>
      <c r="B14" s="82"/>
      <c r="C14" s="83"/>
      <c r="D14" s="83"/>
      <c r="E14" s="87"/>
      <c r="F14" s="83"/>
      <c r="G14" s="83"/>
      <c r="H14" s="85"/>
      <c r="J14" s="84"/>
      <c r="K14" s="94"/>
      <c r="L14" s="95"/>
      <c r="M14" s="57"/>
    </row>
    <row r="15" spans="1:13">
      <c r="A15" s="81"/>
      <c r="B15" s="82"/>
      <c r="C15" s="83"/>
      <c r="D15" s="83"/>
      <c r="E15" s="87"/>
      <c r="F15" s="83"/>
      <c r="G15" s="83"/>
      <c r="H15" s="85"/>
      <c r="J15" s="84"/>
      <c r="K15" s="94"/>
      <c r="L15" s="95"/>
      <c r="M15" s="57"/>
    </row>
    <row r="16" spans="1:13">
      <c r="A16" s="81"/>
      <c r="B16" s="82"/>
      <c r="C16" s="83"/>
      <c r="D16" s="83"/>
      <c r="E16" s="87"/>
      <c r="F16" s="83"/>
      <c r="G16" s="83"/>
      <c r="H16" s="85"/>
      <c r="J16" s="84"/>
      <c r="K16" s="94"/>
      <c r="L16" s="95"/>
      <c r="M16" s="57"/>
    </row>
    <row r="17" spans="1:13">
      <c r="A17" s="81"/>
      <c r="B17" s="82"/>
      <c r="C17" s="83"/>
      <c r="D17" s="83"/>
      <c r="E17" s="87"/>
      <c r="F17" s="83"/>
      <c r="G17" s="83"/>
      <c r="H17" s="85"/>
      <c r="J17" s="84"/>
      <c r="K17" s="94"/>
      <c r="L17" s="95"/>
      <c r="M17" s="57"/>
    </row>
    <row r="18" spans="1:13">
      <c r="A18" s="81"/>
      <c r="B18" s="82"/>
      <c r="C18" s="83"/>
      <c r="D18" s="83"/>
      <c r="E18" s="87"/>
      <c r="F18" s="83"/>
      <c r="G18" s="83"/>
      <c r="H18" s="85"/>
      <c r="J18" s="84"/>
      <c r="K18" s="94"/>
      <c r="L18" s="95"/>
      <c r="M18" s="57"/>
    </row>
    <row r="19" spans="1:13">
      <c r="A19" s="81"/>
      <c r="B19" s="82"/>
      <c r="C19" s="83"/>
      <c r="D19" s="83"/>
      <c r="E19" s="87"/>
      <c r="F19" s="83"/>
      <c r="G19" s="83"/>
      <c r="H19" s="85"/>
      <c r="J19" s="84"/>
      <c r="K19" s="94"/>
      <c r="L19" s="95"/>
      <c r="M19" s="57"/>
    </row>
    <row r="20" spans="1:13">
      <c r="A20" s="81"/>
      <c r="B20" s="82"/>
      <c r="C20" s="83"/>
      <c r="D20" s="83"/>
      <c r="E20" s="87"/>
      <c r="F20" s="83"/>
      <c r="G20" s="83"/>
      <c r="H20" s="85"/>
      <c r="J20" s="84"/>
      <c r="K20" s="94"/>
      <c r="L20" s="95"/>
      <c r="M20" s="57"/>
    </row>
    <row r="21" spans="1:13">
      <c r="A21" s="81"/>
      <c r="B21" s="82"/>
      <c r="C21" s="83"/>
      <c r="D21" s="83"/>
      <c r="E21" s="87"/>
      <c r="F21" s="83"/>
      <c r="G21" s="83"/>
      <c r="H21" s="85"/>
      <c r="J21" s="84"/>
      <c r="K21" s="94"/>
      <c r="L21" s="95"/>
      <c r="M21" s="57"/>
    </row>
    <row r="22" spans="1:13">
      <c r="A22" s="81"/>
      <c r="B22" s="82"/>
      <c r="C22" s="83"/>
      <c r="D22" s="83"/>
      <c r="E22" s="87"/>
      <c r="F22" s="83"/>
      <c r="G22" s="83"/>
      <c r="H22" s="85"/>
      <c r="J22" s="84"/>
      <c r="K22" s="94"/>
      <c r="L22" s="95"/>
      <c r="M22" s="57"/>
    </row>
    <row r="23" spans="1:13">
      <c r="A23" s="81"/>
      <c r="B23" s="82"/>
      <c r="C23" s="83"/>
      <c r="D23" s="83"/>
      <c r="E23" s="87"/>
      <c r="F23" s="83"/>
      <c r="G23" s="83"/>
      <c r="H23" s="85"/>
      <c r="J23" s="84"/>
      <c r="K23" s="94"/>
      <c r="L23" s="95"/>
      <c r="M23" s="57"/>
    </row>
    <row r="24" spans="1:13">
      <c r="A24" s="81"/>
      <c r="B24" s="82"/>
      <c r="C24" s="83"/>
      <c r="D24" s="83"/>
      <c r="E24" s="87"/>
      <c r="F24" s="83"/>
      <c r="G24" s="83"/>
      <c r="H24" s="85"/>
      <c r="J24" s="84"/>
      <c r="K24" s="94"/>
      <c r="L24" s="95"/>
      <c r="M24" s="57"/>
    </row>
    <row r="25" spans="1:13">
      <c r="A25" s="81"/>
      <c r="B25" s="82"/>
      <c r="C25" s="83"/>
      <c r="D25" s="83"/>
      <c r="E25" s="87"/>
      <c r="F25" s="83"/>
      <c r="G25" s="83"/>
      <c r="H25" s="85"/>
      <c r="J25" s="84"/>
      <c r="K25" s="94"/>
      <c r="L25" s="95"/>
      <c r="M25" s="57"/>
    </row>
    <row r="26" spans="1:13">
      <c r="A26" s="81"/>
      <c r="B26" s="82"/>
      <c r="C26" s="83"/>
      <c r="D26" s="83"/>
      <c r="E26" s="87"/>
      <c r="F26" s="83"/>
      <c r="G26" s="83"/>
      <c r="H26" s="85"/>
      <c r="J26" s="84"/>
      <c r="K26" s="94"/>
      <c r="L26" s="95"/>
      <c r="M26" s="57"/>
    </row>
    <row r="27" spans="1:13">
      <c r="A27" s="81"/>
      <c r="B27" s="82"/>
      <c r="C27" s="83"/>
      <c r="D27" s="83"/>
      <c r="E27" s="87"/>
      <c r="F27" s="83"/>
      <c r="G27" s="83"/>
      <c r="H27" s="85"/>
      <c r="J27" s="84"/>
      <c r="K27" s="94"/>
      <c r="L27" s="95"/>
      <c r="M27" s="57"/>
    </row>
    <row r="28" spans="1:13">
      <c r="A28" s="81"/>
      <c r="B28" s="82"/>
      <c r="C28" s="83"/>
      <c r="D28" s="83"/>
      <c r="E28" s="87"/>
      <c r="F28" s="83"/>
      <c r="G28" s="83"/>
      <c r="H28" s="85"/>
      <c r="J28" s="84"/>
      <c r="K28" s="94"/>
      <c r="L28" s="95"/>
      <c r="M28" s="57"/>
    </row>
    <row r="29" spans="1:13">
      <c r="A29" s="81"/>
      <c r="B29" s="82"/>
      <c r="C29" s="83"/>
      <c r="D29" s="83"/>
      <c r="E29" s="87"/>
      <c r="F29" s="83"/>
      <c r="G29" s="83"/>
      <c r="H29" s="85"/>
      <c r="J29" s="84"/>
      <c r="K29" s="94"/>
      <c r="L29" s="95"/>
      <c r="M29" s="57"/>
    </row>
    <row r="30" spans="1:13">
      <c r="A30" s="81"/>
      <c r="B30" s="82"/>
      <c r="C30" s="83"/>
      <c r="D30" s="83"/>
      <c r="E30" s="87"/>
      <c r="F30" s="83"/>
      <c r="G30" s="83"/>
      <c r="H30" s="85"/>
      <c r="J30" s="84"/>
      <c r="K30" s="94"/>
      <c r="L30" s="95"/>
      <c r="M30" s="57"/>
    </row>
    <row r="31" spans="1:13">
      <c r="A31" s="81"/>
      <c r="B31" s="82"/>
      <c r="C31" s="83"/>
      <c r="D31" s="83"/>
      <c r="E31" s="87"/>
      <c r="F31" s="83"/>
      <c r="G31" s="83"/>
      <c r="H31" s="85"/>
      <c r="J31" s="84"/>
      <c r="K31" s="94"/>
      <c r="L31" s="95"/>
      <c r="M31" s="57"/>
    </row>
    <row r="32" spans="1:13">
      <c r="A32" s="81"/>
      <c r="B32" s="82"/>
      <c r="C32" s="83"/>
      <c r="D32" s="83"/>
      <c r="E32" s="87"/>
      <c r="F32" s="83"/>
      <c r="G32" s="83"/>
      <c r="H32" s="85"/>
      <c r="J32" s="84"/>
      <c r="K32" s="94"/>
      <c r="L32" s="95"/>
      <c r="M32" s="57"/>
    </row>
    <row r="33" spans="1:13">
      <c r="A33" s="81"/>
      <c r="B33" s="82"/>
      <c r="C33" s="83"/>
      <c r="D33" s="83"/>
      <c r="E33" s="87"/>
      <c r="F33" s="83"/>
      <c r="G33" s="83"/>
      <c r="H33" s="85"/>
      <c r="J33" s="84"/>
      <c r="K33" s="94"/>
      <c r="L33" s="95"/>
      <c r="M33" s="57"/>
    </row>
    <row r="34" spans="1:13">
      <c r="A34" s="81"/>
      <c r="B34" s="82"/>
      <c r="C34" s="83"/>
      <c r="D34" s="83"/>
      <c r="E34" s="87"/>
      <c r="F34" s="83"/>
      <c r="G34" s="83"/>
      <c r="H34" s="85"/>
      <c r="J34" s="84"/>
      <c r="K34" s="94"/>
      <c r="L34" s="95"/>
      <c r="M34" s="57"/>
    </row>
    <row r="35" spans="1:13">
      <c r="A35" s="81"/>
      <c r="B35" s="82"/>
      <c r="C35" s="83"/>
      <c r="D35" s="83"/>
      <c r="E35" s="87"/>
      <c r="F35" s="83"/>
      <c r="G35" s="83"/>
      <c r="H35" s="85"/>
      <c r="J35" s="84"/>
      <c r="K35" s="94"/>
      <c r="L35" s="95"/>
      <c r="M35" s="57"/>
    </row>
    <row r="36" spans="1:13">
      <c r="A36" s="81"/>
      <c r="B36" s="82"/>
      <c r="C36" s="83"/>
      <c r="D36" s="83"/>
      <c r="E36" s="87"/>
      <c r="F36" s="83"/>
      <c r="G36" s="83"/>
      <c r="H36" s="85"/>
      <c r="J36" s="84"/>
      <c r="K36" s="94"/>
      <c r="L36" s="95"/>
      <c r="M36" s="57"/>
    </row>
    <row r="37" spans="1:13">
      <c r="A37" s="81"/>
      <c r="B37" s="82"/>
      <c r="C37" s="83"/>
      <c r="D37" s="83"/>
      <c r="E37" s="87"/>
      <c r="F37" s="83"/>
      <c r="G37" s="83"/>
      <c r="H37" s="85"/>
      <c r="J37" s="84"/>
      <c r="K37" s="94"/>
      <c r="L37" s="95"/>
      <c r="M37" s="57"/>
    </row>
    <row r="38" spans="1:13">
      <c r="A38" s="81"/>
      <c r="B38" s="82"/>
      <c r="C38" s="83"/>
      <c r="D38" s="83"/>
      <c r="E38" s="87"/>
      <c r="F38" s="83"/>
      <c r="G38" s="83"/>
      <c r="H38" s="85"/>
      <c r="J38" s="84"/>
      <c r="K38" s="94"/>
      <c r="L38" s="95"/>
      <c r="M38" s="57"/>
    </row>
    <row r="39" spans="1:13">
      <c r="A39" s="81"/>
      <c r="B39" s="82"/>
      <c r="C39" s="83"/>
      <c r="D39" s="83"/>
      <c r="E39" s="87"/>
      <c r="F39" s="83"/>
      <c r="G39" s="83"/>
      <c r="H39" s="85"/>
      <c r="J39" s="84"/>
      <c r="K39" s="94"/>
      <c r="L39" s="95"/>
      <c r="M39" s="57"/>
    </row>
    <row r="40" spans="1:13">
      <c r="A40" s="81"/>
      <c r="B40" s="82"/>
      <c r="C40" s="83"/>
      <c r="D40" s="83"/>
      <c r="E40" s="87"/>
      <c r="F40" s="83"/>
      <c r="G40" s="83"/>
      <c r="H40" s="85"/>
      <c r="J40" s="84"/>
      <c r="K40" s="94"/>
      <c r="L40" s="95"/>
      <c r="M40" s="57"/>
    </row>
    <row r="41" spans="1:13">
      <c r="A41" s="81"/>
      <c r="B41" s="82"/>
      <c r="C41" s="83"/>
      <c r="D41" s="83"/>
      <c r="E41" s="87"/>
      <c r="F41" s="83"/>
      <c r="G41" s="83"/>
      <c r="H41" s="85"/>
      <c r="J41" s="84"/>
      <c r="K41" s="94"/>
      <c r="L41" s="95"/>
      <c r="M41" s="57"/>
    </row>
    <row r="42" spans="1:13">
      <c r="A42" s="81"/>
      <c r="B42" s="82"/>
      <c r="C42" s="83"/>
      <c r="D42" s="83"/>
      <c r="E42" s="87"/>
      <c r="F42" s="83"/>
      <c r="G42" s="83"/>
      <c r="H42" s="85"/>
      <c r="J42" s="84"/>
      <c r="K42" s="94"/>
      <c r="L42" s="95"/>
      <c r="M42" s="57"/>
    </row>
    <row r="43" spans="1:13">
      <c r="A43" s="81"/>
      <c r="B43" s="82"/>
      <c r="C43" s="83"/>
      <c r="D43" s="83"/>
      <c r="E43" s="87"/>
      <c r="F43" s="83"/>
      <c r="G43" s="83"/>
      <c r="H43" s="85"/>
      <c r="J43" s="84"/>
      <c r="K43" s="94"/>
      <c r="L43" s="95"/>
      <c r="M43" s="57"/>
    </row>
    <row r="44" spans="1:13">
      <c r="A44" s="81"/>
      <c r="B44" s="82"/>
      <c r="C44" s="83"/>
      <c r="D44" s="83"/>
      <c r="E44" s="87"/>
      <c r="F44" s="83"/>
      <c r="G44" s="83"/>
      <c r="H44" s="85"/>
      <c r="J44" s="84"/>
      <c r="K44" s="94"/>
      <c r="L44" s="95"/>
      <c r="M44" s="57"/>
    </row>
    <row r="45" spans="1:13">
      <c r="A45" s="81"/>
      <c r="B45" s="82"/>
      <c r="C45" s="83"/>
      <c r="D45" s="83"/>
      <c r="E45" s="87"/>
      <c r="F45" s="83"/>
      <c r="G45" s="83"/>
      <c r="H45" s="85"/>
      <c r="J45" s="84"/>
      <c r="K45" s="94"/>
      <c r="L45" s="95"/>
      <c r="M45" s="57"/>
    </row>
    <row r="46" spans="1:13">
      <c r="A46" s="81"/>
      <c r="B46" s="82"/>
      <c r="C46" s="83"/>
      <c r="D46" s="83"/>
      <c r="E46" s="87"/>
      <c r="F46" s="83"/>
      <c r="G46" s="83"/>
      <c r="H46" s="85"/>
      <c r="J46" s="84"/>
      <c r="K46" s="94"/>
      <c r="L46" s="95"/>
      <c r="M46" s="57"/>
    </row>
    <row r="47" spans="1:13">
      <c r="A47" s="81"/>
      <c r="B47" s="82"/>
      <c r="C47" s="83"/>
      <c r="D47" s="83"/>
      <c r="E47" s="87"/>
      <c r="F47" s="83"/>
      <c r="G47" s="83"/>
      <c r="H47" s="85"/>
      <c r="J47" s="84"/>
      <c r="K47" s="94"/>
      <c r="L47" s="95"/>
      <c r="M47" s="57"/>
    </row>
    <row r="48" spans="1:13">
      <c r="A48" s="81"/>
      <c r="B48" s="82"/>
      <c r="C48" s="83"/>
      <c r="D48" s="83"/>
      <c r="E48" s="87"/>
      <c r="F48" s="83"/>
      <c r="G48" s="83"/>
      <c r="H48" s="85"/>
      <c r="J48" s="84"/>
      <c r="K48" s="94"/>
      <c r="L48" s="95"/>
      <c r="M48" s="57"/>
    </row>
    <row r="49" spans="1:13">
      <c r="A49" s="81"/>
      <c r="B49" s="82"/>
      <c r="C49" s="83"/>
      <c r="D49" s="83"/>
      <c r="E49" s="87"/>
      <c r="F49" s="83"/>
      <c r="G49" s="83"/>
      <c r="H49" s="85"/>
      <c r="J49" s="84"/>
      <c r="K49" s="94"/>
      <c r="L49" s="95"/>
      <c r="M49" s="57"/>
    </row>
    <row r="50" spans="1:13">
      <c r="A50" s="81"/>
      <c r="B50" s="82"/>
      <c r="C50" s="83"/>
      <c r="D50" s="83"/>
      <c r="E50" s="87"/>
      <c r="F50" s="83"/>
      <c r="G50" s="83"/>
      <c r="H50" s="85"/>
      <c r="J50" s="84"/>
      <c r="K50" s="94"/>
      <c r="L50" s="95"/>
      <c r="M50" s="57"/>
    </row>
    <row r="51" spans="1:13">
      <c r="A51" s="81"/>
      <c r="B51" s="82"/>
      <c r="C51" s="83"/>
      <c r="D51" s="83"/>
      <c r="E51" s="87"/>
      <c r="F51" s="83"/>
      <c r="G51" s="83"/>
      <c r="H51" s="85"/>
      <c r="J51" s="84"/>
      <c r="K51" s="94"/>
      <c r="L51" s="95"/>
      <c r="M51" s="57"/>
    </row>
    <row r="52" spans="1:13">
      <c r="A52" s="81"/>
      <c r="B52" s="82"/>
      <c r="C52" s="83"/>
      <c r="D52" s="83"/>
      <c r="E52" s="87"/>
      <c r="F52" s="83"/>
      <c r="G52" s="83"/>
      <c r="H52" s="85"/>
      <c r="J52" s="84"/>
      <c r="K52" s="94"/>
      <c r="L52" s="95"/>
      <c r="M52" s="57"/>
    </row>
    <row r="53" spans="1:13">
      <c r="A53" s="81"/>
      <c r="B53" s="82"/>
      <c r="C53" s="83"/>
      <c r="D53" s="83"/>
      <c r="E53" s="87"/>
      <c r="F53" s="83"/>
      <c r="G53" s="83"/>
      <c r="H53" s="85"/>
      <c r="J53" s="84"/>
      <c r="K53" s="94"/>
      <c r="L53" s="95"/>
      <c r="M53" s="57"/>
    </row>
    <row r="54" spans="1:13">
      <c r="A54" s="81"/>
      <c r="B54" s="82"/>
      <c r="C54" s="83"/>
      <c r="D54" s="83"/>
      <c r="E54" s="87"/>
      <c r="F54" s="83"/>
      <c r="G54" s="83"/>
      <c r="H54" s="85"/>
      <c r="J54" s="84"/>
      <c r="K54" s="94"/>
      <c r="L54" s="95"/>
      <c r="M54" s="57"/>
    </row>
    <row r="55" spans="1:13">
      <c r="A55" s="81"/>
      <c r="B55" s="82"/>
      <c r="C55" s="83"/>
      <c r="D55" s="83"/>
      <c r="E55" s="87"/>
      <c r="F55" s="83"/>
      <c r="G55" s="83"/>
      <c r="H55" s="85"/>
      <c r="J55" s="84"/>
      <c r="K55" s="94"/>
      <c r="L55" s="95"/>
      <c r="M55" s="57"/>
    </row>
    <row r="56" spans="1:13">
      <c r="A56" s="81"/>
      <c r="B56" s="82"/>
      <c r="C56" s="83"/>
      <c r="D56" s="83"/>
      <c r="E56" s="87"/>
      <c r="F56" s="83"/>
      <c r="G56" s="83"/>
      <c r="H56" s="85"/>
      <c r="J56" s="84"/>
      <c r="K56" s="94"/>
      <c r="L56" s="95"/>
      <c r="M56" s="57"/>
    </row>
    <row r="57" spans="1:13">
      <c r="A57" s="81"/>
      <c r="B57" s="82"/>
      <c r="C57" s="83"/>
      <c r="D57" s="83"/>
      <c r="E57" s="87"/>
      <c r="F57" s="83"/>
      <c r="G57" s="83"/>
      <c r="H57" s="85"/>
      <c r="J57" s="84"/>
      <c r="K57" s="94"/>
      <c r="L57" s="95"/>
      <c r="M57" s="57"/>
    </row>
    <row r="58" spans="1:13">
      <c r="A58" s="81"/>
      <c r="B58" s="82"/>
      <c r="C58" s="83"/>
      <c r="D58" s="83"/>
      <c r="E58" s="87"/>
      <c r="F58" s="83"/>
      <c r="G58" s="83"/>
      <c r="H58" s="85"/>
      <c r="J58" s="84"/>
      <c r="K58" s="94"/>
      <c r="L58" s="95"/>
      <c r="M58" s="57"/>
    </row>
    <row r="59" spans="1:13">
      <c r="A59" s="81"/>
      <c r="B59" s="82"/>
      <c r="C59" s="83"/>
      <c r="D59" s="83"/>
      <c r="E59" s="87"/>
      <c r="F59" s="83"/>
      <c r="G59" s="83"/>
      <c r="H59" s="85"/>
      <c r="J59" s="84"/>
      <c r="K59" s="94"/>
      <c r="L59" s="95"/>
      <c r="M59" s="57"/>
    </row>
    <row r="60" spans="1:13">
      <c r="A60" s="81"/>
      <c r="B60" s="82"/>
      <c r="C60" s="83"/>
      <c r="D60" s="83"/>
      <c r="E60" s="87"/>
      <c r="F60" s="83"/>
      <c r="G60" s="83"/>
      <c r="H60" s="85"/>
      <c r="I60" s="96"/>
      <c r="J60" s="84"/>
      <c r="K60" s="94"/>
      <c r="L60" s="95"/>
      <c r="M60" s="57"/>
    </row>
    <row r="61" spans="1:13">
      <c r="A61" s="81"/>
      <c r="B61" s="82"/>
      <c r="C61" s="83"/>
      <c r="D61" s="83"/>
      <c r="E61" s="87"/>
      <c r="F61" s="83"/>
      <c r="G61" s="83"/>
      <c r="H61" s="85"/>
      <c r="I61" s="96"/>
      <c r="J61" s="84"/>
      <c r="K61" s="94"/>
      <c r="L61" s="95"/>
      <c r="M61" s="57"/>
    </row>
    <row r="62" spans="1:13">
      <c r="A62" s="81"/>
      <c r="B62" s="82"/>
      <c r="C62" s="83"/>
      <c r="D62" s="83"/>
      <c r="E62" s="87"/>
      <c r="F62" s="83"/>
      <c r="G62" s="83"/>
      <c r="H62" s="85"/>
      <c r="I62" s="96"/>
      <c r="J62" s="84"/>
      <c r="K62" s="94"/>
      <c r="L62" s="95"/>
      <c r="M62" s="57"/>
    </row>
    <row r="63" spans="1:13">
      <c r="A63" s="81"/>
      <c r="B63" s="82"/>
      <c r="C63" s="83"/>
      <c r="D63" s="83"/>
      <c r="E63" s="87"/>
      <c r="F63" s="83"/>
      <c r="G63" s="83"/>
      <c r="H63" s="85"/>
      <c r="I63" s="96"/>
      <c r="J63" s="84"/>
      <c r="K63" s="94"/>
      <c r="L63" s="95"/>
      <c r="M63" s="57"/>
    </row>
    <row r="64" spans="1:13">
      <c r="A64" s="81"/>
      <c r="B64" s="82"/>
      <c r="C64" s="83"/>
      <c r="D64" s="83"/>
      <c r="E64" s="87"/>
      <c r="F64" s="83"/>
      <c r="G64" s="83"/>
      <c r="H64" s="85"/>
      <c r="I64" s="96"/>
      <c r="J64" s="84"/>
      <c r="K64" s="94"/>
      <c r="L64" s="95"/>
      <c r="M64" s="57"/>
    </row>
    <row r="65" spans="1:13">
      <c r="A65" s="81"/>
      <c r="B65" s="82"/>
      <c r="C65" s="83"/>
      <c r="D65" s="83"/>
      <c r="E65" s="87"/>
      <c r="F65" s="83"/>
      <c r="G65" s="83"/>
      <c r="H65" s="85"/>
      <c r="I65" s="96"/>
      <c r="J65" s="84"/>
      <c r="K65" s="94"/>
      <c r="L65" s="95"/>
      <c r="M65" s="57"/>
    </row>
    <row r="66" spans="1:13">
      <c r="A66" s="81"/>
      <c r="B66" s="82"/>
      <c r="C66" s="83"/>
      <c r="D66" s="83"/>
      <c r="E66" s="87"/>
      <c r="F66" s="83"/>
      <c r="G66" s="83"/>
      <c r="H66" s="85"/>
      <c r="I66" s="96"/>
      <c r="J66" s="84"/>
      <c r="K66" s="94"/>
      <c r="L66" s="95"/>
      <c r="M66" s="57"/>
    </row>
    <row r="67" spans="1:13">
      <c r="A67" s="81"/>
      <c r="B67" s="82"/>
      <c r="C67" s="83"/>
      <c r="D67" s="83"/>
      <c r="E67" s="87"/>
      <c r="F67" s="83"/>
      <c r="G67" s="83"/>
      <c r="H67" s="85"/>
      <c r="I67" s="96"/>
      <c r="J67" s="84"/>
      <c r="K67" s="94"/>
      <c r="L67" s="95"/>
      <c r="M67" s="57"/>
    </row>
    <row r="68" spans="1:13">
      <c r="A68" s="81"/>
      <c r="B68" s="82"/>
      <c r="C68" s="83"/>
      <c r="D68" s="83"/>
      <c r="E68" s="87"/>
      <c r="F68" s="83"/>
      <c r="G68" s="83"/>
      <c r="H68" s="85"/>
      <c r="I68" s="96"/>
      <c r="J68" s="84"/>
      <c r="K68" s="94"/>
      <c r="L68" s="95"/>
      <c r="M68" s="57"/>
    </row>
    <row r="69" spans="1:13">
      <c r="A69" s="81"/>
      <c r="B69" s="82"/>
      <c r="C69" s="83"/>
      <c r="D69" s="83"/>
      <c r="E69" s="87"/>
      <c r="F69" s="83"/>
      <c r="G69" s="83"/>
      <c r="H69" s="85"/>
      <c r="I69" s="96"/>
      <c r="J69" s="84"/>
      <c r="K69" s="94"/>
      <c r="L69" s="95"/>
      <c r="M69" s="57"/>
    </row>
    <row r="70" spans="1:13">
      <c r="A70" s="81"/>
      <c r="B70" s="82"/>
      <c r="C70" s="83"/>
      <c r="D70" s="83"/>
      <c r="E70" s="87"/>
      <c r="F70" s="83"/>
      <c r="G70" s="83"/>
      <c r="H70" s="85"/>
      <c r="I70" s="96"/>
      <c r="J70" s="84"/>
      <c r="K70" s="94"/>
      <c r="L70" s="95"/>
      <c r="M70" s="57"/>
    </row>
    <row r="71" spans="1:13">
      <c r="A71" s="81"/>
      <c r="B71" s="82"/>
      <c r="C71" s="83"/>
      <c r="D71" s="83"/>
      <c r="E71" s="87"/>
      <c r="F71" s="83"/>
      <c r="G71" s="83"/>
      <c r="H71" s="85"/>
      <c r="I71" s="96"/>
      <c r="J71" s="84"/>
      <c r="K71" s="94"/>
      <c r="L71" s="95"/>
      <c r="M71" s="57"/>
    </row>
    <row r="72" spans="1:13">
      <c r="A72" s="81"/>
      <c r="B72" s="82"/>
      <c r="C72" s="83"/>
      <c r="D72" s="83"/>
      <c r="E72" s="87"/>
      <c r="F72" s="83"/>
      <c r="G72" s="83"/>
      <c r="H72" s="85"/>
      <c r="I72" s="96"/>
      <c r="J72" s="84"/>
      <c r="K72" s="94"/>
      <c r="L72" s="95"/>
      <c r="M72" s="57"/>
    </row>
    <row r="73" spans="1:13">
      <c r="A73" s="81"/>
      <c r="B73" s="82"/>
      <c r="C73" s="83"/>
      <c r="D73" s="83"/>
      <c r="E73" s="87"/>
      <c r="F73" s="83"/>
      <c r="G73" s="83"/>
      <c r="H73" s="85"/>
      <c r="I73" s="96"/>
      <c r="J73" s="84"/>
      <c r="K73" s="94"/>
      <c r="L73" s="95"/>
      <c r="M73" s="57"/>
    </row>
    <row r="74" spans="1:13">
      <c r="A74" s="81"/>
      <c r="B74" s="82"/>
      <c r="C74" s="83"/>
      <c r="D74" s="83"/>
      <c r="E74" s="87"/>
      <c r="F74" s="83"/>
      <c r="G74" s="83"/>
      <c r="H74" s="85"/>
      <c r="I74" s="96"/>
      <c r="J74" s="84"/>
      <c r="K74" s="94"/>
      <c r="L74" s="95"/>
      <c r="M74" s="57"/>
    </row>
    <row r="75" spans="1:13">
      <c r="A75" s="81"/>
      <c r="B75" s="82"/>
      <c r="C75" s="83"/>
      <c r="D75" s="83"/>
      <c r="E75" s="87"/>
      <c r="F75" s="83"/>
      <c r="G75" s="83"/>
      <c r="H75" s="85"/>
      <c r="I75" s="96"/>
      <c r="J75" s="84"/>
      <c r="K75" s="94"/>
      <c r="L75" s="95"/>
      <c r="M75" s="57"/>
    </row>
    <row r="76" spans="1:13">
      <c r="A76" s="81"/>
      <c r="B76" s="82"/>
      <c r="C76" s="83"/>
      <c r="D76" s="83"/>
      <c r="E76" s="87"/>
      <c r="F76" s="83"/>
      <c r="G76" s="83"/>
      <c r="H76" s="85"/>
      <c r="I76" s="96"/>
      <c r="J76" s="84"/>
      <c r="K76" s="94"/>
      <c r="L76" s="95"/>
      <c r="M76" s="57"/>
    </row>
    <row r="77" spans="1:13">
      <c r="A77" s="81"/>
      <c r="B77" s="82"/>
      <c r="C77" s="83"/>
      <c r="D77" s="83"/>
      <c r="E77" s="87"/>
      <c r="F77" s="83"/>
      <c r="G77" s="83"/>
      <c r="H77" s="85"/>
      <c r="I77" s="96"/>
      <c r="J77" s="84"/>
      <c r="K77" s="94"/>
      <c r="L77" s="95"/>
      <c r="M77" s="57"/>
    </row>
    <row r="78" spans="1:13">
      <c r="A78" s="81"/>
      <c r="B78" s="82"/>
      <c r="C78" s="83"/>
      <c r="D78" s="83"/>
      <c r="E78" s="87"/>
      <c r="F78" s="83"/>
      <c r="G78" s="83"/>
      <c r="H78" s="85"/>
      <c r="I78" s="96"/>
      <c r="J78" s="84"/>
      <c r="K78" s="94"/>
      <c r="L78" s="95"/>
      <c r="M78" s="57"/>
    </row>
    <row r="79" spans="1:13">
      <c r="A79" s="81"/>
      <c r="B79" s="82"/>
      <c r="C79" s="83"/>
      <c r="D79" s="83"/>
      <c r="E79" s="87"/>
      <c r="F79" s="83"/>
      <c r="G79" s="83"/>
      <c r="H79" s="85"/>
      <c r="I79" s="96"/>
      <c r="J79" s="84"/>
      <c r="K79" s="94"/>
      <c r="L79" s="95"/>
      <c r="M79" s="57"/>
    </row>
    <row r="80" spans="1:13">
      <c r="A80" s="81"/>
      <c r="B80" s="82"/>
      <c r="C80" s="83"/>
      <c r="D80" s="83"/>
      <c r="E80" s="87"/>
      <c r="F80" s="83"/>
      <c r="G80" s="83"/>
      <c r="H80" s="85"/>
      <c r="I80" s="96"/>
      <c r="J80" s="84"/>
      <c r="K80" s="94"/>
      <c r="L80" s="95"/>
      <c r="M80" s="57"/>
    </row>
    <row r="81" spans="1:13">
      <c r="A81" s="81"/>
      <c r="B81" s="82"/>
      <c r="C81" s="83"/>
      <c r="D81" s="83"/>
      <c r="E81" s="87"/>
      <c r="F81" s="83"/>
      <c r="G81" s="83"/>
      <c r="H81" s="85"/>
      <c r="I81" s="96"/>
      <c r="J81" s="84"/>
      <c r="K81" s="94"/>
      <c r="L81" s="95"/>
      <c r="M81" s="57"/>
    </row>
    <row r="82" spans="1:13">
      <c r="A82" s="81"/>
      <c r="B82" s="82"/>
      <c r="C82" s="83"/>
      <c r="D82" s="83"/>
      <c r="E82" s="87"/>
      <c r="F82" s="83"/>
      <c r="G82" s="83"/>
      <c r="H82" s="85"/>
      <c r="I82" s="96"/>
      <c r="J82" s="84"/>
      <c r="K82" s="94"/>
      <c r="L82" s="95"/>
      <c r="M82" s="57"/>
    </row>
    <row r="83" spans="1:13">
      <c r="A83" s="81"/>
      <c r="B83" s="82"/>
      <c r="C83" s="83"/>
      <c r="D83" s="83"/>
      <c r="E83" s="87"/>
      <c r="F83" s="83"/>
      <c r="G83" s="83"/>
      <c r="H83" s="85"/>
      <c r="I83" s="96"/>
      <c r="J83" s="84"/>
      <c r="K83" s="94"/>
      <c r="L83" s="95"/>
      <c r="M83" s="57"/>
    </row>
    <row r="84" spans="1:13">
      <c r="A84" s="81"/>
      <c r="B84" s="82"/>
      <c r="C84" s="83"/>
      <c r="D84" s="83"/>
      <c r="E84" s="87"/>
      <c r="F84" s="83"/>
      <c r="G84" s="83"/>
      <c r="H84" s="85"/>
      <c r="I84" s="96"/>
      <c r="J84" s="84"/>
      <c r="K84" s="94"/>
      <c r="L84" s="95"/>
      <c r="M84" s="57"/>
    </row>
    <row r="85" spans="1:13">
      <c r="A85" s="81"/>
      <c r="B85" s="82"/>
      <c r="C85" s="83"/>
      <c r="D85" s="83"/>
      <c r="E85" s="87"/>
      <c r="F85" s="83"/>
      <c r="G85" s="83"/>
      <c r="H85" s="85"/>
      <c r="I85" s="96"/>
      <c r="J85" s="84"/>
      <c r="K85" s="94"/>
      <c r="L85" s="95"/>
      <c r="M85" s="57"/>
    </row>
    <row r="86" spans="1:13">
      <c r="A86" s="81"/>
      <c r="B86" s="82"/>
      <c r="C86" s="83"/>
      <c r="D86" s="83"/>
      <c r="E86" s="87"/>
      <c r="F86" s="83"/>
      <c r="G86" s="83"/>
      <c r="H86" s="85"/>
      <c r="I86" s="96"/>
      <c r="J86" s="84"/>
      <c r="K86" s="94"/>
      <c r="L86" s="95"/>
      <c r="M86" s="57"/>
    </row>
    <row r="87" spans="1:13">
      <c r="A87" s="81"/>
      <c r="B87" s="82"/>
      <c r="C87" s="83"/>
      <c r="D87" s="83"/>
      <c r="E87" s="87"/>
      <c r="F87" s="83"/>
      <c r="G87" s="83"/>
      <c r="H87" s="85"/>
      <c r="I87" s="96"/>
      <c r="J87" s="84"/>
      <c r="K87" s="94"/>
      <c r="L87" s="95"/>
      <c r="M87" s="57"/>
    </row>
    <row r="88" spans="1:13">
      <c r="A88" s="81"/>
      <c r="B88" s="82"/>
      <c r="C88" s="83"/>
      <c r="D88" s="83"/>
      <c r="E88" s="87"/>
      <c r="F88" s="83"/>
      <c r="G88" s="83"/>
      <c r="H88" s="85"/>
      <c r="I88" s="96"/>
      <c r="J88" s="84"/>
      <c r="K88" s="94"/>
      <c r="L88" s="95"/>
      <c r="M88" s="57"/>
    </row>
    <row r="89" spans="1:13">
      <c r="A89" s="81"/>
      <c r="B89" s="82"/>
      <c r="C89" s="83"/>
      <c r="D89" s="83"/>
      <c r="E89" s="87"/>
      <c r="F89" s="83"/>
      <c r="G89" s="83"/>
      <c r="H89" s="85"/>
      <c r="I89" s="96"/>
      <c r="J89" s="84"/>
      <c r="K89" s="94"/>
      <c r="L89" s="95"/>
      <c r="M89" s="57"/>
    </row>
    <row r="90" spans="1:13">
      <c r="A90" s="81"/>
      <c r="B90" s="82"/>
      <c r="C90" s="83"/>
      <c r="D90" s="83"/>
      <c r="E90" s="87"/>
      <c r="F90" s="83"/>
      <c r="G90" s="83"/>
      <c r="H90" s="85"/>
      <c r="I90" s="96"/>
      <c r="J90" s="84"/>
      <c r="K90" s="94"/>
      <c r="L90" s="95"/>
      <c r="M90" s="57"/>
    </row>
    <row r="91" spans="1:13">
      <c r="A91" s="81"/>
      <c r="B91" s="82"/>
      <c r="C91" s="83"/>
      <c r="D91" s="83"/>
      <c r="E91" s="87"/>
      <c r="F91" s="83"/>
      <c r="G91" s="83"/>
      <c r="H91" s="85"/>
      <c r="I91" s="96"/>
      <c r="J91" s="84"/>
      <c r="K91" s="94"/>
      <c r="L91" s="95"/>
      <c r="M91" s="57"/>
    </row>
    <row r="92" spans="1:13">
      <c r="A92" s="81"/>
      <c r="B92" s="82"/>
      <c r="C92" s="83"/>
      <c r="D92" s="83"/>
      <c r="E92" s="87"/>
      <c r="F92" s="83"/>
      <c r="G92" s="83"/>
      <c r="H92" s="85"/>
      <c r="I92" s="96"/>
      <c r="J92" s="84"/>
      <c r="K92" s="94"/>
      <c r="L92" s="95"/>
      <c r="M92" s="57"/>
    </row>
    <row r="93" spans="1:13">
      <c r="A93" s="81"/>
      <c r="B93" s="82"/>
      <c r="C93" s="83"/>
      <c r="D93" s="83"/>
      <c r="E93" s="87"/>
      <c r="F93" s="83"/>
      <c r="G93" s="83"/>
      <c r="H93" s="85"/>
      <c r="I93" s="96"/>
      <c r="J93" s="84"/>
      <c r="K93" s="94"/>
      <c r="L93" s="95"/>
      <c r="M93" s="57"/>
    </row>
    <row r="94" spans="1:13">
      <c r="A94" s="81"/>
      <c r="B94" s="82"/>
      <c r="C94" s="83"/>
      <c r="D94" s="83"/>
      <c r="E94" s="87"/>
      <c r="F94" s="83"/>
      <c r="G94" s="83"/>
      <c r="H94" s="85"/>
      <c r="J94" s="84"/>
      <c r="K94" s="94"/>
      <c r="L94" s="95"/>
      <c r="M94" s="57"/>
    </row>
    <row r="95" spans="1:13">
      <c r="A95" s="81"/>
      <c r="B95" s="82"/>
      <c r="C95" s="83"/>
      <c r="D95" s="83"/>
      <c r="E95" s="87"/>
      <c r="F95" s="83"/>
      <c r="G95" s="83"/>
      <c r="H95" s="85"/>
      <c r="J95" s="84"/>
      <c r="K95" s="94"/>
      <c r="L95" s="95"/>
      <c r="M95" s="57"/>
    </row>
    <row r="96" spans="1:13">
      <c r="A96" s="81"/>
      <c r="B96" s="82"/>
      <c r="C96" s="83"/>
      <c r="D96" s="83"/>
      <c r="E96" s="87"/>
      <c r="F96" s="83"/>
      <c r="G96" s="83"/>
      <c r="H96" s="85"/>
      <c r="J96" s="84"/>
      <c r="K96" s="94"/>
      <c r="L96" s="95"/>
      <c r="M96" s="57"/>
    </row>
    <row r="97" spans="1:13">
      <c r="A97" s="81"/>
      <c r="B97" s="82"/>
      <c r="C97" s="83"/>
      <c r="D97" s="83"/>
      <c r="E97" s="87"/>
      <c r="F97" s="83"/>
      <c r="G97" s="83"/>
      <c r="H97" s="85"/>
      <c r="J97" s="84"/>
      <c r="K97" s="94"/>
      <c r="L97" s="95"/>
      <c r="M97" s="57"/>
    </row>
    <row r="98" spans="1:13">
      <c r="A98" s="81"/>
      <c r="B98" s="82"/>
      <c r="C98" s="83"/>
      <c r="D98" s="83"/>
      <c r="E98" s="87"/>
      <c r="F98" s="83"/>
      <c r="G98" s="83"/>
      <c r="H98" s="85"/>
      <c r="J98" s="84"/>
      <c r="K98" s="94"/>
      <c r="L98" s="95"/>
      <c r="M98" s="57"/>
    </row>
    <row r="99" spans="1:13">
      <c r="A99" s="81"/>
      <c r="B99" s="82"/>
      <c r="C99" s="83"/>
      <c r="D99" s="83"/>
      <c r="E99" s="87"/>
      <c r="F99" s="83"/>
      <c r="G99" s="83"/>
      <c r="H99" s="85"/>
      <c r="J99" s="84"/>
      <c r="K99" s="94"/>
      <c r="L99" s="95"/>
      <c r="M99" s="57"/>
    </row>
    <row r="100" spans="1:13">
      <c r="A100" s="81"/>
      <c r="B100" s="82"/>
      <c r="C100" s="83"/>
      <c r="D100" s="83"/>
      <c r="E100" s="87"/>
      <c r="F100" s="83"/>
      <c r="G100" s="83"/>
      <c r="H100" s="85"/>
      <c r="J100" s="84"/>
      <c r="K100" s="94"/>
      <c r="L100" s="95"/>
      <c r="M100" s="57"/>
    </row>
    <row r="101" spans="1:13">
      <c r="A101" s="81"/>
      <c r="B101" s="82"/>
      <c r="C101" s="83"/>
      <c r="D101" s="83"/>
      <c r="E101" s="87"/>
      <c r="F101" s="83"/>
      <c r="G101" s="83"/>
      <c r="H101" s="85"/>
      <c r="J101" s="84"/>
      <c r="K101" s="94"/>
      <c r="L101" s="95"/>
      <c r="M101" s="57"/>
    </row>
    <row r="102" spans="1:13">
      <c r="A102" s="81"/>
      <c r="B102" s="82"/>
      <c r="C102" s="83"/>
      <c r="D102" s="83"/>
      <c r="E102" s="87"/>
      <c r="F102" s="83"/>
      <c r="G102" s="83"/>
      <c r="H102" s="85"/>
      <c r="J102" s="84"/>
      <c r="K102" s="94"/>
      <c r="L102" s="95"/>
      <c r="M102" s="57"/>
    </row>
    <row r="103" spans="1:13">
      <c r="A103" s="81"/>
      <c r="B103" s="82"/>
      <c r="C103" s="83"/>
      <c r="D103" s="83"/>
      <c r="E103" s="87"/>
      <c r="F103" s="83"/>
      <c r="G103" s="83"/>
      <c r="H103" s="85"/>
      <c r="J103" s="84"/>
      <c r="K103" s="94"/>
      <c r="L103" s="95"/>
      <c r="M103" s="57"/>
    </row>
    <row r="104" spans="1:13">
      <c r="A104" s="81"/>
      <c r="B104" s="82"/>
      <c r="C104" s="83"/>
      <c r="D104" s="83"/>
      <c r="E104" s="87"/>
      <c r="F104" s="83"/>
      <c r="G104" s="83"/>
      <c r="H104" s="85"/>
      <c r="J104" s="84"/>
      <c r="K104" s="94"/>
      <c r="L104" s="95"/>
      <c r="M104" s="57"/>
    </row>
    <row r="105" spans="1:13">
      <c r="A105" s="81"/>
      <c r="B105" s="82"/>
      <c r="C105" s="83"/>
      <c r="D105" s="83"/>
      <c r="E105" s="87"/>
      <c r="F105" s="83"/>
      <c r="G105" s="83"/>
      <c r="H105" s="85"/>
      <c r="J105" s="84"/>
      <c r="K105" s="94"/>
      <c r="L105" s="95"/>
      <c r="M105" s="57"/>
    </row>
    <row r="106" spans="1:13">
      <c r="A106" s="81"/>
      <c r="B106" s="82"/>
      <c r="C106" s="83"/>
      <c r="D106" s="83"/>
      <c r="E106" s="87"/>
      <c r="F106" s="83"/>
      <c r="G106" s="83"/>
      <c r="H106" s="85"/>
      <c r="J106" s="84"/>
      <c r="K106" s="94"/>
      <c r="L106" s="95"/>
      <c r="M106" s="57"/>
    </row>
    <row r="107" spans="1:13">
      <c r="A107" s="81"/>
      <c r="B107" s="82"/>
      <c r="C107" s="83"/>
      <c r="D107" s="83"/>
      <c r="E107" s="87"/>
      <c r="F107" s="83"/>
      <c r="G107" s="83"/>
      <c r="H107" s="85"/>
      <c r="J107" s="84"/>
      <c r="K107" s="94"/>
      <c r="L107" s="95"/>
      <c r="M107" s="57"/>
    </row>
    <row r="108" spans="1:13">
      <c r="A108" s="81"/>
      <c r="B108" s="82"/>
      <c r="C108" s="83"/>
      <c r="D108" s="83"/>
      <c r="E108" s="87"/>
      <c r="F108" s="83"/>
      <c r="G108" s="83"/>
      <c r="H108" s="85"/>
      <c r="J108" s="84"/>
      <c r="K108" s="94"/>
      <c r="L108" s="95"/>
      <c r="M108" s="57"/>
    </row>
    <row r="109" spans="1:13">
      <c r="A109" s="81"/>
      <c r="B109" s="82"/>
      <c r="C109" s="83"/>
      <c r="D109" s="83"/>
      <c r="E109" s="87"/>
      <c r="F109" s="83"/>
      <c r="G109" s="83"/>
      <c r="H109" s="85"/>
      <c r="J109" s="84"/>
      <c r="K109" s="94"/>
      <c r="L109" s="95"/>
      <c r="M109" s="57"/>
    </row>
    <row r="110" spans="1:13">
      <c r="A110" s="81"/>
      <c r="B110" s="82"/>
      <c r="C110" s="83"/>
      <c r="D110" s="83"/>
      <c r="E110" s="87"/>
      <c r="F110" s="83"/>
      <c r="G110" s="83"/>
      <c r="H110" s="85"/>
      <c r="J110" s="84"/>
      <c r="K110" s="94"/>
      <c r="L110" s="95"/>
      <c r="M110" s="57"/>
    </row>
    <row r="111" spans="1:13">
      <c r="A111" s="81"/>
      <c r="B111" s="82"/>
      <c r="C111" s="83"/>
      <c r="D111" s="83"/>
      <c r="E111" s="87"/>
      <c r="F111" s="83"/>
      <c r="G111" s="83"/>
      <c r="H111" s="85"/>
      <c r="J111" s="84"/>
      <c r="K111" s="94"/>
      <c r="L111" s="95"/>
      <c r="M111" s="57"/>
    </row>
    <row r="112" spans="1:13">
      <c r="A112" s="81"/>
      <c r="B112" s="82"/>
      <c r="C112" s="83"/>
      <c r="D112" s="83"/>
      <c r="E112" s="87"/>
      <c r="F112" s="83"/>
      <c r="G112" s="83"/>
      <c r="H112" s="85"/>
      <c r="J112" s="84"/>
      <c r="K112" s="94"/>
      <c r="L112" s="95"/>
      <c r="M112" s="57"/>
    </row>
    <row r="113" spans="1:13">
      <c r="A113" s="81"/>
      <c r="B113" s="82"/>
      <c r="C113" s="83"/>
      <c r="D113" s="83"/>
      <c r="E113" s="87"/>
      <c r="F113" s="83"/>
      <c r="G113" s="83"/>
      <c r="H113" s="85"/>
      <c r="J113" s="84"/>
      <c r="K113" s="94"/>
      <c r="L113" s="95"/>
      <c r="M113" s="57"/>
    </row>
    <row r="114" spans="1:13">
      <c r="A114" s="81"/>
      <c r="B114" s="82"/>
      <c r="C114" s="83"/>
      <c r="D114" s="83"/>
      <c r="E114" s="87"/>
      <c r="F114" s="83"/>
      <c r="G114" s="83"/>
      <c r="H114" s="85"/>
      <c r="J114" s="84"/>
      <c r="K114" s="94"/>
      <c r="L114" s="95"/>
      <c r="M114" s="57"/>
    </row>
    <row r="115" spans="1:13">
      <c r="A115" s="81"/>
      <c r="B115" s="82"/>
      <c r="C115" s="83"/>
      <c r="D115" s="83"/>
      <c r="E115" s="87"/>
      <c r="F115" s="83"/>
      <c r="G115" s="83"/>
      <c r="H115" s="85"/>
      <c r="J115" s="84"/>
      <c r="K115" s="94"/>
      <c r="L115" s="95"/>
      <c r="M115" s="57"/>
    </row>
    <row r="116" spans="1:13">
      <c r="A116" s="81"/>
      <c r="B116" s="82"/>
      <c r="C116" s="83"/>
      <c r="D116" s="83"/>
      <c r="E116" s="87"/>
      <c r="F116" s="83"/>
      <c r="G116" s="83"/>
      <c r="H116" s="85"/>
      <c r="J116" s="84"/>
      <c r="K116" s="94"/>
      <c r="L116" s="95"/>
      <c r="M116" s="57"/>
    </row>
    <row r="117" spans="1:13">
      <c r="A117" s="81"/>
      <c r="B117" s="82"/>
      <c r="C117" s="83"/>
      <c r="D117" s="83"/>
      <c r="E117" s="87"/>
      <c r="F117" s="83"/>
      <c r="G117" s="83"/>
      <c r="H117" s="85"/>
      <c r="J117" s="84"/>
      <c r="K117" s="94"/>
      <c r="L117" s="95"/>
      <c r="M117" s="57"/>
    </row>
    <row r="118" spans="1:13">
      <c r="A118" s="81"/>
      <c r="B118" s="82"/>
      <c r="C118" s="83"/>
      <c r="D118" s="83"/>
      <c r="E118" s="87"/>
      <c r="F118" s="83"/>
      <c r="G118" s="83"/>
      <c r="H118" s="85"/>
      <c r="J118" s="84"/>
      <c r="K118" s="94"/>
      <c r="L118" s="95"/>
      <c r="M118" s="57"/>
    </row>
    <row r="119" spans="1:13">
      <c r="A119" s="81"/>
      <c r="B119" s="82"/>
      <c r="C119" s="83"/>
      <c r="D119" s="83"/>
      <c r="E119" s="87"/>
      <c r="F119" s="83"/>
      <c r="G119" s="83"/>
      <c r="H119" s="85"/>
      <c r="J119" s="84"/>
      <c r="K119" s="94"/>
      <c r="L119" s="95"/>
      <c r="M119" s="57"/>
    </row>
    <row r="120" spans="1:13">
      <c r="A120" s="81"/>
      <c r="B120" s="82"/>
      <c r="C120" s="83"/>
      <c r="D120" s="83"/>
      <c r="E120" s="87"/>
      <c r="F120" s="83"/>
      <c r="G120" s="83"/>
      <c r="H120" s="85"/>
      <c r="J120" s="84"/>
      <c r="K120" s="94"/>
      <c r="L120" s="95"/>
      <c r="M120" s="57"/>
    </row>
    <row r="121" spans="1:13">
      <c r="A121" s="81"/>
      <c r="B121" s="82"/>
      <c r="C121" s="83"/>
      <c r="D121" s="83"/>
      <c r="E121" s="87"/>
      <c r="F121" s="83"/>
      <c r="G121" s="83"/>
      <c r="H121" s="85"/>
      <c r="J121" s="84"/>
      <c r="K121" s="94"/>
      <c r="L121" s="95"/>
      <c r="M121" s="57"/>
    </row>
    <row r="122" spans="1:13">
      <c r="A122" s="81"/>
      <c r="B122" s="82"/>
      <c r="C122" s="83"/>
      <c r="D122" s="83"/>
      <c r="E122" s="87"/>
      <c r="F122" s="83"/>
      <c r="G122" s="83"/>
      <c r="H122" s="85"/>
      <c r="J122" s="84"/>
      <c r="K122" s="94"/>
      <c r="L122" s="95"/>
      <c r="M122" s="57"/>
    </row>
    <row r="123" spans="1:13">
      <c r="A123" s="81"/>
      <c r="B123" s="82"/>
      <c r="C123" s="83"/>
      <c r="D123" s="83"/>
      <c r="E123" s="87"/>
      <c r="F123" s="83"/>
      <c r="G123" s="83"/>
      <c r="H123" s="85"/>
      <c r="J123" s="84"/>
      <c r="K123" s="94"/>
      <c r="L123" s="95"/>
      <c r="M123" s="57"/>
    </row>
    <row r="124" spans="1:13">
      <c r="A124" s="81"/>
      <c r="B124" s="82"/>
      <c r="C124" s="83"/>
      <c r="D124" s="83"/>
      <c r="E124" s="87"/>
      <c r="F124" s="83"/>
      <c r="G124" s="83"/>
      <c r="H124" s="85"/>
      <c r="J124" s="84"/>
      <c r="K124" s="94"/>
      <c r="L124" s="95"/>
      <c r="M124" s="57"/>
    </row>
    <row r="125" spans="1:13">
      <c r="A125" s="81"/>
      <c r="B125" s="82"/>
      <c r="C125" s="83"/>
      <c r="D125" s="83"/>
      <c r="E125" s="87"/>
      <c r="F125" s="83"/>
      <c r="G125" s="83"/>
      <c r="H125" s="85"/>
      <c r="J125" s="84"/>
      <c r="K125" s="94"/>
      <c r="L125" s="95"/>
      <c r="M125" s="57"/>
    </row>
    <row r="126" spans="1:13">
      <c r="A126" s="81"/>
      <c r="B126" s="82"/>
      <c r="C126" s="83"/>
      <c r="D126" s="83"/>
      <c r="E126" s="87"/>
      <c r="F126" s="83"/>
      <c r="G126" s="83"/>
      <c r="H126" s="85"/>
      <c r="J126" s="84"/>
      <c r="K126" s="94"/>
      <c r="L126" s="95"/>
      <c r="M126" s="57"/>
    </row>
    <row r="127" spans="1:13">
      <c r="A127" s="81"/>
      <c r="B127" s="82"/>
      <c r="C127" s="83"/>
      <c r="D127" s="83"/>
      <c r="E127" s="87"/>
      <c r="F127" s="83"/>
      <c r="G127" s="83"/>
      <c r="H127" s="85"/>
      <c r="J127" s="84"/>
      <c r="K127" s="94"/>
      <c r="L127" s="95"/>
      <c r="M127" s="57"/>
    </row>
    <row r="128" spans="1:13">
      <c r="A128" s="81"/>
      <c r="B128" s="82"/>
      <c r="C128" s="83"/>
      <c r="D128" s="83"/>
      <c r="E128" s="87"/>
      <c r="F128" s="83"/>
      <c r="G128" s="83"/>
      <c r="H128" s="85"/>
      <c r="J128" s="84"/>
      <c r="K128" s="94"/>
      <c r="L128" s="95"/>
      <c r="M128" s="57"/>
    </row>
    <row r="129" spans="1:13">
      <c r="A129" s="81"/>
      <c r="B129" s="82"/>
      <c r="C129" s="83"/>
      <c r="D129" s="83"/>
      <c r="E129" s="87"/>
      <c r="F129" s="83"/>
      <c r="G129" s="83"/>
      <c r="H129" s="85"/>
      <c r="J129" s="84"/>
      <c r="K129" s="94"/>
      <c r="L129" s="95"/>
      <c r="M129" s="57"/>
    </row>
    <row r="130" spans="1:13">
      <c r="A130" s="81"/>
      <c r="B130" s="82"/>
      <c r="C130" s="83"/>
      <c r="D130" s="83"/>
      <c r="E130" s="87"/>
      <c r="F130" s="83"/>
      <c r="G130" s="83"/>
      <c r="H130" s="85"/>
      <c r="J130" s="84"/>
      <c r="K130" s="94"/>
      <c r="L130" s="95"/>
      <c r="M130" s="57"/>
    </row>
    <row r="131" spans="1:13">
      <c r="A131" s="81"/>
      <c r="B131" s="82"/>
      <c r="C131" s="83"/>
      <c r="D131" s="83"/>
      <c r="E131" s="87"/>
      <c r="F131" s="83"/>
      <c r="G131" s="83"/>
      <c r="H131" s="85"/>
      <c r="J131" s="84"/>
      <c r="K131" s="94"/>
      <c r="L131" s="95"/>
      <c r="M131" s="57"/>
    </row>
    <row r="132" spans="1:13">
      <c r="A132" s="81"/>
      <c r="B132" s="82"/>
      <c r="C132" s="83"/>
      <c r="D132" s="83"/>
      <c r="E132" s="87"/>
      <c r="F132" s="83"/>
      <c r="G132" s="83"/>
      <c r="H132" s="85"/>
      <c r="J132" s="84"/>
      <c r="K132" s="94"/>
      <c r="L132" s="95"/>
      <c r="M132" s="57"/>
    </row>
    <row r="133" spans="1:13">
      <c r="A133" s="81"/>
      <c r="B133" s="82"/>
      <c r="C133" s="83"/>
      <c r="D133" s="83"/>
      <c r="E133" s="87"/>
      <c r="F133" s="83"/>
      <c r="G133" s="83"/>
      <c r="H133" s="85"/>
      <c r="J133" s="84"/>
      <c r="K133" s="94"/>
      <c r="L133" s="95"/>
      <c r="M133" s="57"/>
    </row>
    <row r="134" spans="1:13">
      <c r="A134" s="81"/>
      <c r="B134" s="82"/>
      <c r="C134" s="83"/>
      <c r="D134" s="83"/>
      <c r="E134" s="87"/>
      <c r="F134" s="83"/>
      <c r="G134" s="83"/>
      <c r="H134" s="85"/>
      <c r="J134" s="84"/>
      <c r="K134" s="94"/>
      <c r="L134" s="95"/>
      <c r="M134" s="57"/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N2"/>
  <sheetViews>
    <sheetView showGridLines="0" tabSelected="1" workbookViewId="0">
      <pane ySplit="1" topLeftCell="A2" activePane="bottomLeft" state="frozen"/>
      <selection pane="bottomLeft" activeCell="I14" sqref="I14"/>
    </sheetView>
  </sheetViews>
  <sheetFormatPr baseColWidth="12" defaultColWidth="13" defaultRowHeight="18" outlineLevelCol="1" x14ac:dyDescent="0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>
      <c r="A1" s="76" t="s">
        <v>189</v>
      </c>
      <c r="B1" s="72" t="s">
        <v>151</v>
      </c>
      <c r="C1" s="77" t="s">
        <v>191</v>
      </c>
      <c r="D1" s="77" t="s">
        <v>33</v>
      </c>
      <c r="E1" s="72" t="s">
        <v>192</v>
      </c>
      <c r="F1" s="77" t="s">
        <v>18</v>
      </c>
      <c r="G1" s="77" t="s">
        <v>33</v>
      </c>
      <c r="H1" s="72" t="s">
        <v>194</v>
      </c>
      <c r="I1" s="90" t="s">
        <v>195</v>
      </c>
      <c r="J1" s="92" t="s">
        <v>196</v>
      </c>
      <c r="K1" s="79" t="s">
        <v>127</v>
      </c>
      <c r="L1" s="78" t="s">
        <v>187</v>
      </c>
      <c r="M1" s="93" t="s">
        <v>186</v>
      </c>
      <c r="N1" s="80" t="s">
        <v>197</v>
      </c>
    </row>
    <row r="2" spans="1:14">
      <c r="A2" s="81" t="s">
        <v>198</v>
      </c>
      <c r="B2" s="82">
        <f>floors!$C$2</f>
        <v>50002</v>
      </c>
      <c r="C2" s="83" t="e">
        <f ca="1">VLOOKUP($B2,OFFSET([2]quests!$A$1,0,0,COUNTA([2]quests!$A:$A),MATCH(C$1,[2]quests!$1:$1,0)-MATCH($B$1,[2]quests!$1:$1,0)+1),MATCH(C$1,[2]quests!$1:$1,0)-MATCH($B$1,[2]quests!$1:$1,0)+1,FALSE)</f>
        <v>#VALUE!</v>
      </c>
      <c r="D2" s="83" t="e">
        <f ca="1">VLOOKUP($B2,OFFSET([2]quests!$A$1,0,0,COUNTA([2]quests!$A:$A),MATCH(D$1,[2]quests!$1:$1,0)-MATCH($B$1,[2]quests!$1:$1,0)+1),MATCH(D$1,[2]quests!$1:$1,0)-MATCH($B$1,[2]quests!$1:$1,0)+1,FALSE)</f>
        <v>#VALUE!</v>
      </c>
      <c r="E2" s="84">
        <v>1</v>
      </c>
      <c r="F2" s="83" t="e">
        <f ca="1">VLOOKUP($B2&amp;"_"&amp;$E2,OFFSET([2]stages!$A$1,0,0,COUNTA([2]stages!$A:$A),MATCH(F$1,[2]stages!$2:$2,0)-MATCH("temp_stage",[2]stages!$2:$2,0)+1),MATCH(F$1,[2]stages!$2:$2,0)-MATCH("temp_stage",[2]stages!$2:$2,0)+1,FALSE)</f>
        <v>#VALUE!</v>
      </c>
      <c r="G2" s="83" t="e">
        <f ca="1">VLOOKUP($B2&amp;"_"&amp;$E2,OFFSET([2]stages!$A$1,0,0,COUNTA([2]stages!$A:$A),MATCH(G$1,[2]stages!$2:$2,0)-MATCH("temp_stage",[2]stages!$2:$2,0)+1),MATCH(G$1,[2]stages!$2:$2,0)-MATCH("temp_stage",[2]stages!$2:$2,0)+1,FALSE)</f>
        <v>#VALUE!</v>
      </c>
      <c r="H2" s="85">
        <v>0</v>
      </c>
      <c r="I2" s="91">
        <f>ROW()-1</f>
        <v>1</v>
      </c>
      <c r="J2" s="86" t="str">
        <f>B2&amp;TEXT(I2,"00")</f>
        <v>5000201</v>
      </c>
      <c r="K2" s="84" t="s">
        <v>199</v>
      </c>
      <c r="L2" s="87" t="s">
        <v>200</v>
      </c>
      <c r="M2" s="88" t="s">
        <v>203</v>
      </c>
      <c r="N2" s="57" t="s">
        <v>201</v>
      </c>
    </row>
  </sheetData>
  <phoneticPr fontId="5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E2"/>
  <sheetViews>
    <sheetView workbookViewId="0">
      <selection activeCell="D16" sqref="D16"/>
    </sheetView>
  </sheetViews>
  <sheetFormatPr baseColWidth="12" defaultRowHeight="18" x14ac:dyDescent="0"/>
  <cols>
    <col min="4" max="4" width="35.33203125" customWidth="1"/>
  </cols>
  <sheetData>
    <row r="1" spans="1:5">
      <c r="A1" s="92" t="s">
        <v>183</v>
      </c>
      <c r="B1" s="79" t="s">
        <v>127</v>
      </c>
      <c r="C1" s="78" t="s">
        <v>187</v>
      </c>
      <c r="D1" s="93" t="s">
        <v>186</v>
      </c>
      <c r="E1" s="80" t="s">
        <v>197</v>
      </c>
    </row>
    <row r="2" spans="1:5" ht="68">
      <c r="A2">
        <v>50002001</v>
      </c>
      <c r="B2" s="84" t="s">
        <v>128</v>
      </c>
      <c r="C2" s="94" t="s">
        <v>363</v>
      </c>
      <c r="D2" s="102" t="s">
        <v>364</v>
      </c>
      <c r="E2" s="57" t="s">
        <v>201</v>
      </c>
    </row>
  </sheetData>
  <phoneticPr fontId="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stage_hints_i18n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福谷 優大</cp:lastModifiedBy>
  <dcterms:created xsi:type="dcterms:W3CDTF">2015-01-30T13:36:44Z</dcterms:created>
  <dcterms:modified xsi:type="dcterms:W3CDTF">2016-02-16T14:29:44Z</dcterms:modified>
</cp:coreProperties>
</file>