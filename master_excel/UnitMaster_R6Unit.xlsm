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atanabeshun/BULL_data/master_excel/"/>
    </mc:Choice>
  </mc:AlternateContent>
  <bookViews>
    <workbookView xWindow="4280" yWindow="2560" windowWidth="28800" windowHeight="15940" tabRatio="963" activeTab="7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コスト" sheetId="13" r:id="rId8"/>
    <sheet name="レベル" sheetId="12" r:id="rId9"/>
    <sheet name="経験値" sheetId="10" r:id="rId10"/>
    <sheet name="RC6SV" sheetId="11" r:id="rId11"/>
    <sheet name="ビット" sheetId="15" r:id="rId12"/>
    <sheet name="チェックシート " sheetId="56" r:id="rId13"/>
  </sheets>
  <externalReferences>
    <externalReference r:id="rId14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4" i="52" l="1"/>
  <c r="AH5" i="23"/>
  <c r="G2" i="23"/>
  <c r="P2" i="23"/>
  <c r="G3" i="23"/>
  <c r="P3" i="23"/>
  <c r="G4" i="23"/>
  <c r="P4" i="23"/>
  <c r="G5" i="23"/>
  <c r="P5" i="23"/>
  <c r="G6" i="23"/>
  <c r="P6" i="23"/>
  <c r="G7" i="23"/>
  <c r="P7" i="23"/>
  <c r="G8" i="23"/>
  <c r="P8" i="23"/>
  <c r="G9" i="23"/>
  <c r="P9" i="23"/>
  <c r="G10" i="23"/>
  <c r="P10" i="23"/>
  <c r="G11" i="23"/>
  <c r="P11" i="23"/>
  <c r="G12" i="23"/>
  <c r="P12" i="23"/>
  <c r="G13" i="23"/>
  <c r="P13" i="23"/>
  <c r="G14" i="23"/>
  <c r="P14" i="23"/>
  <c r="G15" i="23"/>
  <c r="P15" i="23"/>
  <c r="G16" i="23"/>
  <c r="P16" i="23"/>
  <c r="G17" i="23"/>
  <c r="P17" i="23"/>
  <c r="G18" i="23"/>
  <c r="P18" i="23"/>
  <c r="G19" i="23"/>
  <c r="P19" i="23"/>
  <c r="G20" i="23"/>
  <c r="P20" i="23"/>
  <c r="G21" i="23"/>
  <c r="P21" i="23"/>
  <c r="G22" i="23"/>
  <c r="P22" i="23"/>
  <c r="G23" i="23"/>
  <c r="P23" i="23"/>
  <c r="G3" i="3"/>
  <c r="E3" i="3"/>
  <c r="D3" i="3"/>
  <c r="C3" i="3"/>
  <c r="A3" i="3"/>
  <c r="G7" i="3"/>
  <c r="E7" i="3"/>
  <c r="D7" i="3"/>
  <c r="C7" i="3"/>
  <c r="A7" i="3"/>
  <c r="G11" i="3"/>
  <c r="E11" i="3"/>
  <c r="D11" i="3"/>
  <c r="C11" i="3"/>
  <c r="A11" i="3"/>
  <c r="G15" i="3"/>
  <c r="E15" i="3"/>
  <c r="D15" i="3"/>
  <c r="C15" i="3"/>
  <c r="A15" i="3"/>
  <c r="H14" i="23"/>
  <c r="BC14" i="23"/>
  <c r="BD14" i="23"/>
  <c r="Q14" i="23"/>
  <c r="V14" i="23"/>
  <c r="W14" i="23"/>
  <c r="AD14" i="23"/>
  <c r="I14" i="23"/>
  <c r="M14" i="23"/>
  <c r="BN14" i="23"/>
  <c r="H8" i="23"/>
  <c r="BC8" i="23"/>
  <c r="BD8" i="23"/>
  <c r="Q8" i="23"/>
  <c r="T8" i="23"/>
  <c r="W8" i="23"/>
  <c r="AB8" i="23"/>
  <c r="I8" i="23"/>
  <c r="K8" i="23"/>
  <c r="BL8" i="23"/>
  <c r="H7" i="23"/>
  <c r="BC7" i="23"/>
  <c r="BD7" i="23"/>
  <c r="Q7" i="23"/>
  <c r="V7" i="23"/>
  <c r="W7" i="23"/>
  <c r="AD7" i="23"/>
  <c r="I7" i="23"/>
  <c r="M7" i="23"/>
  <c r="BN7" i="23"/>
  <c r="S8" i="23"/>
  <c r="AA8" i="23"/>
  <c r="J8" i="23"/>
  <c r="BK8" i="23"/>
  <c r="E5" i="52"/>
  <c r="G13" i="3"/>
  <c r="G12" i="3"/>
  <c r="G17" i="3"/>
  <c r="E17" i="3"/>
  <c r="D17" i="3"/>
  <c r="B8" i="23"/>
  <c r="C17" i="3"/>
  <c r="A17" i="3"/>
  <c r="G16" i="3"/>
  <c r="E16" i="3"/>
  <c r="D16" i="3"/>
  <c r="C16" i="3"/>
  <c r="A16" i="3"/>
  <c r="G14" i="3"/>
  <c r="E14" i="3"/>
  <c r="D14" i="3"/>
  <c r="C14" i="3"/>
  <c r="A14" i="3"/>
  <c r="E13" i="3"/>
  <c r="D13" i="3"/>
  <c r="B7" i="23"/>
  <c r="C13" i="3"/>
  <c r="A13" i="3"/>
  <c r="E12" i="3"/>
  <c r="D12" i="3"/>
  <c r="C12" i="3"/>
  <c r="A12" i="3"/>
  <c r="G10" i="3"/>
  <c r="E10" i="3"/>
  <c r="D10" i="3"/>
  <c r="C10" i="3"/>
  <c r="A10" i="3"/>
  <c r="G9" i="3"/>
  <c r="H6" i="23"/>
  <c r="E9" i="3"/>
  <c r="D9" i="3"/>
  <c r="B6" i="23"/>
  <c r="C9" i="3"/>
  <c r="A9" i="3"/>
  <c r="G8" i="3"/>
  <c r="E8" i="3"/>
  <c r="D8" i="3"/>
  <c r="C8" i="3"/>
  <c r="A8" i="3"/>
  <c r="G6" i="3"/>
  <c r="E6" i="3"/>
  <c r="D6" i="3"/>
  <c r="C6" i="3"/>
  <c r="A6" i="3"/>
  <c r="G5" i="3"/>
  <c r="G4" i="3"/>
  <c r="G2" i="3"/>
  <c r="H5" i="23"/>
  <c r="E5" i="3"/>
  <c r="D5" i="3"/>
  <c r="B5" i="23"/>
  <c r="C5" i="3"/>
  <c r="A5" i="3"/>
  <c r="E4" i="3"/>
  <c r="D4" i="3"/>
  <c r="C4" i="3"/>
  <c r="A4" i="3"/>
  <c r="A21" i="54"/>
  <c r="A8" i="54"/>
  <c r="A9" i="54"/>
  <c r="A10" i="54"/>
  <c r="A11" i="54"/>
  <c r="A13" i="54"/>
  <c r="A14" i="54"/>
  <c r="A15" i="54"/>
  <c r="A16" i="54"/>
  <c r="A18" i="54"/>
  <c r="A19" i="54"/>
  <c r="A20" i="54"/>
  <c r="E21" i="54"/>
  <c r="B21" i="54"/>
  <c r="E20" i="54"/>
  <c r="B20" i="54"/>
  <c r="E19" i="54"/>
  <c r="B19" i="54"/>
  <c r="E18" i="54"/>
  <c r="B18" i="54"/>
  <c r="E17" i="54"/>
  <c r="B17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E10" i="54"/>
  <c r="B10" i="54"/>
  <c r="E9" i="54"/>
  <c r="B9" i="54"/>
  <c r="E8" i="54"/>
  <c r="B8" i="54"/>
  <c r="E7" i="54"/>
  <c r="B7" i="54"/>
  <c r="B3" i="54"/>
  <c r="B4" i="54"/>
  <c r="B5" i="54"/>
  <c r="B6" i="54"/>
  <c r="B2" i="54"/>
  <c r="E6" i="54"/>
  <c r="E5" i="54"/>
  <c r="E4" i="54"/>
  <c r="E3" i="54"/>
  <c r="E2" i="54"/>
  <c r="G14" i="53"/>
  <c r="C14" i="53"/>
  <c r="E14" i="53"/>
  <c r="G15" i="53"/>
  <c r="C15" i="53"/>
  <c r="E15" i="53"/>
  <c r="G16" i="53"/>
  <c r="C16" i="53"/>
  <c r="E16" i="53"/>
  <c r="J14" i="52"/>
  <c r="C14" i="52"/>
  <c r="H14" i="52"/>
  <c r="J15" i="52"/>
  <c r="C15" i="52"/>
  <c r="E15" i="52"/>
  <c r="H15" i="52"/>
  <c r="J16" i="52"/>
  <c r="C16" i="52"/>
  <c r="E16" i="52"/>
  <c r="H16" i="52"/>
  <c r="G2" i="53"/>
  <c r="C2" i="53"/>
  <c r="E2" i="53"/>
  <c r="G3" i="53"/>
  <c r="C3" i="53"/>
  <c r="E3" i="53"/>
  <c r="G4" i="53"/>
  <c r="C4" i="53"/>
  <c r="E4" i="53"/>
  <c r="J2" i="52"/>
  <c r="C2" i="52"/>
  <c r="E2" i="52"/>
  <c r="H2" i="52"/>
  <c r="J3" i="52"/>
  <c r="C3" i="52"/>
  <c r="E3" i="52"/>
  <c r="H3" i="52"/>
  <c r="J4" i="52"/>
  <c r="C4" i="52"/>
  <c r="E4" i="52"/>
  <c r="H4" i="52"/>
  <c r="B2" i="23"/>
  <c r="C2" i="23"/>
  <c r="D2" i="23"/>
  <c r="E2" i="23"/>
  <c r="F2" i="23"/>
  <c r="H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P2" i="23"/>
  <c r="AQ2" i="23"/>
  <c r="AR2" i="23"/>
  <c r="AS2" i="23"/>
  <c r="AT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H3" i="23"/>
  <c r="I3" i="23"/>
  <c r="J3" i="23"/>
  <c r="K3" i="23"/>
  <c r="L3" i="23"/>
  <c r="M3" i="23"/>
  <c r="G8" i="1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P3" i="23"/>
  <c r="AQ3" i="23"/>
  <c r="AR3" i="23"/>
  <c r="AS3" i="23"/>
  <c r="AT3" i="23"/>
  <c r="AU3" i="23"/>
  <c r="AV3" i="23"/>
  <c r="AW3" i="23"/>
  <c r="AX3" i="23"/>
  <c r="G8" i="11"/>
  <c r="BC3" i="23"/>
  <c r="BD3" i="23"/>
  <c r="BE3" i="23"/>
  <c r="BF3" i="23"/>
  <c r="BK3" i="23"/>
  <c r="BG3" i="23"/>
  <c r="BL3" i="23"/>
  <c r="BH3" i="23"/>
  <c r="BM3" i="23"/>
  <c r="BI3" i="23"/>
  <c r="BN3" i="23"/>
  <c r="BJ3" i="23"/>
  <c r="B4" i="23"/>
  <c r="C4" i="23"/>
  <c r="D4" i="23"/>
  <c r="E4" i="23"/>
  <c r="F4" i="23"/>
  <c r="H4" i="23"/>
  <c r="I4" i="23"/>
  <c r="J4" i="23"/>
  <c r="K4" i="23"/>
  <c r="L4" i="23"/>
  <c r="M4" i="23"/>
  <c r="N4" i="23"/>
  <c r="O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P4" i="23"/>
  <c r="AQ4" i="23"/>
  <c r="AR4" i="23"/>
  <c r="AS4" i="23"/>
  <c r="AT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G2" i="11"/>
  <c r="G4" i="13"/>
  <c r="G3" i="13"/>
  <c r="G2" i="13"/>
  <c r="I21" i="23"/>
  <c r="H23" i="23"/>
  <c r="BC23" i="23"/>
  <c r="BD23" i="23"/>
  <c r="Q23" i="23"/>
  <c r="S23" i="23"/>
  <c r="W23" i="23"/>
  <c r="AA23" i="23"/>
  <c r="I23" i="23"/>
  <c r="J23" i="23"/>
  <c r="BK23" i="23"/>
  <c r="AP17" i="23"/>
  <c r="AS17" i="23"/>
  <c r="B14" i="23"/>
  <c r="C14" i="23"/>
  <c r="D14" i="23"/>
  <c r="E14" i="23"/>
  <c r="F14" i="23"/>
  <c r="J14" i="23"/>
  <c r="K14" i="23"/>
  <c r="L14" i="23"/>
  <c r="N14" i="23"/>
  <c r="O14" i="23"/>
  <c r="R14" i="23"/>
  <c r="S14" i="23"/>
  <c r="T14" i="23"/>
  <c r="U14" i="23"/>
  <c r="X14" i="23"/>
  <c r="Y14" i="23"/>
  <c r="Z14" i="23"/>
  <c r="AA14" i="23"/>
  <c r="AB14" i="23"/>
  <c r="AC14" i="23"/>
  <c r="AF14" i="23"/>
  <c r="AG14" i="23"/>
  <c r="AH14" i="23"/>
  <c r="AI14" i="23"/>
  <c r="AK14" i="23"/>
  <c r="AL14" i="23"/>
  <c r="AM14" i="23"/>
  <c r="AN14" i="23"/>
  <c r="AP14" i="23"/>
  <c r="AQ14" i="23"/>
  <c r="AR14" i="23"/>
  <c r="AS14" i="23"/>
  <c r="AT14" i="23"/>
  <c r="AU14" i="23"/>
  <c r="AV14" i="23"/>
  <c r="AW14" i="23"/>
  <c r="AX14" i="23"/>
  <c r="BE14" i="23"/>
  <c r="BF14" i="23"/>
  <c r="BK14" i="23"/>
  <c r="BG14" i="23"/>
  <c r="BL14" i="23"/>
  <c r="BH14" i="23"/>
  <c r="BM14" i="23"/>
  <c r="BI14" i="23"/>
  <c r="BJ14" i="23"/>
  <c r="B15" i="23"/>
  <c r="C15" i="23"/>
  <c r="D15" i="23"/>
  <c r="E15" i="23"/>
  <c r="F15" i="23"/>
  <c r="H15" i="23"/>
  <c r="I15" i="23"/>
  <c r="J15" i="23"/>
  <c r="K15" i="23"/>
  <c r="L15" i="23"/>
  <c r="M15" i="23"/>
  <c r="G9" i="13"/>
  <c r="N15" i="23"/>
  <c r="O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F15" i="23"/>
  <c r="AG15" i="23"/>
  <c r="AH15" i="23"/>
  <c r="AI15" i="23"/>
  <c r="AK15" i="23"/>
  <c r="AL15" i="23"/>
  <c r="AM15" i="23"/>
  <c r="AN15" i="23"/>
  <c r="AP15" i="23"/>
  <c r="AQ15" i="23"/>
  <c r="AR15" i="23"/>
  <c r="AS15" i="23"/>
  <c r="AT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B16" i="23"/>
  <c r="C16" i="23"/>
  <c r="D16" i="23"/>
  <c r="E16" i="23"/>
  <c r="F16" i="23"/>
  <c r="H16" i="23"/>
  <c r="I16" i="23"/>
  <c r="J16" i="23"/>
  <c r="K16" i="23"/>
  <c r="L16" i="23"/>
  <c r="M16" i="23"/>
  <c r="N16" i="23"/>
  <c r="O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F16" i="23"/>
  <c r="AG16" i="23"/>
  <c r="AH16" i="23"/>
  <c r="AI16" i="23"/>
  <c r="AK16" i="23"/>
  <c r="AL16" i="23"/>
  <c r="AM16" i="23"/>
  <c r="AN16" i="23"/>
  <c r="AP16" i="23"/>
  <c r="AQ16" i="23"/>
  <c r="AR16" i="23"/>
  <c r="AS16" i="23"/>
  <c r="AT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B17" i="23"/>
  <c r="C17" i="23"/>
  <c r="D17" i="23"/>
  <c r="E17" i="23"/>
  <c r="F17" i="23"/>
  <c r="H17" i="23"/>
  <c r="I17" i="23"/>
  <c r="J17" i="23"/>
  <c r="K17" i="23"/>
  <c r="L17" i="23"/>
  <c r="M17" i="23"/>
  <c r="N17" i="23"/>
  <c r="O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F17" i="23"/>
  <c r="AG17" i="23"/>
  <c r="AH17" i="23"/>
  <c r="AI17" i="23"/>
  <c r="AK17" i="23"/>
  <c r="AL17" i="23"/>
  <c r="AM17" i="23"/>
  <c r="AN17" i="23"/>
  <c r="AQ17" i="23"/>
  <c r="AR17" i="23"/>
  <c r="AT17" i="23"/>
  <c r="AU17" i="23"/>
  <c r="AV17" i="23"/>
  <c r="AW17" i="23"/>
  <c r="AX17" i="23"/>
  <c r="BC17" i="23"/>
  <c r="BD17" i="23"/>
  <c r="BE17" i="23"/>
  <c r="BF17" i="23"/>
  <c r="BK17" i="23"/>
  <c r="BG17" i="23"/>
  <c r="BL17" i="23"/>
  <c r="BH17" i="23"/>
  <c r="BM17" i="23"/>
  <c r="BI17" i="23"/>
  <c r="BN17" i="23"/>
  <c r="BJ17" i="23"/>
  <c r="B18" i="23"/>
  <c r="C18" i="23"/>
  <c r="D18" i="23"/>
  <c r="E18" i="23"/>
  <c r="F18" i="23"/>
  <c r="H18" i="23"/>
  <c r="I18" i="23"/>
  <c r="J18" i="23"/>
  <c r="K18" i="23"/>
  <c r="L18" i="23"/>
  <c r="M18" i="23"/>
  <c r="N18" i="23"/>
  <c r="O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F18" i="23"/>
  <c r="AG18" i="23"/>
  <c r="AH18" i="23"/>
  <c r="AI18" i="23"/>
  <c r="AK18" i="23"/>
  <c r="AL18" i="23"/>
  <c r="AM18" i="23"/>
  <c r="AN18" i="23"/>
  <c r="AP18" i="23"/>
  <c r="AQ18" i="23"/>
  <c r="AR18" i="23"/>
  <c r="AS18" i="23"/>
  <c r="AT18" i="23"/>
  <c r="AU18" i="23"/>
  <c r="AV18" i="23"/>
  <c r="AW18" i="23"/>
  <c r="AX18" i="23"/>
  <c r="BC18" i="23"/>
  <c r="BD18" i="23"/>
  <c r="BE18" i="23"/>
  <c r="BF18" i="23"/>
  <c r="BK18" i="23"/>
  <c r="BG18" i="23"/>
  <c r="BL18" i="23"/>
  <c r="BH18" i="23"/>
  <c r="BM18" i="23"/>
  <c r="BI18" i="23"/>
  <c r="BN18" i="23"/>
  <c r="BJ18" i="23"/>
  <c r="B19" i="23"/>
  <c r="C19" i="23"/>
  <c r="D19" i="23"/>
  <c r="E19" i="23"/>
  <c r="F19" i="23"/>
  <c r="H19" i="23"/>
  <c r="I19" i="23"/>
  <c r="J19" i="23"/>
  <c r="K19" i="23"/>
  <c r="L19" i="23"/>
  <c r="M19" i="23"/>
  <c r="N19" i="23"/>
  <c r="O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F19" i="23"/>
  <c r="AG19" i="23"/>
  <c r="AH19" i="23"/>
  <c r="AI19" i="23"/>
  <c r="AK19" i="23"/>
  <c r="AL19" i="23"/>
  <c r="AM19" i="23"/>
  <c r="AN19" i="23"/>
  <c r="AP19" i="23"/>
  <c r="AQ19" i="23"/>
  <c r="AR19" i="23"/>
  <c r="AS19" i="23"/>
  <c r="AT19" i="23"/>
  <c r="AU19" i="23"/>
  <c r="AV19" i="23"/>
  <c r="AW19" i="23"/>
  <c r="AX19" i="23"/>
  <c r="BC19" i="23"/>
  <c r="BD19" i="23"/>
  <c r="BE19" i="23"/>
  <c r="BF19" i="23"/>
  <c r="BK19" i="23"/>
  <c r="BG19" i="23"/>
  <c r="BL19" i="23"/>
  <c r="BH19" i="23"/>
  <c r="BM19" i="23"/>
  <c r="BI19" i="23"/>
  <c r="BN19" i="23"/>
  <c r="BJ19" i="23"/>
  <c r="B20" i="23"/>
  <c r="C20" i="23"/>
  <c r="D20" i="23"/>
  <c r="E20" i="23"/>
  <c r="F20" i="23"/>
  <c r="H20" i="23"/>
  <c r="I20" i="23"/>
  <c r="J20" i="23"/>
  <c r="K20" i="23"/>
  <c r="L20" i="23"/>
  <c r="M20" i="23"/>
  <c r="N20" i="23"/>
  <c r="O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F20" i="23"/>
  <c r="AG20" i="23"/>
  <c r="AH20" i="23"/>
  <c r="AI20" i="23"/>
  <c r="AK20" i="23"/>
  <c r="AL20" i="23"/>
  <c r="AM20" i="23"/>
  <c r="AN20" i="23"/>
  <c r="AP20" i="23"/>
  <c r="AQ20" i="23"/>
  <c r="AR20" i="23"/>
  <c r="AS20" i="23"/>
  <c r="AT20" i="23"/>
  <c r="AU20" i="23"/>
  <c r="AV20" i="23"/>
  <c r="AW20" i="23"/>
  <c r="AX20" i="23"/>
  <c r="BC20" i="23"/>
  <c r="BD20" i="23"/>
  <c r="BE20" i="23"/>
  <c r="BF20" i="23"/>
  <c r="BK20" i="23"/>
  <c r="BG20" i="23"/>
  <c r="BL20" i="23"/>
  <c r="BH20" i="23"/>
  <c r="BM20" i="23"/>
  <c r="BI20" i="23"/>
  <c r="BN20" i="23"/>
  <c r="BJ20" i="23"/>
  <c r="B21" i="23"/>
  <c r="C21" i="23"/>
  <c r="D21" i="23"/>
  <c r="E21" i="23"/>
  <c r="F21" i="23"/>
  <c r="H21" i="23"/>
  <c r="J21" i="23"/>
  <c r="K21" i="23"/>
  <c r="L21" i="23"/>
  <c r="M21" i="23"/>
  <c r="N21" i="23"/>
  <c r="O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F21" i="23"/>
  <c r="AG21" i="23"/>
  <c r="AH21" i="23"/>
  <c r="AI21" i="23"/>
  <c r="AK21" i="23"/>
  <c r="AL21" i="23"/>
  <c r="AM21" i="23"/>
  <c r="AN21" i="23"/>
  <c r="AP21" i="23"/>
  <c r="AQ21" i="23"/>
  <c r="AR21" i="23"/>
  <c r="AS21" i="23"/>
  <c r="AT21" i="23"/>
  <c r="AU21" i="23"/>
  <c r="AV21" i="23"/>
  <c r="AW21" i="23"/>
  <c r="AX21" i="23"/>
  <c r="BC21" i="23"/>
  <c r="BD21" i="23"/>
  <c r="BE21" i="23"/>
  <c r="BF21" i="23"/>
  <c r="BK21" i="23"/>
  <c r="BG21" i="23"/>
  <c r="BL21" i="23"/>
  <c r="BH21" i="23"/>
  <c r="BM21" i="23"/>
  <c r="BI21" i="23"/>
  <c r="BN21" i="23"/>
  <c r="BJ21" i="23"/>
  <c r="B22" i="23"/>
  <c r="C22" i="23"/>
  <c r="D22" i="23"/>
  <c r="E22" i="23"/>
  <c r="F22" i="23"/>
  <c r="H22" i="23"/>
  <c r="I22" i="23"/>
  <c r="J22" i="23"/>
  <c r="K22" i="23"/>
  <c r="L22" i="23"/>
  <c r="M22" i="23"/>
  <c r="N22" i="23"/>
  <c r="O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F22" i="23"/>
  <c r="AG22" i="23"/>
  <c r="AH22" i="23"/>
  <c r="AI22" i="23"/>
  <c r="AK22" i="23"/>
  <c r="AL22" i="23"/>
  <c r="AM22" i="23"/>
  <c r="AN22" i="23"/>
  <c r="AP22" i="23"/>
  <c r="AQ22" i="23"/>
  <c r="AR22" i="23"/>
  <c r="AS22" i="23"/>
  <c r="AT22" i="23"/>
  <c r="AU22" i="23"/>
  <c r="AV22" i="23"/>
  <c r="AW22" i="23"/>
  <c r="AX22" i="23"/>
  <c r="BC22" i="23"/>
  <c r="BD22" i="23"/>
  <c r="BE22" i="23"/>
  <c r="BF22" i="23"/>
  <c r="BK22" i="23"/>
  <c r="BG22" i="23"/>
  <c r="BL22" i="23"/>
  <c r="BH22" i="23"/>
  <c r="BM22" i="23"/>
  <c r="BI22" i="23"/>
  <c r="BN22" i="23"/>
  <c r="BJ22" i="23"/>
  <c r="B23" i="23"/>
  <c r="C23" i="23"/>
  <c r="D23" i="23"/>
  <c r="E23" i="23"/>
  <c r="F23" i="23"/>
  <c r="K23" i="23"/>
  <c r="L23" i="23"/>
  <c r="M23" i="23"/>
  <c r="N23" i="23"/>
  <c r="O23" i="23"/>
  <c r="R23" i="23"/>
  <c r="T23" i="23"/>
  <c r="U23" i="23"/>
  <c r="V23" i="23"/>
  <c r="X23" i="23"/>
  <c r="Y23" i="23"/>
  <c r="Z23" i="23"/>
  <c r="AB23" i="23"/>
  <c r="AC23" i="23"/>
  <c r="AD23" i="23"/>
  <c r="AF23" i="23"/>
  <c r="AG23" i="23"/>
  <c r="AH23" i="23"/>
  <c r="AI23" i="23"/>
  <c r="AK23" i="23"/>
  <c r="AL23" i="23"/>
  <c r="AM23" i="23"/>
  <c r="AN23" i="23"/>
  <c r="AP23" i="23"/>
  <c r="AQ23" i="23"/>
  <c r="AR23" i="23"/>
  <c r="AS23" i="23"/>
  <c r="AT23" i="23"/>
  <c r="AU23" i="23"/>
  <c r="AV23" i="23"/>
  <c r="AW23" i="23"/>
  <c r="AX23" i="23"/>
  <c r="BE23" i="23"/>
  <c r="BF23" i="23"/>
  <c r="BG23" i="23"/>
  <c r="BL23" i="23"/>
  <c r="BH23" i="23"/>
  <c r="BM23" i="23"/>
  <c r="BI23" i="23"/>
  <c r="BN23" i="23"/>
  <c r="BJ23" i="23"/>
  <c r="BC5" i="23"/>
  <c r="BD5" i="23"/>
  <c r="Q5" i="23"/>
  <c r="S5" i="23"/>
  <c r="W5" i="23"/>
  <c r="AA5" i="23"/>
  <c r="I5" i="23"/>
  <c r="J5" i="23"/>
  <c r="BK5" i="23"/>
  <c r="H13" i="23"/>
  <c r="BC13" i="23"/>
  <c r="BD13" i="23"/>
  <c r="Q13" i="23"/>
  <c r="V13" i="23"/>
  <c r="W13" i="23"/>
  <c r="AD13" i="23"/>
  <c r="I13" i="23"/>
  <c r="M13" i="23"/>
  <c r="BN13" i="23"/>
  <c r="T13" i="23"/>
  <c r="AB13" i="23"/>
  <c r="K13" i="23"/>
  <c r="BL13" i="23"/>
  <c r="S13" i="23"/>
  <c r="AA13" i="23"/>
  <c r="J13" i="23"/>
  <c r="BK13" i="23"/>
  <c r="A18" i="56"/>
  <c r="A17" i="56"/>
  <c r="A16" i="56"/>
  <c r="A15" i="56"/>
  <c r="S7" i="23"/>
  <c r="AA7" i="23"/>
  <c r="J7" i="23"/>
  <c r="BK7" i="23"/>
  <c r="B18" i="56"/>
  <c r="T7" i="23"/>
  <c r="AB7" i="23"/>
  <c r="K7" i="23"/>
  <c r="BL7" i="23"/>
  <c r="C18" i="56"/>
  <c r="D18" i="56"/>
  <c r="A11" i="56"/>
  <c r="A9" i="56"/>
  <c r="BC6" i="23"/>
  <c r="BD6" i="23"/>
  <c r="Q6" i="23"/>
  <c r="V6" i="23"/>
  <c r="W6" i="23"/>
  <c r="AD6" i="23"/>
  <c r="I6" i="23"/>
  <c r="M6" i="23"/>
  <c r="BN6" i="23"/>
  <c r="D17" i="56"/>
  <c r="V5" i="23"/>
  <c r="AD5" i="23"/>
  <c r="M5" i="23"/>
  <c r="BN5" i="23"/>
  <c r="D16" i="56"/>
  <c r="D15" i="56"/>
  <c r="T6" i="23"/>
  <c r="AB6" i="23"/>
  <c r="K6" i="23"/>
  <c r="BL6" i="23"/>
  <c r="C17" i="56"/>
  <c r="T5" i="23"/>
  <c r="AB5" i="23"/>
  <c r="K5" i="23"/>
  <c r="BL5" i="23"/>
  <c r="C16" i="56"/>
  <c r="C15" i="56"/>
  <c r="S6" i="23"/>
  <c r="AA6" i="23"/>
  <c r="J6" i="23"/>
  <c r="BK6" i="23"/>
  <c r="B17" i="56"/>
  <c r="B16" i="56"/>
  <c r="B15" i="56"/>
  <c r="A2" i="3"/>
  <c r="A54" i="56"/>
  <c r="A53" i="56"/>
  <c r="A52" i="56"/>
  <c r="A51" i="56"/>
  <c r="A50" i="56"/>
  <c r="A47" i="56"/>
  <c r="A46" i="56"/>
  <c r="G6" i="53"/>
  <c r="A45" i="56"/>
  <c r="A43" i="56"/>
  <c r="A42" i="56"/>
  <c r="G5" i="53"/>
  <c r="A41" i="56"/>
  <c r="A39" i="56"/>
  <c r="A38" i="56"/>
  <c r="A37" i="56"/>
  <c r="A34" i="56"/>
  <c r="A33" i="56"/>
  <c r="A32" i="56"/>
  <c r="J6" i="52"/>
  <c r="A31" i="56"/>
  <c r="A29" i="56"/>
  <c r="A28" i="56"/>
  <c r="A27" i="56"/>
  <c r="J5" i="52"/>
  <c r="A26" i="56"/>
  <c r="A24" i="56"/>
  <c r="A23" i="56"/>
  <c r="A22" i="56"/>
  <c r="A21" i="56"/>
  <c r="A10" i="56"/>
  <c r="A8" i="56"/>
  <c r="E9" i="49"/>
  <c r="E10" i="49"/>
  <c r="E8" i="49"/>
  <c r="E7" i="49"/>
  <c r="E6" i="49"/>
  <c r="E5" i="49"/>
  <c r="E3" i="49"/>
  <c r="E4" i="49"/>
  <c r="E2" i="49"/>
  <c r="G8" i="53"/>
  <c r="E8" i="53"/>
  <c r="G9" i="53"/>
  <c r="C9" i="53"/>
  <c r="E9" i="53"/>
  <c r="G10" i="53"/>
  <c r="C10" i="53"/>
  <c r="E10" i="53"/>
  <c r="G11" i="53"/>
  <c r="C11" i="53"/>
  <c r="E11" i="53"/>
  <c r="G12" i="53"/>
  <c r="C12" i="53"/>
  <c r="E12" i="53"/>
  <c r="G13" i="53"/>
  <c r="C13" i="53"/>
  <c r="E13" i="53"/>
  <c r="J8" i="52"/>
  <c r="E8" i="52"/>
  <c r="H8" i="52"/>
  <c r="J9" i="52"/>
  <c r="C9" i="52"/>
  <c r="E9" i="52"/>
  <c r="H9" i="52"/>
  <c r="J10" i="52"/>
  <c r="C10" i="52"/>
  <c r="E10" i="52"/>
  <c r="H10" i="52"/>
  <c r="J11" i="52"/>
  <c r="C11" i="52"/>
  <c r="E11" i="52"/>
  <c r="H11" i="52"/>
  <c r="J12" i="52"/>
  <c r="C12" i="52"/>
  <c r="E12" i="52"/>
  <c r="H12" i="52"/>
  <c r="J13" i="52"/>
  <c r="C13" i="52"/>
  <c r="E13" i="52"/>
  <c r="H13" i="52"/>
  <c r="H10" i="23"/>
  <c r="BC10" i="23"/>
  <c r="BD10" i="23"/>
  <c r="Q10" i="23"/>
  <c r="S10" i="23"/>
  <c r="W10" i="23"/>
  <c r="AA10" i="23"/>
  <c r="I10" i="23"/>
  <c r="J10" i="23"/>
  <c r="BK10" i="23"/>
  <c r="C8" i="23"/>
  <c r="D8" i="23"/>
  <c r="E8" i="23"/>
  <c r="F8" i="23"/>
  <c r="L8" i="23"/>
  <c r="M8" i="23"/>
  <c r="G10" i="13"/>
  <c r="N8" i="23"/>
  <c r="O8" i="23"/>
  <c r="R8" i="23"/>
  <c r="U8" i="23"/>
  <c r="V8" i="23"/>
  <c r="X8" i="23"/>
  <c r="Y8" i="23"/>
  <c r="Z8" i="23"/>
  <c r="AC8" i="23"/>
  <c r="AD8" i="23"/>
  <c r="AF8" i="23"/>
  <c r="AH8" i="23"/>
  <c r="AI8" i="23"/>
  <c r="AK8" i="23"/>
  <c r="AL8" i="23"/>
  <c r="AM8" i="23"/>
  <c r="AN8" i="23"/>
  <c r="AP8" i="23"/>
  <c r="AQ8" i="23"/>
  <c r="AR8" i="23"/>
  <c r="AS8" i="23"/>
  <c r="AT8" i="23"/>
  <c r="AU8" i="23"/>
  <c r="AV8" i="23"/>
  <c r="AW8" i="23"/>
  <c r="AX8" i="23"/>
  <c r="BE8" i="23"/>
  <c r="BF8" i="23"/>
  <c r="BG8" i="23"/>
  <c r="BH8" i="23"/>
  <c r="BM8" i="23"/>
  <c r="BI8" i="23"/>
  <c r="BN8" i="23"/>
  <c r="BJ8" i="23"/>
  <c r="B9" i="23"/>
  <c r="C9" i="23"/>
  <c r="D9" i="23"/>
  <c r="E9" i="23"/>
  <c r="F9" i="23"/>
  <c r="H9" i="23"/>
  <c r="I9" i="23"/>
  <c r="J9" i="23"/>
  <c r="K9" i="23"/>
  <c r="L9" i="23"/>
  <c r="M9" i="23"/>
  <c r="N9" i="23"/>
  <c r="O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P9" i="23"/>
  <c r="AQ9" i="23"/>
  <c r="AR9" i="23"/>
  <c r="AS9" i="23"/>
  <c r="AT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B10" i="23"/>
  <c r="C10" i="23"/>
  <c r="D10" i="23"/>
  <c r="E10" i="23"/>
  <c r="F10" i="23"/>
  <c r="K10" i="23"/>
  <c r="L10" i="23"/>
  <c r="M10" i="23"/>
  <c r="N10" i="23"/>
  <c r="O10" i="23"/>
  <c r="R10" i="23"/>
  <c r="T10" i="23"/>
  <c r="U10" i="23"/>
  <c r="V10" i="23"/>
  <c r="X10" i="23"/>
  <c r="Y10" i="23"/>
  <c r="Z10" i="23"/>
  <c r="AB10" i="23"/>
  <c r="AC10" i="23"/>
  <c r="AD10" i="23"/>
  <c r="AF10" i="23"/>
  <c r="AG10" i="23"/>
  <c r="AH10" i="23"/>
  <c r="AI10" i="23"/>
  <c r="AK10" i="23"/>
  <c r="AL10" i="23"/>
  <c r="AM10" i="23"/>
  <c r="AN10" i="23"/>
  <c r="AP10" i="23"/>
  <c r="AQ10" i="23"/>
  <c r="AR10" i="23"/>
  <c r="AS10" i="23"/>
  <c r="AT10" i="23"/>
  <c r="AU10" i="23"/>
  <c r="AV10" i="23"/>
  <c r="AW10" i="23"/>
  <c r="AX10" i="23"/>
  <c r="BE10" i="23"/>
  <c r="BF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H11" i="23"/>
  <c r="I11" i="23"/>
  <c r="J11" i="23"/>
  <c r="K11" i="23"/>
  <c r="L11" i="23"/>
  <c r="M11" i="23"/>
  <c r="N11" i="23"/>
  <c r="O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P11" i="23"/>
  <c r="AQ11" i="23"/>
  <c r="AR11" i="23"/>
  <c r="AS11" i="23"/>
  <c r="AT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B12" i="23"/>
  <c r="C12" i="23"/>
  <c r="D12" i="23"/>
  <c r="E12" i="23"/>
  <c r="F12" i="23"/>
  <c r="H12" i="23"/>
  <c r="I12" i="23"/>
  <c r="J12" i="23"/>
  <c r="K12" i="23"/>
  <c r="L12" i="23"/>
  <c r="M12" i="23"/>
  <c r="N12" i="23"/>
  <c r="O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P12" i="23"/>
  <c r="AQ12" i="23"/>
  <c r="AR12" i="23"/>
  <c r="AS12" i="23"/>
  <c r="AT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B13" i="23"/>
  <c r="C13" i="23"/>
  <c r="D13" i="23"/>
  <c r="E13" i="23"/>
  <c r="F13" i="23"/>
  <c r="L13" i="23"/>
  <c r="N13" i="23"/>
  <c r="O13" i="23"/>
  <c r="R13" i="23"/>
  <c r="U13" i="23"/>
  <c r="X13" i="23"/>
  <c r="Y13" i="23"/>
  <c r="Z13" i="23"/>
  <c r="AC13" i="23"/>
  <c r="AF13" i="23"/>
  <c r="AG13" i="23"/>
  <c r="AH13" i="23"/>
  <c r="AI13" i="23"/>
  <c r="AK13" i="23"/>
  <c r="AL13" i="23"/>
  <c r="AM13" i="23"/>
  <c r="AN13" i="23"/>
  <c r="AP13" i="23"/>
  <c r="AQ13" i="23"/>
  <c r="AR13" i="23"/>
  <c r="AS13" i="23"/>
  <c r="AT13" i="23"/>
  <c r="AU13" i="23"/>
  <c r="AV13" i="23"/>
  <c r="AW13" i="23"/>
  <c r="AX13" i="23"/>
  <c r="BE13" i="23"/>
  <c r="BF13" i="23"/>
  <c r="BG13" i="23"/>
  <c r="BH13" i="23"/>
  <c r="BM13" i="23"/>
  <c r="BI13" i="23"/>
  <c r="BJ13" i="23"/>
  <c r="AT5" i="23"/>
  <c r="AT6" i="23"/>
  <c r="AT7" i="23"/>
  <c r="AP5" i="23"/>
  <c r="AP6" i="23"/>
  <c r="AP7" i="23"/>
  <c r="E6" i="53"/>
  <c r="G7" i="53"/>
  <c r="E7" i="53"/>
  <c r="E5" i="53"/>
  <c r="E6" i="52"/>
  <c r="H6" i="52"/>
  <c r="J7" i="52"/>
  <c r="E7" i="52"/>
  <c r="H7" i="52"/>
  <c r="H5" i="52"/>
  <c r="C5" i="23"/>
  <c r="D5" i="23"/>
  <c r="E5" i="23"/>
  <c r="F5" i="23"/>
  <c r="L5" i="23"/>
  <c r="N5" i="23"/>
  <c r="O5" i="23"/>
  <c r="R5" i="23"/>
  <c r="U5" i="23"/>
  <c r="X5" i="23"/>
  <c r="Y5" i="23"/>
  <c r="Z5" i="23"/>
  <c r="AC5" i="23"/>
  <c r="AF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E5" i="23"/>
  <c r="BF5" i="23"/>
  <c r="BG5" i="23"/>
  <c r="BH5" i="23"/>
  <c r="BM5" i="23"/>
  <c r="BI5" i="23"/>
  <c r="BJ5" i="23"/>
  <c r="C6" i="23"/>
  <c r="D6" i="23"/>
  <c r="E6" i="23"/>
  <c r="F6" i="23"/>
  <c r="L6" i="23"/>
  <c r="N6" i="23"/>
  <c r="O6" i="23"/>
  <c r="R6" i="23"/>
  <c r="U6" i="23"/>
  <c r="X6" i="23"/>
  <c r="Y6" i="23"/>
  <c r="Z6" i="23"/>
  <c r="AC6" i="23"/>
  <c r="AF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E6" i="23"/>
  <c r="BF6" i="23"/>
  <c r="BG6" i="23"/>
  <c r="BH6" i="23"/>
  <c r="BM6" i="23"/>
  <c r="BI6" i="23"/>
  <c r="BJ6" i="23"/>
  <c r="C7" i="23"/>
  <c r="D7" i="23"/>
  <c r="E7" i="23"/>
  <c r="F7" i="23"/>
  <c r="L7" i="23"/>
  <c r="N7" i="23"/>
  <c r="O7" i="23"/>
  <c r="R7" i="23"/>
  <c r="U7" i="23"/>
  <c r="X7" i="23"/>
  <c r="Y7" i="23"/>
  <c r="Z7" i="23"/>
  <c r="AC7" i="23"/>
  <c r="AF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G7" i="23"/>
  <c r="BH7" i="23"/>
  <c r="BM7" i="23"/>
  <c r="BI7" i="23"/>
  <c r="BJ7" i="23"/>
  <c r="C2" i="3"/>
  <c r="E2" i="3"/>
  <c r="D2" i="3"/>
</calcChain>
</file>

<file path=xl/sharedStrings.xml><?xml version="1.0" encoding="utf-8"?>
<sst xmlns="http://schemas.openxmlformats.org/spreadsheetml/2006/main" count="903" uniqueCount="347">
  <si>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</si>
  <si>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</si>
  <si>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</si>
  <si>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</si>
  <si>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</si>
  <si>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</si>
  <si>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</si>
  <si>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</si>
  <si>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</si>
  <si>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</si>
  <si>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</si>
  <si>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</si>
  <si>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</si>
  <si>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</si>
  <si>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</si>
  <si>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</si>
  <si>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</si>
  <si>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</si>
  <si>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</si>
  <si>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</si>
  <si>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</si>
  <si>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</si>
  <si>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</si>
  <si>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</si>
  <si>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</si>
  <si>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</si>
  <si>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</si>
  <si>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</si>
  <si>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</si>
  <si>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</si>
  <si>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</si>
  <si>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</si>
  <si>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</si>
  <si>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</si>
  <si>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</si>
  <si>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</si>
  <si>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</si>
  <si>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</si>
  <si>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</si>
  <si>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</si>
  <si>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</si>
  <si>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</si>
  <si>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</si>
  <si>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</si>
  <si>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</si>
  <si>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</si>
  <si>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</si>
  <si>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</si>
  <si>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</si>
  <si>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</si>
  <si>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</si>
  <si>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</si>
  <si>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</si>
  <si>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</si>
  <si>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</si>
  <si>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</si>
  <si>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</si>
  <si>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</si>
  <si>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</si>
  <si>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</si>
  <si>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</si>
  <si>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</si>
  <si>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</si>
  <si>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</si>
  <si>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</si>
  <si>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</si>
  <si>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</si>
  <si>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</si>
  <si>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</si>
  <si>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</si>
  <si>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</si>
  <si>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</si>
  <si>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</si>
  <si>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</si>
  <si>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</si>
  <si>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</si>
  <si>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</si>
  <si>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</si>
  <si>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</si>
  <si>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</si>
  <si>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</si>
  <si>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</si>
  <si>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</si>
  <si>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</si>
  <si>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</si>
  <si>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</si>
  <si>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</si>
  <si>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</si>
  <si>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</si>
  <si>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</si>
  <si>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</si>
  <si>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</si>
  <si>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</si>
  <si>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</si>
  <si>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</si>
  <si>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</si>
  <si>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</si>
  <si>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</si>
  <si>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</si>
  <si>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</si>
  <si>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</si>
  <si>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</si>
  <si>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</si>
  <si>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</si>
  <si>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</si>
  <si>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</si>
  <si>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</si>
  <si>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</si>
  <si>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</si>
  <si>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</si>
  <si>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</si>
  <si>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</si>
  <si>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</si>
  <si>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</si>
  <si>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</si>
  <si>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</si>
  <si>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</si>
  <si>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</si>
  <si>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</si>
  <si>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</si>
  <si>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</si>
  <si>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</si>
  <si>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</si>
  <si>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</si>
  <si>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</si>
  <si>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</si>
  <si>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</si>
  <si>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</si>
  <si>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</si>
  <si>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</si>
  <si>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</si>
  <si>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</si>
  <si>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</si>
  <si>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</si>
  <si>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</si>
  <si>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</si>
  <si>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</si>
  <si>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</si>
  <si>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</si>
  <si>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</si>
  <si>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</si>
  <si>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</si>
  <si>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</si>
  <si>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</si>
  <si>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</si>
  <si>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</si>
  <si>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</si>
  <si>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</si>
  <si>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</si>
  <si>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</si>
  <si>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</si>
  <si>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</si>
  <si>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</si>
  <si>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</si>
  <si>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</si>
  <si>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</si>
  <si>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</si>
  <si>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</si>
  <si>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</si>
  <si>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</si>
  <si>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</si>
  <si>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</si>
  <si>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</si>
  <si>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</si>
  <si>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</si>
  <si>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</si>
  <si>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</si>
  <si>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</si>
  <si>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</si>
  <si>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</si>
  <si>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</si>
  <si>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</si>
  <si>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</si>
  <si>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</si>
  <si>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</si>
  <si>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</si>
  <si>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</si>
  <si>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</si>
  <si>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</si>
  <si>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</si>
  <si>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</si>
  <si>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</si>
  <si>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</si>
  <si>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</si>
  <si>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</si>
  <si>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</si>
  <si>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</si>
  <si>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</si>
  <si>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</si>
  <si>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</si>
  <si>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</si>
  <si>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</si>
  <si>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</si>
  <si>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</si>
  <si>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</si>
  <si>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</si>
  <si>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</si>
  <si>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</si>
  <si>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</si>
  <si>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</si>
  <si>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</si>
  <si>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</si>
  <si>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</si>
  <si>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</si>
  <si>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</si>
  <si>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</si>
  <si>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</si>
  <si>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</si>
  <si>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</si>
  <si>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</si>
  <si>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</si>
  <si>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</si>
  <si>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</si>
  <si>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</si>
  <si>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</si>
  <si>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</si>
  <si>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</si>
  <si>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</si>
  <si>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</si>
  <si>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</si>
  <si>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</si>
  <si>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</si>
  <si>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</si>
  <si>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</si>
  <si>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</si>
  <si>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</si>
  <si>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</si>
  <si>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</si>
  <si>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</si>
  <si>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old</t>
    <phoneticPr fontId="22"/>
  </si>
  <si>
    <t>r6unit</t>
  </si>
  <si>
    <t>r6unit</t>
    <phoneticPr fontId="22"/>
  </si>
  <si>
    <t>-</t>
    <phoneticPr fontId="9"/>
  </si>
  <si>
    <t>[effect:special_block,val:12, count:3, animation:change_block]</t>
    <phoneticPr fontId="22"/>
  </si>
  <si>
    <t>[effect:damage, target:enemy_all, color:red, val:1.125, animation:damage_all_red05]</t>
    <phoneticPr fontId="22"/>
  </si>
  <si>
    <t>全体に特大ダメージ</t>
    <rPh sb="0" eb="3">
      <t>ゼン</t>
    </rPh>
    <rPh sb="3" eb="5">
      <t>トクダ</t>
    </rPh>
    <phoneticPr fontId="22"/>
  </si>
  <si>
    <t>[effect:damage, target:enemy_one, color:green, val:2.25, animation:damage_one_green05]</t>
    <phoneticPr fontId="22"/>
  </si>
  <si>
    <t>1体に特大ダメージ</t>
    <rPh sb="1" eb="3">
      <t>taiンi</t>
    </rPh>
    <rPh sb="3" eb="5">
      <t>トk</t>
    </rPh>
    <phoneticPr fontId="22"/>
  </si>
  <si>
    <t>全体に超大ダメージ</t>
    <rPh sb="0" eb="3">
      <t>ゼン</t>
    </rPh>
    <rPh sb="3" eb="5">
      <t>tyoudai</t>
    </rPh>
    <phoneticPr fontId="22"/>
  </si>
  <si>
    <t>[effect:damage, target:enemy_all, color:blue, val:1.25, animation:damage_one_blue05]</t>
    <phoneticPr fontId="22"/>
  </si>
  <si>
    <t>[effect:damage, target:enemy_one, color:yellow, val:2.25, animation:damage_one_yellow04]</t>
    <phoneticPr fontId="22"/>
  </si>
  <si>
    <t>ステータス</t>
    <phoneticPr fontId="22"/>
  </si>
  <si>
    <t>HP</t>
    <phoneticPr fontId="22"/>
  </si>
  <si>
    <t>Attack</t>
    <phoneticPr fontId="22"/>
  </si>
  <si>
    <t>Heal</t>
    <phoneticPr fontId="22"/>
  </si>
  <si>
    <t>ベリアル</t>
    <phoneticPr fontId="22"/>
  </si>
  <si>
    <t>オセ</t>
    <phoneticPr fontId="22"/>
  </si>
  <si>
    <t>フォルネウス</t>
    <phoneticPr fontId="22"/>
  </si>
  <si>
    <t>イザナミ</t>
    <phoneticPr fontId="22"/>
  </si>
  <si>
    <t>[effect:special_block,val:8, count:8, animation:change_block]</t>
    <phoneticPr fontId="22"/>
  </si>
  <si>
    <t>DropWizSSS</t>
    <phoneticPr fontId="9"/>
  </si>
  <si>
    <t>-</t>
    <phoneticPr fontId="9"/>
  </si>
  <si>
    <t>DropWizSS</t>
    <phoneticPr fontId="9"/>
  </si>
  <si>
    <t>-</t>
    <phoneticPr fontId="9"/>
  </si>
  <si>
    <t>DropWizS</t>
    <phoneticPr fontId="9"/>
  </si>
  <si>
    <t>DropWizN</t>
    <phoneticPr fontId="9"/>
  </si>
  <si>
    <t>DropWizW</t>
    <phoneticPr fontId="9"/>
  </si>
  <si>
    <t>DropWizSS</t>
    <phoneticPr fontId="9"/>
  </si>
  <si>
    <t>DropWizS</t>
    <phoneticPr fontId="9"/>
  </si>
  <si>
    <t>DropWizN</t>
    <phoneticPr fontId="9"/>
  </si>
  <si>
    <t>DropWizN</t>
    <phoneticPr fontId="9"/>
  </si>
  <si>
    <t>ランダムで1つSCパネルを生成する</t>
    <rPh sb="13" eb="17">
      <t>セ</t>
    </rPh>
    <phoneticPr fontId="22"/>
  </si>
  <si>
    <t>単体に赤属性の超大ダメージ+2ターン全ユニットの攻撃力UP(緑パネルを吸収して効果UP)</t>
    <rPh sb="0" eb="3">
      <t>タンタ</t>
    </rPh>
    <rPh sb="3" eb="4">
      <t>アk</t>
    </rPh>
    <rPh sb="4" eb="7">
      <t>ミドr</t>
    </rPh>
    <rPh sb="7" eb="8">
      <t>チョ</t>
    </rPh>
    <rPh sb="8" eb="13">
      <t>ダ</t>
    </rPh>
    <rPh sb="18" eb="19">
      <t>ゼン</t>
    </rPh>
    <rPh sb="24" eb="27">
      <t>コウゲk</t>
    </rPh>
    <rPh sb="30" eb="31">
      <t>ミドr</t>
    </rPh>
    <rPh sb="35" eb="39">
      <t>9sy</t>
    </rPh>
    <rPh sb="39" eb="41">
      <t>コウk</t>
    </rPh>
    <phoneticPr fontId="22"/>
  </si>
  <si>
    <t>ランダムで2つSCパネルを生成する</t>
    <rPh sb="13" eb="17">
      <t>セ</t>
    </rPh>
    <phoneticPr fontId="22"/>
  </si>
  <si>
    <t xml:space="preserve">{"ver":"1.3.4","type":"ability","effects":"[effect:enhance_unit, target:myself, turn:-1, status:attack, val:1000, calc:add, animation:enhance_unit_all_attack04]","conditions":"[condition:panel_total,count:30],[condition:active_unit]","logic":"and","priority":10}   </t>
    <phoneticPr fontId="22"/>
  </si>
  <si>
    <t xml:space="preserve">{"ver":"1.3.4","type":"ability","effects":"[effect:damage_up, target:myself, val:2, turn:3, type01:all]","conditions":"[condition:hp_rate,lower:0,upeer:50],[condition:active_unit]","logic":"and","priority":10}   </t>
    <phoneticPr fontId="22"/>
  </si>
  <si>
    <t xml:space="preserve">{"ver":"1.3.4","type":"ability","effects":"[effect:regenerate, turn:3, val:3000, type:fix, animation:heal02]","conditions":"[condition:hp_rate,lower:0,upeer:80],[condition:panel_chain,count:16,index:3]","logic":"or","priority":10}   </t>
    <phoneticPr fontId="22"/>
  </si>
  <si>
    <t>1ターンの間敵から受けるダメージを50%軽減+4ターン全ユニットのCパネル生成短縮(効果大)</t>
    <phoneticPr fontId="22"/>
  </si>
  <si>
    <t>3ターン自身の攻撃力を大UP+ランダムで3つクラッシュパネル(大)に変換する</t>
    <phoneticPr fontId="22"/>
  </si>
  <si>
    <t>[effect:special_block,val:8, count:3, animation:change_block],[effect:enhance_unit, target:myself, turn:3, status:attack, val:0.213, calc:mul, animation:enhance_unit_all_attack03]</t>
    <phoneticPr fontId="22"/>
  </si>
  <si>
    <t>[effect:degrade_unit, target:unit_all, turn:2, status:action, val:5.0, animation:enemy_tap_down],[effect:force_change_block, new_block:block_green, target:block_all, count:0, val:0, animation:change_block]</t>
    <phoneticPr fontId="22"/>
  </si>
  <si>
    <t>[effect:cure, bad_status:dis_heart, animation:cure01],[effect:heal_ratio, val:3, animation:heal04],[effect:damage, target:enemy_all, color:red, val:3, animation:damage_all_red03]</t>
    <phoneticPr fontId="22"/>
  </si>
  <si>
    <t>[effect:enhance_unit, target:unit_red, turn:3, status:attack, val:0.128, calc:mul, animation:enhance_unit_all_attack04_unit01],[effect:enhance_unit, target:unit_red, turn:3, status:defense, val:1280, calc:add, animation:enhance_unit_all_defense04_unit01],[effect:enhance_unit, target:unit_red, turn:3, status:heal, val:0.48, calc:mul, animation:enhance_unit_all_heal04_unit01]</t>
    <phoneticPr fontId="22"/>
  </si>
  <si>
    <t>1体に大ダメージ
残HPが少ないほど威力UP</t>
    <rPh sb="9" eb="10">
      <t>ノコ</t>
    </rPh>
    <rPh sb="13" eb="14">
      <t>スク</t>
    </rPh>
    <phoneticPr fontId="22"/>
  </si>
  <si>
    <t>[effect:damage_anger, target:enemy_one, color:blue, val1:1.4, val2:1.75, val3:2.1, val4:2.45, val5:2.8, animation:damage_one_blue04]</t>
    <phoneticPr fontId="22"/>
  </si>
  <si>
    <t>1体に大ダメージ
ゴッドに効果特大</t>
    <rPh sb="3" eb="4">
      <t>ダ</t>
    </rPh>
    <rPh sb="15" eb="16">
      <t>トク</t>
    </rPh>
    <phoneticPr fontId="9"/>
  </si>
  <si>
    <t>[effect:damage_anti_tribe, target:enemy_one, tribe:god, val1:3.375, val2:1.6,  animation:damage_one_red03]</t>
    <phoneticPr fontId="22"/>
  </si>
  <si>
    <t>１体に大ダメージ+
HPを中回復</t>
    <rPh sb="1" eb="8">
      <t>タ</t>
    </rPh>
    <rPh sb="13" eb="14">
      <t>チュ</t>
    </rPh>
    <phoneticPr fontId="22"/>
  </si>
  <si>
    <t>[effect:damage, target:enemy_one, color:red, val:1.2, animation:damage_one_red02],[effect:heal_ratio, val:0.18, animation:heal_unit, animation:heal02_unit01]</t>
    <phoneticPr fontId="22"/>
  </si>
  <si>
    <t>2回単体に大ダメージ</t>
    <rPh sb="1" eb="2">
      <t>カイ</t>
    </rPh>
    <rPh sb="2" eb="4">
      <t>タンタ</t>
    </rPh>
    <rPh sb="5" eb="6">
      <t>ダ</t>
    </rPh>
    <phoneticPr fontId="22"/>
  </si>
  <si>
    <t>1体に大ダメージ+
HPを大回復</t>
    <rPh sb="1" eb="2">
      <t>タンタ</t>
    </rPh>
    <rPh sb="2" eb="3">
      <t>ゼン</t>
    </rPh>
    <rPh sb="3" eb="4">
      <t>ダ</t>
    </rPh>
    <rPh sb="4" eb="8">
      <t>ダ</t>
    </rPh>
    <rPh sb="13" eb="14">
      <t>ダ</t>
    </rPh>
    <phoneticPr fontId="22"/>
  </si>
  <si>
    <t>[effect:damage, target:enemy_one, color:blue, val:1.2, animation:damage_one_blue02],[effect:heal_ratio, val:0.3, animation:heal_unit, animation:heal02_unit01]</t>
    <phoneticPr fontId="22"/>
  </si>
  <si>
    <t>[effect:damage, target:enemy_one, color:green, val:1.35, animation:damage_one_green02],[effect:damage, target:enemy_one, color:green, val:1.35, animation:damage_one_green02]</t>
    <phoneticPr fontId="22"/>
  </si>
  <si>
    <t>ヒューマンに効果大の単体大ダメージ
+ドラゴンに効果大の単体大ダメージ</t>
    <rPh sb="6" eb="8">
      <t>コウk</t>
    </rPh>
    <rPh sb="8" eb="9">
      <t>ダイ</t>
    </rPh>
    <rPh sb="10" eb="12">
      <t>タンタ</t>
    </rPh>
    <rPh sb="12" eb="13">
      <t>ダ</t>
    </rPh>
    <rPh sb="13" eb="17">
      <t>ダイダメーj</t>
    </rPh>
    <rPh sb="28" eb="30">
      <t>タンタ</t>
    </rPh>
    <rPh sb="30" eb="31">
      <t>ダ</t>
    </rPh>
    <rPh sb="31" eb="35">
      <t>ダイダメ</t>
    </rPh>
    <phoneticPr fontId="9"/>
  </si>
  <si>
    <t>[effect:damage_anti_tribe, target:enemy_one, tribe:human, val1:1.78, val2:0.8, animation:damage_one_yellow04],[effect:damage_anti_tribe, target:enemy_one, tribe:dragon, val1:1.78, val2:0.8, animation:damage_one_yellow04]</t>
    <phoneticPr fontId="22"/>
  </si>
  <si>
    <t>単体に青属性の超大ダメージ攻撃＋ウィルス状態を解除する</t>
    <rPh sb="7" eb="8">
      <t>チョ</t>
    </rPh>
    <phoneticPr fontId="22"/>
  </si>
  <si>
    <t>[effect:cure, bad_status:virus, animation:cure01],[effect:damage, target:enemy_one, color:blue, val:8.96, animation:damage_one_blue04]</t>
    <phoneticPr fontId="22"/>
  </si>
  <si>
    <t>ヒューマンに効果超大の
全体ダメージ+攻撃力小UP</t>
    <rPh sb="6" eb="8">
      <t>コウカトク</t>
    </rPh>
    <rPh sb="8" eb="9">
      <t>チョ</t>
    </rPh>
    <rPh sb="9" eb="10">
      <t>コウカダイ</t>
    </rPh>
    <rPh sb="12" eb="14">
      <t>ゼンタイ</t>
    </rPh>
    <rPh sb="19" eb="21">
      <t>コウゲキ</t>
    </rPh>
    <rPh sb="21" eb="22">
      <t>リョク</t>
    </rPh>
    <rPh sb="22" eb="23">
      <t>ショウ</t>
    </rPh>
    <phoneticPr fontId="9"/>
  </si>
  <si>
    <t>[effect:damage_anti_tribe, target:enemy_all, tribe:human, val1:1.3, val2:0.6, animation:damage_all_green06],[effect:enhance_unit, target:unit_all, turn:1, status:attack, val:0.018, calc:mul,animation:enhance_unit_all_attack01_unit01]</t>
    <phoneticPr fontId="22"/>
  </si>
  <si>
    <t>血炎斬首・天地沸騰</t>
    <rPh sb="5" eb="7">
      <t>テンチ</t>
    </rPh>
    <rPh sb="7" eb="8">
      <t>フットウ</t>
    </rPh>
    <rPh sb="8" eb="9">
      <t>フットウ</t>
    </rPh>
    <phoneticPr fontId="22"/>
  </si>
  <si>
    <t>破界のトリプレットターゲット</t>
    <rPh sb="1" eb="2">
      <t>セカイ</t>
    </rPh>
    <phoneticPr fontId="22"/>
  </si>
  <si>
    <t>メイド・イン・アビス</t>
    <phoneticPr fontId="22"/>
  </si>
  <si>
    <t>神母の連弾</t>
    <rPh sb="0" eb="1">
      <t>カミ</t>
    </rPh>
    <rPh sb="1" eb="2">
      <t>ハハ</t>
    </rPh>
    <rPh sb="3" eb="5">
      <t>レンダン</t>
    </rPh>
    <phoneticPr fontId="22"/>
  </si>
  <si>
    <t>烈火斬突・暴走</t>
    <rPh sb="5" eb="7">
      <t>ボウソウ</t>
    </rPh>
    <phoneticPr fontId="22"/>
  </si>
  <si>
    <t>エメラルド・インパクト</t>
    <phoneticPr fontId="22"/>
  </si>
  <si>
    <t>絶滅契約</t>
    <rPh sb="0" eb="2">
      <t>ゼツメツ</t>
    </rPh>
    <rPh sb="2" eb="4">
      <t>ケイヤク</t>
    </rPh>
    <phoneticPr fontId="22"/>
  </si>
  <si>
    <t>烈輝の奇環連砲</t>
    <rPh sb="0" eb="1">
      <t>レツ</t>
    </rPh>
    <rPh sb="1" eb="2">
      <t>カガヤ</t>
    </rPh>
    <rPh sb="5" eb="6">
      <t>レン</t>
    </rPh>
    <rPh sb="6" eb="7">
      <t>ホウダン</t>
    </rPh>
    <phoneticPr fontId="22"/>
  </si>
  <si>
    <t>skill</t>
    <phoneticPr fontId="22"/>
  </si>
  <si>
    <t>cskill</t>
    <phoneticPr fontId="22"/>
  </si>
  <si>
    <t>cskill</t>
    <phoneticPr fontId="22"/>
  </si>
  <si>
    <t>cskill</t>
    <phoneticPr fontId="22"/>
  </si>
  <si>
    <t>cskill</t>
    <phoneticPr fontId="22"/>
  </si>
  <si>
    <t>ja</t>
    <phoneticPr fontId="22"/>
  </si>
  <si>
    <t>ja</t>
    <phoneticPr fontId="22"/>
  </si>
  <si>
    <t>派手に抗ってやるぜッ！</t>
    <rPh sb="0" eb="2">
      <t>ハデ</t>
    </rPh>
    <rPh sb="3" eb="4">
      <t>アラガ</t>
    </rPh>
    <phoneticPr fontId="22"/>
  </si>
  <si>
    <t>これがオレの生き方だッ！</t>
    <rPh sb="6" eb="7">
      <t>イ</t>
    </rPh>
    <rPh sb="8" eb="9">
      <t>カタ</t>
    </rPh>
    <phoneticPr fontId="22"/>
  </si>
  <si>
    <t>待ってたぜ、この時をな！</t>
    <rPh sb="0" eb="1">
      <t>マ</t>
    </rPh>
    <rPh sb="8" eb="9">
      <t>トキ</t>
    </rPh>
    <phoneticPr fontId="22"/>
  </si>
  <si>
    <t>giza</t>
    <phoneticPr fontId="22"/>
  </si>
  <si>
    <t>maru</t>
    <phoneticPr fontId="22"/>
  </si>
  <si>
    <t>これは特別なんだからね！</t>
    <rPh sb="3" eb="5">
      <t>トクベツ</t>
    </rPh>
    <phoneticPr fontId="22"/>
  </si>
  <si>
    <t>揺さぶってやるんだから！</t>
    <rPh sb="0" eb="1">
      <t>ユ</t>
    </rPh>
    <phoneticPr fontId="22"/>
  </si>
  <si>
    <t>形勢逆転しちゃうわよ…！</t>
    <rPh sb="0" eb="4">
      <t>ケイセイギャクテン</t>
    </rPh>
    <phoneticPr fontId="22"/>
  </si>
  <si>
    <t>大海を知りなさーい！</t>
    <rPh sb="0" eb="2">
      <t>オオウミ</t>
    </rPh>
    <rPh sb="3" eb="4">
      <t>シ</t>
    </rPh>
    <phoneticPr fontId="22"/>
  </si>
  <si>
    <t>大波ざばーんといくよー！</t>
    <rPh sb="0" eb="2">
      <t>オオナミ</t>
    </rPh>
    <phoneticPr fontId="22"/>
  </si>
  <si>
    <t>giza</t>
    <phoneticPr fontId="22"/>
  </si>
  <si>
    <t>藻屑になっちゃいなさい！</t>
    <rPh sb="0" eb="2">
      <t>モクズ</t>
    </rPh>
    <phoneticPr fontId="22"/>
  </si>
  <si>
    <t>maru</t>
    <phoneticPr fontId="22"/>
  </si>
  <si>
    <t>これを待ってたんでしょ？</t>
    <rPh sb="3" eb="4">
      <t>マ</t>
    </rPh>
    <phoneticPr fontId="22"/>
  </si>
  <si>
    <t>これでどうかしら？</t>
    <phoneticPr fontId="22"/>
  </si>
  <si>
    <t>暴れなさい子どもたち！</t>
    <rPh sb="0" eb="1">
      <t>アバ</t>
    </rPh>
    <rPh sb="5" eb="6">
      <t>コ</t>
    </rPh>
    <phoneticPr fontId="22"/>
  </si>
  <si>
    <t>地獄の始まりだぜッ！</t>
  </si>
  <si>
    <t>giza</t>
    <phoneticPr fontId="22"/>
  </si>
  <si>
    <t>絶体に止まらねぇッ！</t>
    <phoneticPr fontId="22"/>
  </si>
  <si>
    <t>これでトドメなんだから！</t>
  </si>
  <si>
    <t>照準に誤差はないわ！</t>
    <phoneticPr fontId="22"/>
  </si>
  <si>
    <t>後には退けないよー！</t>
  </si>
  <si>
    <t>海の凄さを認めなさーい！</t>
    <phoneticPr fontId="22"/>
  </si>
  <si>
    <t>見なさい！奇跡の誕生を！</t>
    <phoneticPr fontId="22"/>
  </si>
  <si>
    <t>あたしを怒らせたわね</t>
    <phoneticPr fontId="22"/>
  </si>
  <si>
    <t>1体に赤属性の超大ダメージ+3ターン攻撃力UP(緑パネルを吸収して効果UP)</t>
    <rPh sb="1" eb="3">
      <t>タンタ</t>
    </rPh>
    <rPh sb="3" eb="4">
      <t>アk</t>
    </rPh>
    <rPh sb="4" eb="7">
      <t>ミドr</t>
    </rPh>
    <rPh sb="7" eb="8">
      <t>チョ</t>
    </rPh>
    <rPh sb="8" eb="13">
      <t>ダ</t>
    </rPh>
    <rPh sb="18" eb="21">
      <t>コウゲk</t>
    </rPh>
    <rPh sb="24" eb="25">
      <t>ミドr</t>
    </rPh>
    <rPh sb="29" eb="33">
      <t>9sy</t>
    </rPh>
    <rPh sb="33" eb="35">
      <t>コウk</t>
    </rPh>
    <phoneticPr fontId="22"/>
  </si>
  <si>
    <t>赤・黄パネルを全て破壊し、破壊したパネルの数だけ1体に超大ダメージ</t>
    <rPh sb="0" eb="1">
      <t>アk</t>
    </rPh>
    <rPh sb="27" eb="28">
      <t>チョ</t>
    </rPh>
    <phoneticPr fontId="22"/>
  </si>
  <si>
    <t>パネルを3つランダムでSCパネルに変換する</t>
    <rPh sb="17" eb="19">
      <t>ヘn</t>
    </rPh>
    <rPh sb="19" eb="21">
      <t>セ</t>
    </rPh>
    <phoneticPr fontId="22"/>
  </si>
  <si>
    <t>パネルを8つランダムでCパネルに変換する</t>
    <phoneticPr fontId="22"/>
  </si>
  <si>
    <t>[effect:damage, target:enemy_all, color:blue, val:1.25, animation:damage_all_blue05]</t>
    <phoneticPr fontId="22"/>
  </si>
  <si>
    <t>[effect:break_enchance_unit, val:0.005, lowest_val:0.2, count :-1, status:attack, turn:3, block:block_green, target:unit_all, calc:mul, animation:enhance_unit_all_attack04],[effect:damage, target:enemy_one, color:red, val:9.0, animation:damage_one_red05]</t>
    <phoneticPr fontId="22"/>
  </si>
  <si>
    <t>[effect:break_attack, val:0.54, lowest_val:0, count:-1, block01:block_yellow,block02:block_red, color:blue, target:enemy_one, animation:damage_one_blue05]</t>
    <phoneticPr fontId="22"/>
  </si>
  <si>
    <t>[effect:damage, target:enemy_one, color:yellow, val:2.25, animation:damage_one_yellow05]</t>
    <phoneticPr fontId="22"/>
  </si>
  <si>
    <t>HP25%消費し、2ターンタップ回数を2増やす+4ターンCパネル生成短縮(効果特大)+回復力特大UP</t>
    <rPh sb="37" eb="39">
      <t>コウk</t>
    </rPh>
    <rPh sb="39" eb="41">
      <t>トk</t>
    </rPh>
    <rPh sb="43" eb="46">
      <t>カイフk</t>
    </rPh>
    <rPh sb="46" eb="48">
      <t>トクダ</t>
    </rPh>
    <phoneticPr fontId="22"/>
  </si>
  <si>
    <t>ハート無効解除+大回復+全体にダメージ攻撃</t>
    <phoneticPr fontId="22"/>
  </si>
  <si>
    <t>2ターンの間パネルタップ回数を2にする代わりに、すべてのパネルを緑パネルに変換する</t>
    <phoneticPr fontId="22"/>
  </si>
  <si>
    <t>[effect:crash_condition, target:unit_all, val:-1, turn:4, animation:crash_panel_reduce04],[effect:reduction, target:unit_all, turn:1, color:all, val:0.5, animation:reduction_one03]</t>
    <phoneticPr fontId="22"/>
  </si>
  <si>
    <t xml:space="preserve">[effect:hp_spend, val:0.25, animation:spend_hp],[effect:enhance_unit, target:unit_all, turn:2, status:action, val:2.0, calc:mul, animation:enhance_unit_one_action02],[effect:crash_condition, target:unit_all, val:-4, turn:4, animation:crash_panel_reduce03] ,[effect:enhance_unit, target:unit_all, turn:4, status:heal, val:0.45, calc:mul, animation:enhance_unit_all_heal04_unit01]
</t>
    <phoneticPr fontId="22"/>
  </si>
  <si>
    <t>3ターンの間赤属性のユニットの攻撃力を小UP+防御力と回復力を大UP</t>
  </si>
  <si>
    <t>カウンター状態を解除+1体に超大ダメージ(カウンター状態の敵に効果激烈)+2ターン全ユニットCパネル生成短縮(効果超大)</t>
    <phoneticPr fontId="22"/>
  </si>
  <si>
    <t>[effect:damage_anti_tribe, target:enemy_one, tribe:human, val1:3.75, val2:1.5,  animation:damage_one_yellow04]</t>
    <phoneticPr fontId="22"/>
  </si>
  <si>
    <t>1体に特大ダメージ
種族ヒューマンに効果超大</t>
    <rPh sb="10" eb="12">
      <t>シュゾk</t>
    </rPh>
    <phoneticPr fontId="22"/>
  </si>
  <si>
    <t>[effect:damage_status_break, target:enemy_one, status:counter, color:green, val1:12.9, val2:8.16, animation:damage_counter_break05],[effect:crash_condition, target:unit_all, turn:2, val:-6, animation:crash_panel_reduce04]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</si>
</sst>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3" fillId="20" borderId="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6" fillId="15" borderId="4" xfId="0" applyFont="1" applyFill="1" applyBorder="1" applyAlignment="1">
      <alignment horizontal="right" vertical="center"/>
    </xf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5" borderId="21" xfId="0" applyFont="1" applyFill="1" applyBorder="1" applyAlignment="1">
      <alignment horizontal="center"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17" fillId="26" borderId="12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15" fillId="11" borderId="0" xfId="0" applyFont="1" applyFill="1" applyBorder="1" applyAlignment="1">
      <alignment horizontal="left" vertical="center"/>
    </xf>
    <xf numFmtId="0" fontId="15" fillId="8" borderId="26" xfId="0" applyFont="1" applyFill="1" applyBorder="1" applyAlignment="1">
      <alignment horizontal="left" vertical="center"/>
    </xf>
    <xf numFmtId="0" fontId="15" fillId="7" borderId="26" xfId="0" applyFont="1" applyFill="1" applyBorder="1" applyAlignment="1">
      <alignment horizontal="left" vertical="center"/>
    </xf>
    <xf numFmtId="0" fontId="12" fillId="8" borderId="26" xfId="0" applyFont="1" applyFill="1" applyBorder="1" applyAlignment="1">
      <alignment horizontal="left" vertical="center"/>
    </xf>
    <xf numFmtId="0" fontId="15" fillId="11" borderId="26" xfId="0" applyFont="1" applyFill="1" applyBorder="1" applyAlignment="1">
      <alignment horizontal="left" vertical="center"/>
    </xf>
    <xf numFmtId="0" fontId="12" fillId="9" borderId="27" xfId="0" applyFont="1" applyFill="1" applyBorder="1" applyAlignment="1">
      <alignment horizontal="left" vertical="center"/>
    </xf>
    <xf numFmtId="0" fontId="16" fillId="7" borderId="13" xfId="0" applyFont="1" applyFill="1" applyBorder="1" applyAlignment="1">
      <alignment horizontal="left" vertical="center"/>
    </xf>
    <xf numFmtId="0" fontId="16" fillId="7" borderId="7" xfId="0" applyFont="1" applyFill="1" applyBorder="1" applyAlignment="1">
      <alignment horizontal="right" vertical="center"/>
    </xf>
    <xf numFmtId="0" fontId="13" fillId="15" borderId="4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 wrapText="1"/>
    </xf>
    <xf numFmtId="0" fontId="25" fillId="0" borderId="7" xfId="0" applyFont="1" applyFill="1" applyBorder="1" applyAlignment="1">
      <alignment vertical="center"/>
    </xf>
    <xf numFmtId="0" fontId="25" fillId="11" borderId="7" xfId="0" applyFont="1" applyFill="1" applyBorder="1" applyAlignment="1">
      <alignment vertical="center" wrapText="1"/>
    </xf>
    <xf numFmtId="0" fontId="14" fillId="26" borderId="4" xfId="0" applyFont="1" applyFill="1" applyBorder="1" applyAlignment="1">
      <alignment horizontal="left" vertical="center" wrapText="1"/>
    </xf>
    <xf numFmtId="0" fontId="16" fillId="0" borderId="4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horizontal="left"/>
    </xf>
    <xf numFmtId="0" fontId="13" fillId="0" borderId="4" xfId="0" applyFont="1" applyFill="1" applyBorder="1" applyAlignment="1">
      <alignment horizontal="left"/>
    </xf>
    <xf numFmtId="0" fontId="26" fillId="0" borderId="4" xfId="0" applyFont="1" applyFill="1" applyBorder="1" applyAlignment="1">
      <alignment horizontal="left"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1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C18" sqref="C18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1" t="s">
        <v>131</v>
      </c>
      <c r="B1" s="111" t="s">
        <v>122</v>
      </c>
      <c r="C1" s="111" t="s">
        <v>123</v>
      </c>
      <c r="D1" s="111" t="s">
        <v>124</v>
      </c>
      <c r="E1" s="111" t="s">
        <v>125</v>
      </c>
      <c r="F1" s="111" t="s">
        <v>126</v>
      </c>
      <c r="G1" s="111" t="s">
        <v>127</v>
      </c>
      <c r="H1" s="111"/>
      <c r="I1" s="111"/>
      <c r="J1" s="111"/>
      <c r="K1" s="111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</row>
    <row r="2" spans="1:23" x14ac:dyDescent="0.15">
      <c r="A2" s="113" t="s">
        <v>229</v>
      </c>
      <c r="B2" s="113" t="s">
        <v>135</v>
      </c>
      <c r="C2" s="113" t="s">
        <v>231</v>
      </c>
      <c r="D2" s="113" t="s">
        <v>134</v>
      </c>
      <c r="E2" s="112" t="str">
        <f t="shared" ref="E2:E10" si="0">B2&amp;C2&amp;D2</f>
        <v>units_r6unit.tmp</v>
      </c>
      <c r="F2" s="113" t="s">
        <v>130</v>
      </c>
      <c r="G2" s="65" t="s">
        <v>17</v>
      </c>
      <c r="H2" s="66" t="s">
        <v>102</v>
      </c>
      <c r="I2" s="66" t="s">
        <v>1</v>
      </c>
      <c r="J2" s="66" t="s">
        <v>3</v>
      </c>
      <c r="K2" s="66" t="s">
        <v>2</v>
      </c>
      <c r="L2" s="66" t="s">
        <v>104</v>
      </c>
      <c r="M2" s="66" t="s">
        <v>20</v>
      </c>
      <c r="N2" s="66" t="s">
        <v>109</v>
      </c>
      <c r="O2" s="66" t="s">
        <v>107</v>
      </c>
      <c r="P2" s="66" t="s">
        <v>45</v>
      </c>
      <c r="Q2" s="66" t="s">
        <v>63</v>
      </c>
      <c r="R2" s="113"/>
      <c r="S2" s="113"/>
      <c r="T2" s="113"/>
      <c r="U2" s="113"/>
      <c r="V2" s="113"/>
      <c r="W2" s="113"/>
    </row>
    <row r="3" spans="1:23" x14ac:dyDescent="0.15">
      <c r="A3" s="113" t="s">
        <v>229</v>
      </c>
      <c r="B3" s="113" t="s">
        <v>136</v>
      </c>
      <c r="C3" s="113" t="s">
        <v>231</v>
      </c>
      <c r="D3" s="113" t="s">
        <v>134</v>
      </c>
      <c r="E3" s="112" t="str">
        <f t="shared" si="0"/>
        <v>awake_materials_r6unit.tmp</v>
      </c>
      <c r="F3" s="113" t="s">
        <v>129</v>
      </c>
      <c r="G3" s="114" t="s">
        <v>44</v>
      </c>
      <c r="H3" s="115" t="s">
        <v>42</v>
      </c>
      <c r="I3" s="115" t="s">
        <v>43</v>
      </c>
      <c r="J3" s="117" t="s">
        <v>132</v>
      </c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</row>
    <row r="4" spans="1:23" x14ac:dyDescent="0.15">
      <c r="A4" s="113" t="s">
        <v>229</v>
      </c>
      <c r="B4" s="113" t="s">
        <v>137</v>
      </c>
      <c r="C4" s="113" t="s">
        <v>230</v>
      </c>
      <c r="D4" s="113" t="s">
        <v>138</v>
      </c>
      <c r="E4" s="112" t="str">
        <f t="shared" si="0"/>
        <v>unit_levels_calc_r6unit.tmp</v>
      </c>
      <c r="F4" s="113" t="s">
        <v>128</v>
      </c>
      <c r="G4" s="61" t="s">
        <v>17</v>
      </c>
      <c r="H4" s="62" t="s">
        <v>2</v>
      </c>
      <c r="I4" s="63" t="s">
        <v>85</v>
      </c>
      <c r="J4" s="63" t="s">
        <v>86</v>
      </c>
      <c r="K4" s="63" t="s">
        <v>87</v>
      </c>
      <c r="L4" s="63" t="s">
        <v>88</v>
      </c>
      <c r="M4" s="63" t="s">
        <v>93</v>
      </c>
      <c r="N4" s="63" t="s">
        <v>94</v>
      </c>
      <c r="O4" s="63" t="s">
        <v>95</v>
      </c>
      <c r="P4" s="63" t="s">
        <v>96</v>
      </c>
      <c r="Q4" s="63" t="s">
        <v>97</v>
      </c>
      <c r="R4" s="63" t="s">
        <v>100</v>
      </c>
      <c r="S4" s="63" t="s">
        <v>98</v>
      </c>
      <c r="T4" s="63" t="s">
        <v>99</v>
      </c>
      <c r="U4" s="63" t="s">
        <v>89</v>
      </c>
      <c r="V4" s="63" t="s">
        <v>90</v>
      </c>
      <c r="W4" s="63" t="s">
        <v>91</v>
      </c>
    </row>
    <row r="5" spans="1:23" x14ac:dyDescent="0.15">
      <c r="A5" s="113" t="s">
        <v>229</v>
      </c>
      <c r="B5" s="113" t="s">
        <v>149</v>
      </c>
      <c r="C5" s="113" t="s">
        <v>230</v>
      </c>
      <c r="D5" s="113" t="s">
        <v>150</v>
      </c>
      <c r="E5" s="112" t="str">
        <f t="shared" si="0"/>
        <v>unit_skills_data_r6unit.tmp</v>
      </c>
      <c r="F5" s="113" t="s">
        <v>151</v>
      </c>
      <c r="G5" s="122" t="s">
        <v>20</v>
      </c>
      <c r="H5" s="122" t="s">
        <v>152</v>
      </c>
      <c r="I5" s="122" t="s">
        <v>2</v>
      </c>
      <c r="J5" s="122" t="s">
        <v>153</v>
      </c>
      <c r="K5" s="122" t="s">
        <v>154</v>
      </c>
      <c r="L5" s="122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15">
      <c r="A6" s="113" t="s">
        <v>229</v>
      </c>
      <c r="B6" s="113" t="s">
        <v>155</v>
      </c>
      <c r="C6" s="113" t="s">
        <v>230</v>
      </c>
      <c r="D6" s="113" t="s">
        <v>134</v>
      </c>
      <c r="E6" s="112" t="str">
        <f t="shared" si="0"/>
        <v>unit_skills_i18n_r6unit.tmp</v>
      </c>
      <c r="F6" s="113" t="s">
        <v>151</v>
      </c>
      <c r="G6" s="122" t="s">
        <v>156</v>
      </c>
      <c r="H6" s="122" t="s">
        <v>140</v>
      </c>
      <c r="I6" s="122" t="s">
        <v>157</v>
      </c>
      <c r="J6" s="122" t="s">
        <v>158</v>
      </c>
      <c r="K6" s="116"/>
      <c r="L6" s="116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15">
      <c r="A7" s="113" t="s">
        <v>229</v>
      </c>
      <c r="B7" s="113" t="s">
        <v>159</v>
      </c>
      <c r="C7" s="113" t="s">
        <v>230</v>
      </c>
      <c r="D7" s="113" t="s">
        <v>160</v>
      </c>
      <c r="E7" s="112" t="str">
        <f t="shared" si="0"/>
        <v>crash_skills_data_r6unit.tmp</v>
      </c>
      <c r="F7" s="113" t="s">
        <v>161</v>
      </c>
      <c r="G7" s="122" t="s">
        <v>162</v>
      </c>
      <c r="H7" s="122" t="s">
        <v>154</v>
      </c>
      <c r="I7" s="122" t="s">
        <v>4</v>
      </c>
      <c r="J7" s="116"/>
      <c r="K7" s="116"/>
      <c r="L7" s="116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15">
      <c r="A8" s="113" t="s">
        <v>229</v>
      </c>
      <c r="B8" s="113" t="s">
        <v>163</v>
      </c>
      <c r="C8" s="113" t="s">
        <v>230</v>
      </c>
      <c r="D8" s="113" t="s">
        <v>164</v>
      </c>
      <c r="E8" s="112" t="str">
        <f t="shared" si="0"/>
        <v>crash_skills_i18n_r6unit.tmp</v>
      </c>
      <c r="F8" s="113" t="s">
        <v>161</v>
      </c>
      <c r="G8" s="122" t="s">
        <v>165</v>
      </c>
      <c r="H8" s="122" t="s">
        <v>166</v>
      </c>
      <c r="I8" s="122" t="s">
        <v>167</v>
      </c>
      <c r="J8" s="122" t="s">
        <v>168</v>
      </c>
      <c r="K8" s="123"/>
      <c r="L8" s="12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15">
      <c r="A9" s="113" t="s">
        <v>229</v>
      </c>
      <c r="B9" s="116" t="s">
        <v>141</v>
      </c>
      <c r="C9" s="113" t="s">
        <v>230</v>
      </c>
      <c r="D9" s="113" t="s">
        <v>164</v>
      </c>
      <c r="E9" s="112" t="str">
        <f t="shared" si="0"/>
        <v>unit_serifs_data_r6unit.tmp</v>
      </c>
      <c r="F9" s="116" t="s">
        <v>143</v>
      </c>
      <c r="G9" s="121" t="s">
        <v>144</v>
      </c>
      <c r="H9" s="122" t="s">
        <v>145</v>
      </c>
      <c r="I9" s="122" t="s">
        <v>139</v>
      </c>
      <c r="J9" s="120" t="s">
        <v>196</v>
      </c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</row>
    <row r="10" spans="1:23" x14ac:dyDescent="0.15">
      <c r="A10" s="113" t="s">
        <v>229</v>
      </c>
      <c r="B10" s="116" t="s">
        <v>142</v>
      </c>
      <c r="C10" s="113" t="s">
        <v>230</v>
      </c>
      <c r="D10" s="113" t="s">
        <v>164</v>
      </c>
      <c r="E10" s="112" t="str">
        <f t="shared" si="0"/>
        <v>unit_serifs_i18n_r6unit.tmp</v>
      </c>
      <c r="F10" s="116" t="s">
        <v>143</v>
      </c>
      <c r="G10" s="121" t="s">
        <v>146</v>
      </c>
      <c r="H10" s="122" t="s">
        <v>147</v>
      </c>
      <c r="I10" s="122" t="s">
        <v>148</v>
      </c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Q23"/>
  <sheetViews>
    <sheetView showGridLines="0" workbookViewId="0">
      <pane xSplit="9" ySplit="1" topLeftCell="AY2" activePane="bottomRight" state="frozen"/>
      <selection pane="topRight" activeCell="J1" sqref="J1"/>
      <selection pane="bottomLeft" activeCell="A3" sqref="A3"/>
      <selection pane="bottomRight" activeCell="A2" sqref="A2:XFD2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69" ht="21" customHeight="1" x14ac:dyDescent="0.15">
      <c r="A1" s="172" t="s">
        <v>114</v>
      </c>
      <c r="B1" s="171" t="s">
        <v>50</v>
      </c>
      <c r="C1" s="173" t="s">
        <v>27</v>
      </c>
      <c r="D1" s="173" t="s">
        <v>30</v>
      </c>
      <c r="E1" s="173" t="s">
        <v>28</v>
      </c>
      <c r="F1" s="173" t="s">
        <v>29</v>
      </c>
      <c r="G1" s="172" t="s">
        <v>1</v>
      </c>
      <c r="H1" s="174" t="s">
        <v>19</v>
      </c>
      <c r="I1" s="175" t="s">
        <v>0</v>
      </c>
      <c r="J1" s="176" t="s">
        <v>55</v>
      </c>
      <c r="K1" s="176" t="s">
        <v>54</v>
      </c>
      <c r="L1" s="176" t="s">
        <v>56</v>
      </c>
      <c r="M1" s="176" t="s">
        <v>57</v>
      </c>
      <c r="N1" s="172" t="s">
        <v>3</v>
      </c>
      <c r="O1" s="92" t="s">
        <v>2</v>
      </c>
      <c r="P1" s="87" t="s">
        <v>103</v>
      </c>
      <c r="Q1" s="93" t="s">
        <v>18</v>
      </c>
      <c r="R1" s="86" t="s">
        <v>58</v>
      </c>
      <c r="S1" s="94" t="s">
        <v>23</v>
      </c>
      <c r="T1" s="94" t="s">
        <v>24</v>
      </c>
      <c r="U1" s="94" t="s">
        <v>26</v>
      </c>
      <c r="V1" s="94" t="s">
        <v>25</v>
      </c>
      <c r="W1" s="89" t="s">
        <v>32</v>
      </c>
      <c r="X1" s="90" t="s">
        <v>59</v>
      </c>
      <c r="Y1" s="89" t="s">
        <v>33</v>
      </c>
      <c r="Z1" s="90" t="s">
        <v>59</v>
      </c>
      <c r="AA1" s="91" t="s">
        <v>23</v>
      </c>
      <c r="AB1" s="91" t="s">
        <v>24</v>
      </c>
      <c r="AC1" s="91" t="s">
        <v>26</v>
      </c>
      <c r="AD1" s="91" t="s">
        <v>25</v>
      </c>
      <c r="AE1" s="95" t="s">
        <v>106</v>
      </c>
      <c r="AF1" s="86" t="s">
        <v>51</v>
      </c>
      <c r="AG1" s="96" t="s">
        <v>64</v>
      </c>
      <c r="AH1" s="86" t="s">
        <v>51</v>
      </c>
      <c r="AI1" s="96" t="s">
        <v>52</v>
      </c>
      <c r="AJ1" s="88" t="s">
        <v>73</v>
      </c>
      <c r="AK1" s="86" t="s">
        <v>21</v>
      </c>
      <c r="AL1" s="97" t="s">
        <v>74</v>
      </c>
      <c r="AM1" s="98" t="s">
        <v>72</v>
      </c>
      <c r="AN1" s="98" t="s">
        <v>75</v>
      </c>
      <c r="AO1" s="99" t="s">
        <v>31</v>
      </c>
      <c r="AP1" s="95" t="s">
        <v>20</v>
      </c>
      <c r="AQ1" s="100" t="s">
        <v>119</v>
      </c>
      <c r="AR1" s="100" t="s">
        <v>113</v>
      </c>
      <c r="AS1" s="86" t="s">
        <v>110</v>
      </c>
      <c r="AT1" s="95" t="s">
        <v>108</v>
      </c>
      <c r="AU1" s="86" t="s">
        <v>116</v>
      </c>
      <c r="AV1" s="100" t="s">
        <v>113</v>
      </c>
      <c r="AW1" s="86" t="s">
        <v>110</v>
      </c>
      <c r="AX1" s="90" t="s">
        <v>4</v>
      </c>
      <c r="AY1" s="101" t="s">
        <v>60</v>
      </c>
      <c r="AZ1" s="101" t="s">
        <v>61</v>
      </c>
      <c r="BA1" s="101" t="s">
        <v>120</v>
      </c>
      <c r="BB1" s="101" t="s">
        <v>62</v>
      </c>
      <c r="BC1" s="5" t="s">
        <v>22</v>
      </c>
      <c r="BD1" s="104" t="s">
        <v>34</v>
      </c>
      <c r="BE1" s="102" t="s">
        <v>5</v>
      </c>
      <c r="BF1" s="103" t="s">
        <v>6</v>
      </c>
      <c r="BG1" s="105" t="s">
        <v>76</v>
      </c>
      <c r="BH1" s="105" t="s">
        <v>77</v>
      </c>
      <c r="BI1" s="105" t="s">
        <v>78</v>
      </c>
      <c r="BJ1" s="105" t="s">
        <v>79</v>
      </c>
      <c r="BK1" s="106" t="s">
        <v>80</v>
      </c>
      <c r="BL1" s="106" t="s">
        <v>101</v>
      </c>
      <c r="BM1" s="106" t="s">
        <v>81</v>
      </c>
      <c r="BN1" s="106" t="s">
        <v>82</v>
      </c>
      <c r="BO1" s="107" t="s">
        <v>83</v>
      </c>
      <c r="BP1" s="108" t="s">
        <v>84</v>
      </c>
      <c r="BQ1" s="108" t="s">
        <v>92</v>
      </c>
    </row>
    <row r="2" spans="1:69" ht="21" customHeight="1" x14ac:dyDescent="0.15">
      <c r="A2" s="12">
        <v>783</v>
      </c>
      <c r="B2" s="177" t="str">
        <f ca="1">VLOOKUP($A2,OFFSET([1]characters!$A$1,0,0,COUNTA([1]characters!$A:$A),MATCH(B$1,[1]characters!$1:$1,0)-MATCH($A$1,[1]characters!$1:$1,0)+1),MATCH(B$1,[1]characters!$1:$1,0)-MATCH($A$1,[1]characters!$1:$1,0)+1,FALSE)</f>
        <v>モールス</v>
      </c>
      <c r="C2" s="177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各属性相性良3・黄・R401</v>
      </c>
      <c r="D2" s="17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17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177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177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177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17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78">
        <f ca="1">VLOOKUP(I2,[1]属性!$A:$E,2,FALSE)</f>
        <v>1</v>
      </c>
      <c r="K2" s="178">
        <f ca="1">VLOOKUP(I2,[1]属性!$A:$E,3,FALSE)</f>
        <v>1.02</v>
      </c>
      <c r="L2" s="178">
        <f ca="1">VLOOKUP(I2,[1]属性!$A:$E,4,FALSE)</f>
        <v>1</v>
      </c>
      <c r="M2" s="178">
        <f ca="1">VLOOKUP(I2,[1]属性!$A:$E,5,FALSE)</f>
        <v>0.98</v>
      </c>
      <c r="N2" s="178">
        <f ca="1">INDEX(コスト!$A$1:$I$20,MATCH(H2,コスト!$A$1:$A$20,FALSE),MATCH(G2,コスト!$A$1:$I$1,FALSE))</f>
        <v>40</v>
      </c>
      <c r="O2" s="11">
        <f ca="1">INDEX(レベル!$A$1:$I$21,MATCH(H2,レベル!$A$1:$A$21,FALSE),MATCH(G2,レベル!$A$1:$I$1,FALSE))</f>
        <v>80</v>
      </c>
      <c r="P2" s="49">
        <f t="shared" ref="P2:P23" ca="1" si="0">IF(G2=6,99, G2*15)</f>
        <v>75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1">
        <f ca="1">VLOOKUP(Q2,[1]character_type_i18n!$A:$H,4,FALSE)</f>
        <v>0.9</v>
      </c>
      <c r="T2" s="11">
        <f ca="1">VLOOKUP(Q2,[1]character_type_i18n!$A:$H,5,FALSE)</f>
        <v>0.9</v>
      </c>
      <c r="U2" s="11">
        <f ca="1">VLOOKUP(Q2,[1]character_type_i18n!$A:$H,6,FALSE)</f>
        <v>1</v>
      </c>
      <c r="V2" s="11">
        <f ca="1">VLOOKUP(Q2,[1]character_type_i18n!$A:$H,7,FALSE)</f>
        <v>0.9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 t="s">
        <v>189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ca="1">IF(ISNA(MATCH(A2,AE:AE,0)),A2,INDIRECT(ADDRESS(MATCH(A2,AE:AE,0),COLUMN())))</f>
        <v>783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モールス</v>
      </c>
      <c r="AI2" s="11" t="str">
        <f>IF(AE2="NULL","NULL",VLOOKUP(G2,ビット!$A$2:$B$7,2))</f>
        <v>NULL</v>
      </c>
      <c r="AJ2" s="6">
        <v>2</v>
      </c>
      <c r="AK2" s="7" t="str">
        <f t="shared" ref="AK2:AK4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required_exp_250</v>
      </c>
      <c r="AM2" s="8">
        <f ca="1">VLOOKUP(G2,経験値!$A$27:$B$31,2)</f>
        <v>6400</v>
      </c>
      <c r="AN2" s="17">
        <f ca="1">VLOOKUP(G2,ビット!$G$2:$H$7,2)</f>
        <v>900</v>
      </c>
      <c r="AO2" s="46"/>
      <c r="AP2" s="69">
        <f t="shared" ref="AP2:AP4" si="2">A2</f>
        <v>783</v>
      </c>
      <c r="AQ2" s="59" t="str">
        <f ca="1">VLOOKUP($AP2,OFFSET(unit_skills!$A$1,0,0,COUNTA(unit_skills!$A:$A),MATCH(AQ$1,unit_skills!$1:$1,0)-MATCH($AP$1,unit_skills!$1:$1,0)+1),MATCH(AQ$1,unit_skills!$1:$1,0)-MATCH($AP$1,unit_skills!$1:$1,0)+1,FALSE)</f>
        <v>モールスの技</v>
      </c>
      <c r="AR2" s="59" t="str">
        <f ca="1">VLOOKUP($AP2,OFFSET(unit_skills!$A$1,0,0,COUNTA(unit_skills!$A:$A),MATCH(AR$1,unit_skills!$1:$1,0)-MATCH($AP$1,unit_skills!$1:$1,0)+1),MATCH(AR$1,unit_skills!$1:$1,0)-MATCH($AP$1,unit_skills!$1:$1,0)+1,FALSE)</f>
        <v>ランダムで1つSCパネルを生成する</v>
      </c>
      <c r="AS2" s="59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2">
        <f t="shared" ref="AT2:AT4" si="3">A2</f>
        <v>783</v>
      </c>
      <c r="AU2" s="59" t="str">
        <f ca="1">VLOOKUP($AT2,OFFSET(crash_skills!$A$1,0,0,COUNTA(crash_skills!$A:$A),MATCH(AU$1,crash_skills!$1:$1,0)-MATCH($AT$1,crash_skills!$1:$1,0)+1),MATCH(AU$1,crash_skills!$1:$1,0)-MATCH($AT$1,crash_skills!$1:$1,0)+1,FALSE)</f>
        <v>モールスの技</v>
      </c>
      <c r="AV2" s="59" t="str">
        <f ca="1">VLOOKUP($AT2,OFFSET(crash_skills!$A$1,0,0,COUNTA(crash_skills!$A:$A),MATCH(AV$1,crash_skills!$1:$1,0)-MATCH($AT$1,crash_skills!$1:$1,0)+1),MATCH(AV$1,crash_skills!$1:$1,0)-MATCH($AT$1,crash_skills!$1:$1,0)+1,FALSE)</f>
        <v>全体に特大ダメージ</v>
      </c>
      <c r="AW2" s="59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1.08</v>
      </c>
      <c r="AZ2" s="70">
        <v>1.03</v>
      </c>
      <c r="BA2" s="70">
        <v>0</v>
      </c>
      <c r="BB2" s="70">
        <v>0.93799999999999994</v>
      </c>
      <c r="BC2" s="11">
        <f ca="1">INDEX('RC6SV'!$A$1:$G$20,MATCH(H2,'RC6SV'!$A$1:$A$20,FALSE),MATCH(G2,'RC6SV'!$A$1:$G$1,FALSE))</f>
        <v>10000</v>
      </c>
      <c r="BD2" s="49">
        <f t="shared" ref="BD2:BD4" ca="1" si="4">ROUND(BC2*IF(AJ2=1,0.95,IF(AJ2=2,1,IF(AJ2,1.05,0))),0)</f>
        <v>10000</v>
      </c>
      <c r="BE2" s="11">
        <f t="shared" ref="BE2:BE23" ca="1" si="5">ROUND(IFERROR(INDIRECT(ADDRESS(MATCH($A2,$AE:$AE,0),MATCH($BC$1,$1:$1,0))),0),0)</f>
        <v>0</v>
      </c>
      <c r="BF2" s="11">
        <f t="shared" ref="BF2:BF23" ca="1" si="6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2430</v>
      </c>
      <c r="BH2" s="16">
        <f ca="1">IF($BE2&lt;=0,ROUND(BL2*0.5,0), ROUND($BE2*T2*AB2*K2*AZ2*0.8*[1]ステータス!$C$2,0))</f>
        <v>1419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1034</v>
      </c>
      <c r="BK2" s="152">
        <f ca="1">ROUND(BD2*S2*AA2*J2*AY2*[1]ステータス!$B$2,0)</f>
        <v>4860</v>
      </c>
      <c r="BL2" s="11">
        <f ca="1">ROUND(BD2*T2*AB2*K2*AZ2*[1]ステータス!$C$2,0)</f>
        <v>2837</v>
      </c>
      <c r="BM2" s="11">
        <f ca="1">ROUND(BD2*U2*AC2*L2*BA2*[1]ステータス!$D$2,0)</f>
        <v>0</v>
      </c>
      <c r="BN2" s="11">
        <f ca="1">ROUND(BD2*V2*AD2*M2*BB2*[1]ステータス!$E$2,0)</f>
        <v>2068</v>
      </c>
      <c r="BO2" s="10">
        <v>0</v>
      </c>
      <c r="BP2" s="10">
        <v>1</v>
      </c>
      <c r="BQ2" s="39" t="s">
        <v>53</v>
      </c>
    </row>
    <row r="3" spans="1:69" ht="21" customHeight="1" x14ac:dyDescent="0.15">
      <c r="A3" s="12">
        <v>784</v>
      </c>
      <c r="B3" s="177" t="str">
        <f ca="1">VLOOKUP($A3,OFFSET([1]characters!$A$1,0,0,COUNTA([1]characters!$A:$A),MATCH(B$1,[1]characters!$1:$1,0)-MATCH($A$1,[1]characters!$1:$1,0)+1),MATCH(B$1,[1]characters!$1:$1,0)-MATCH($A$1,[1]characters!$1:$1,0)+1,FALSE)</f>
        <v>想心の恋鎖 モールス</v>
      </c>
      <c r="C3" s="177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各属性相性良3・黄・R402</v>
      </c>
      <c r="D3" s="17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17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177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177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177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177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78">
        <f ca="1">VLOOKUP(I3,[1]属性!$A:$E,2,FALSE)</f>
        <v>1</v>
      </c>
      <c r="K3" s="178">
        <f ca="1">VLOOKUP(I3,[1]属性!$A:$E,3,FALSE)</f>
        <v>1.02</v>
      </c>
      <c r="L3" s="178">
        <f ca="1">VLOOKUP(I3,[1]属性!$A:$E,4,FALSE)</f>
        <v>1</v>
      </c>
      <c r="M3" s="178">
        <f ca="1">VLOOKUP(I3,[1]属性!$A:$E,5,FALSE)</f>
        <v>0.98</v>
      </c>
      <c r="N3" s="178">
        <f ca="1">INDEX(コスト!$A$1:$I$20,MATCH(H3,コスト!$A$1:$A$20,FALSE),MATCH(G3,コスト!$A$1:$I$1,FALSE))</f>
        <v>55</v>
      </c>
      <c r="O3" s="11">
        <f ca="1">INDEX(レベル!$A$1:$I$21,MATCH(H3,レベル!$A$1:$A$21,FALSE),MATCH(G3,レベル!$A$1:$I$1,FALSE))</f>
        <v>99</v>
      </c>
      <c r="P3" s="49">
        <f t="shared" ca="1" si="0"/>
        <v>99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1">
        <f ca="1">VLOOKUP(Q3,[1]character_type_i18n!$A:$H,4,FALSE)</f>
        <v>0.9</v>
      </c>
      <c r="T3" s="11">
        <f ca="1">VLOOKUP(Q3,[1]character_type_i18n!$A:$H,5,FALSE)</f>
        <v>0.9</v>
      </c>
      <c r="U3" s="11">
        <f ca="1">VLOOKUP(Q3,[1]character_type_i18n!$A:$H,6,FALSE)</f>
        <v>1</v>
      </c>
      <c r="V3" s="11">
        <f ca="1">VLOOKUP(Q3,[1]character_type_i18n!$A:$H,7,FALSE)</f>
        <v>0.9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 t="s">
        <v>189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ca="1">IF(ISNA(MATCH(A3,AE:AE,0)),A3,INDIRECT(ADDRESS(MATCH(A3,AE:AE,0),COLUMN())))</f>
        <v>784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想心の恋鎖 モールス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required_exp_300</v>
      </c>
      <c r="AM3" s="8">
        <f ca="1">VLOOKUP(G3,経験値!$A$27:$B$31,2)</f>
        <v>6400</v>
      </c>
      <c r="AN3" s="17">
        <f ca="1">VLOOKUP(G3,ビット!$G$2:$H$7,2)</f>
        <v>900</v>
      </c>
      <c r="AO3" s="46"/>
      <c r="AP3" s="69">
        <f t="shared" si="2"/>
        <v>784</v>
      </c>
      <c r="AQ3" s="59" t="str">
        <f ca="1">VLOOKUP($AP3,OFFSET(unit_skills!$A$1,0,0,COUNTA(unit_skills!$A:$A),MATCH(AQ$1,unit_skills!$1:$1,0)-MATCH($AP$1,unit_skills!$1:$1,0)+1),MATCH(AQ$1,unit_skills!$1:$1,0)-MATCH($AP$1,unit_skills!$1:$1,0)+1,FALSE)</f>
        <v>想心の恋鎖 モールスの技</v>
      </c>
      <c r="AR3" s="59" t="str">
        <f ca="1">VLOOKUP($AP3,OFFSET(unit_skills!$A$1,0,0,COUNTA(unit_skills!$A:$A),MATCH(AR$1,unit_skills!$1:$1,0)-MATCH($AP$1,unit_skills!$1:$1,0)+1),MATCH(AR$1,unit_skills!$1:$1,0)-MATCH($AP$1,unit_skills!$1:$1,0)+1,FALSE)</f>
        <v>単体に赤属性の超大ダメージ+2ターン全ユニットの攻撃力UP(緑パネルを吸収して効果UP)</v>
      </c>
      <c r="AS3" s="59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2">
        <f t="shared" si="3"/>
        <v>784</v>
      </c>
      <c r="AU3" s="59" t="str">
        <f ca="1">VLOOKUP($AT3,OFFSET(crash_skills!$A$1,0,0,COUNTA(crash_skills!$A:$A),MATCH(AU$1,crash_skills!$1:$1,0)-MATCH($AT$1,crash_skills!$1:$1,0)+1),MATCH(AU$1,crash_skills!$1:$1,0)-MATCH($AT$1,crash_skills!$1:$1,0)+1,FALSE)</f>
        <v>想心の恋鎖 モールスの技</v>
      </c>
      <c r="AV3" s="59" t="str">
        <f ca="1">VLOOKUP($AT3,OFFSET(crash_skills!$A$1,0,0,COUNTA(crash_skills!$A:$A),MATCH(AV$1,crash_skills!$1:$1,0)-MATCH($AT$1,crash_skills!$1:$1,0)+1),MATCH(AV$1,crash_skills!$1:$1,0)-MATCH($AT$1,crash_skills!$1:$1,0)+1,FALSE)</f>
        <v>全体に特大ダメージ</v>
      </c>
      <c r="AW3" s="59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1.08</v>
      </c>
      <c r="AZ3" s="70">
        <v>1.03</v>
      </c>
      <c r="BA3" s="70">
        <v>0</v>
      </c>
      <c r="BB3" s="70">
        <v>0.93799999999999994</v>
      </c>
      <c r="BC3" s="11">
        <f ca="1">INDEX('RC6SV'!$A$1:$G$20,MATCH(H3,'RC6SV'!$A$1:$A$20,FALSE),MATCH(G3,'RC6SV'!$A$1:$G$1,FALSE))</f>
        <v>14000</v>
      </c>
      <c r="BD3" s="49">
        <f t="shared" ca="1" si="4"/>
        <v>14000</v>
      </c>
      <c r="BE3" s="11">
        <f t="shared" ca="1" si="5"/>
        <v>0</v>
      </c>
      <c r="BF3" s="11">
        <f t="shared" ca="1" si="6"/>
        <v>1</v>
      </c>
      <c r="BG3" s="16">
        <f ca="1">IF($BE3&lt;=0,ROUND(BK3*0.5,0), ROUND($BE3*S3*AA3*J3*AY3*0.8*[1]ステータス!$B$2,0))</f>
        <v>3402</v>
      </c>
      <c r="BH3" s="16">
        <f ca="1">IF($BE3&lt;=0,ROUND(BL3*0.5,0), ROUND($BE3*T3*AB3*K3*AZ3*0.8*[1]ステータス!$C$2,0))</f>
        <v>1986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1448</v>
      </c>
      <c r="BK3" s="152">
        <f ca="1">ROUND(BD3*S3*AA3*J3*AY3*[1]ステータス!$B$2,0)</f>
        <v>6804</v>
      </c>
      <c r="BL3" s="11">
        <f ca="1">ROUND(BD3*T3*AB3*K3*AZ3*[1]ステータス!$C$2,0)</f>
        <v>3971</v>
      </c>
      <c r="BM3" s="11">
        <f ca="1">ROUND(BD3*U3*AC3*L3*BA3*[1]ステータス!$D$2,0)</f>
        <v>0</v>
      </c>
      <c r="BN3" s="11">
        <f ca="1">ROUND(BD3*V3*AD3*M3*BB3*[1]ステータス!$E$2,0)</f>
        <v>2896</v>
      </c>
      <c r="BO3" s="10">
        <v>0</v>
      </c>
      <c r="BP3" s="10">
        <v>1</v>
      </c>
      <c r="BQ3" s="39" t="s">
        <v>53</v>
      </c>
    </row>
    <row r="4" spans="1:69" ht="21" customHeight="1" x14ac:dyDescent="0.15">
      <c r="A4" s="12">
        <v>785</v>
      </c>
      <c r="B4" s="177" t="str">
        <f ca="1">VLOOKUP($A4,OFFSET([1]characters!$A$1,0,0,COUNTA([1]characters!$A:$A),MATCH(B$1,[1]characters!$1:$1,0)-MATCH($A$1,[1]characters!$1:$1,0)+1),MATCH(B$1,[1]characters!$1:$1,0)-MATCH($A$1,[1]characters!$1:$1,0)+1,FALSE)</f>
        <v>あけおめダック2017</v>
      </c>
      <c r="C4" s="177" t="str">
        <f ca="1">VLOOKUP($A4,OFFSET([1]characters!$A$1,0,0,COUNTA([1]characters!$A:$A),MATCH(C$1,[1]characters!$1:$1,0)-MATCH($A$1,[1]characters!$1:$1,0)+1),MATCH(C$1,[1]characters!$1:$1,0)-MATCH($A$1,[1]characters!$1:$1,0)+1,FALSE)</f>
        <v>イベント:お正月2016</v>
      </c>
      <c r="D4" s="17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17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177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177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177" t="str">
        <f ca="1">VLOOKUP($A4,OFFSET([1]characters!$A$1,0,0,COUNTA([1]characters!$A:$A),MATCH(H$1,[1]characters!$1:$1,0)-MATCH($A$1,[1]characters!$1:$1,0)+1),MATCH(H$1,[1]characters!$1:$1,0)-MATCH($A$1,[1]characters!$1:$1,0)+1,FALSE)</f>
        <v>Material</v>
      </c>
      <c r="I4" s="177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78">
        <f ca="1">VLOOKUP(I4,[1]属性!$A:$E,2,FALSE)</f>
        <v>0.98</v>
      </c>
      <c r="K4" s="178">
        <f ca="1">VLOOKUP(I4,[1]属性!$A:$E,3,FALSE)</f>
        <v>1.01</v>
      </c>
      <c r="L4" s="178">
        <f ca="1">VLOOKUP(I4,[1]属性!$A:$E,4,FALSE)</f>
        <v>1</v>
      </c>
      <c r="M4" s="178">
        <f ca="1">VLOOKUP(I4,[1]属性!$A:$E,5,FALSE)</f>
        <v>1.01</v>
      </c>
      <c r="N4" s="178">
        <f ca="1">INDEX(コスト!$A$1:$I$20,MATCH(H4,コスト!$A$1:$A$20,FALSE),MATCH(G4,コスト!$A$1:$I$1,FALSE))</f>
        <v>1</v>
      </c>
      <c r="O4" s="11">
        <f ca="1">INDEX(レベル!$A$1:$I$21,MATCH(H4,レベル!$A$1:$A$21,FALSE),MATCH(G4,レベル!$A$1:$I$1,FALSE))</f>
        <v>1</v>
      </c>
      <c r="P4" s="49">
        <f t="shared" ca="1" si="0"/>
        <v>99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coin</v>
      </c>
      <c r="R4" s="5" t="str">
        <f ca="1">VLOOKUP(Q4,[1]character_type_i18n!$A:$H,3,FALSE)</f>
        <v>コインタイプ</v>
      </c>
      <c r="S4" s="11">
        <f ca="1">VLOOKUP(Q4,[1]character_type_i18n!$A:$H,4,FALSE)</f>
        <v>0.1</v>
      </c>
      <c r="T4" s="11">
        <f ca="1">VLOOKUP(Q4,[1]character_type_i18n!$A:$H,5,FALSE)</f>
        <v>0.05</v>
      </c>
      <c r="U4" s="11">
        <f ca="1">VLOOKUP(Q4,[1]character_type_i18n!$A:$H,6,FALSE)</f>
        <v>1</v>
      </c>
      <c r="V4" s="11">
        <f ca="1">VLOOKUP(Q4,[1]character_type_i18n!$A:$H,7,FALSE)</f>
        <v>0.05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 t="s">
        <v>189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f ca="1">IF(ISNA(MATCH(A4,AE:AE,0)),A4,INDIRECT(ADDRESS(MATCH(A4,AE:AE,0),COLUMN())))</f>
        <v>785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あけおめダック2017</v>
      </c>
      <c r="AI4" s="11" t="str">
        <f>IF(AE4="NULL","NULL",VLOOKUP(G4,ビット!$A$2:$B$7,2))</f>
        <v>NULL</v>
      </c>
      <c r="AJ4" s="6">
        <v>2</v>
      </c>
      <c r="AK4" s="7" t="str">
        <f t="shared" si="1"/>
        <v>普通</v>
      </c>
      <c r="AL4" s="11" t="str">
        <f ca="1">INDEX(経験値!$A$1:$I$20,MATCH(H4,経験値!$A$1:$A$20,FALSE),MATCH(G4,経験値!$A$1:$I$1,FALSE))</f>
        <v>NULL</v>
      </c>
      <c r="AM4" s="8">
        <f ca="1">VLOOKUP(G4,経験値!$A$27:$B$31,2)</f>
        <v>6400</v>
      </c>
      <c r="AN4" s="17">
        <f ca="1">VLOOKUP(G4,ビット!$G$2:$H$7,2)</f>
        <v>900</v>
      </c>
      <c r="AO4" s="46"/>
      <c r="AP4" s="69">
        <f t="shared" si="2"/>
        <v>785</v>
      </c>
      <c r="AQ4" s="59" t="str">
        <f ca="1">VLOOKUP($AP4,OFFSET(unit_skills!$A$1,0,0,COUNTA(unit_skills!$A:$A),MATCH(AQ$1,unit_skills!$1:$1,0)-MATCH($AP$1,unit_skills!$1:$1,0)+1),MATCH(AQ$1,unit_skills!$1:$1,0)-MATCH($AP$1,unit_skills!$1:$1,0)+1,FALSE)</f>
        <v>あけおめダック2017の技</v>
      </c>
      <c r="AR4" s="59" t="str">
        <f ca="1">VLOOKUP($AP4,OFFSET(unit_skills!$A$1,0,0,COUNTA(unit_skills!$A:$A),MATCH(AR$1,unit_skills!$1:$1,0)-MATCH($AP$1,unit_skills!$1:$1,0)+1),MATCH(AR$1,unit_skills!$1:$1,0)-MATCH($AP$1,unit_skills!$1:$1,0)+1,FALSE)</f>
        <v>ランダムで2つSCパネルを生成する</v>
      </c>
      <c r="AS4" s="59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2">
        <f t="shared" si="3"/>
        <v>785</v>
      </c>
      <c r="AU4" s="59" t="str">
        <f ca="1">VLOOKUP($AT4,OFFSET(crash_skills!$A$1,0,0,COUNTA(crash_skills!$A:$A),MATCH(AU$1,crash_skills!$1:$1,0)-MATCH($AT$1,crash_skills!$1:$1,0)+1),MATCH(AU$1,crash_skills!$1:$1,0)-MATCH($AT$1,crash_skills!$1:$1,0)+1,FALSE)</f>
        <v>あけおめダック2017の技</v>
      </c>
      <c r="AV4" s="59" t="str">
        <f ca="1">VLOOKUP($AT4,OFFSET(crash_skills!$A$1,0,0,COUNTA(crash_skills!$A:$A),MATCH(AV$1,crash_skills!$1:$1,0)-MATCH($AT$1,crash_skills!$1:$1,0)+1),MATCH(AV$1,crash_skills!$1:$1,0)-MATCH($AT$1,crash_skills!$1:$1,0)+1,FALSE)</f>
        <v>全体に特大ダメージ</v>
      </c>
      <c r="AW4" s="59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1.08</v>
      </c>
      <c r="AZ4" s="70">
        <v>1.03</v>
      </c>
      <c r="BA4" s="70">
        <v>0</v>
      </c>
      <c r="BB4" s="70">
        <v>0.93799999999999994</v>
      </c>
      <c r="BC4" s="11">
        <f ca="1">INDEX('RC6SV'!$A$1:$G$20,MATCH(H4,'RC6SV'!$A$1:$A$20,FALSE),MATCH(G4,'RC6SV'!$A$1:$G$1,FALSE))</f>
        <v>1000</v>
      </c>
      <c r="BD4" s="49">
        <f t="shared" ca="1" si="4"/>
        <v>1000</v>
      </c>
      <c r="BE4" s="11">
        <f t="shared" ca="1" si="5"/>
        <v>0</v>
      </c>
      <c r="BF4" s="11">
        <f t="shared" ca="1" si="6"/>
        <v>1</v>
      </c>
      <c r="BG4" s="16">
        <f ca="1">IF($BE4&lt;=0,ROUND(BK4*0.5,0), ROUND($BE4*S4*AA4*J4*AY4*0.8*[1]ステータス!$B$2,0))</f>
        <v>27</v>
      </c>
      <c r="BH4" s="16">
        <f ca="1">IF($BE4&lt;=0,ROUND(BL4*0.5,0), ROUND($BE4*T4*AB4*K4*AZ4*0.8*[1]ステータス!$C$2,0))</f>
        <v>8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6</v>
      </c>
      <c r="BK4" s="152">
        <f ca="1">ROUND(BD4*S4*AA4*J4*AY4*[1]ステータス!$B$2,0)</f>
        <v>53</v>
      </c>
      <c r="BL4" s="11">
        <f ca="1">ROUND(BD4*T4*AB4*K4*AZ4*[1]ステータス!$C$2,0)</f>
        <v>16</v>
      </c>
      <c r="BM4" s="11">
        <f ca="1">ROUND(BD4*U4*AC4*L4*BA4*[1]ステータス!$D$2,0)</f>
        <v>0</v>
      </c>
      <c r="BN4" s="11">
        <f ca="1">ROUND(BD4*V4*AD4*M4*BB4*[1]ステータス!$E$2,0)</f>
        <v>12</v>
      </c>
      <c r="BO4" s="10">
        <v>0</v>
      </c>
      <c r="BP4" s="10">
        <v>1</v>
      </c>
      <c r="BQ4" s="39" t="s">
        <v>53</v>
      </c>
    </row>
    <row r="5" spans="1:69" ht="21" customHeight="1" x14ac:dyDescent="0.15">
      <c r="A5" s="12">
        <v>805</v>
      </c>
      <c r="B5" s="177" t="str">
        <f ca="1">VLOOKUP($A5,OFFSET([1]characters!$A$1,0,0,COUNTA([1]characters!$A:$A),MATCH(B$1,[1]characters!$1:$1,0)-MATCH($A$1,[1]characters!$1:$1,0)+1),MATCH(B$1,[1]characters!$1:$1,0)-MATCH($A$1,[1]characters!$1:$1,0)+1,FALSE)</f>
        <v>熱環の大逆聖 ベリアル</v>
      </c>
      <c r="C5" s="177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各属性相性良3・黄・R423</v>
      </c>
      <c r="D5" s="17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17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17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177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177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177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78">
        <f ca="1">VLOOKUP(I5,[1]属性!$A:$E,2,FALSE)</f>
        <v>1</v>
      </c>
      <c r="K5" s="178">
        <f ca="1">VLOOKUP(I5,[1]属性!$A:$E,3,FALSE)</f>
        <v>1.02</v>
      </c>
      <c r="L5" s="178">
        <f ca="1">VLOOKUP(I5,[1]属性!$A:$E,4,FALSE)</f>
        <v>1</v>
      </c>
      <c r="M5" s="178">
        <f ca="1">VLOOKUP(I5,[1]属性!$A:$E,5,FALSE)</f>
        <v>0.98</v>
      </c>
      <c r="N5" s="178">
        <f ca="1">INDEX(コスト!$A$1:$I$20,MATCH(H5,コスト!$A$1:$A$20,FALSE),MATCH(G5,コスト!$A$1:$I$1,FALSE))</f>
        <v>45</v>
      </c>
      <c r="O5" s="11">
        <f ca="1">INDEX(レベル!$A$1:$I$21,MATCH(H5,レベル!$A$1:$A$21,FALSE),MATCH(G5,レベル!$A$1:$I$1,FALSE))</f>
        <v>99</v>
      </c>
      <c r="P5" s="49">
        <f t="shared" ca="1" si="0"/>
        <v>99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0.96</v>
      </c>
      <c r="AB5" s="11">
        <f ca="1">VLOOKUP(W5,[1]character_tribe_i18n!$A:$H,5,FALSE)</f>
        <v>1.02</v>
      </c>
      <c r="AC5" s="11">
        <f ca="1">VLOOKUP(W5,[1]character_tribe_i18n!$A:$H,6,FALSE)</f>
        <v>1</v>
      </c>
      <c r="AD5" s="11">
        <f ca="1">VLOOKUP(W5,[1]character_tribe_i18n!$A:$H,7,FALSE)</f>
        <v>1.02</v>
      </c>
      <c r="AE5" s="9" t="s">
        <v>189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v>166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ベリアル</v>
      </c>
      <c r="AI5" s="11" t="str">
        <f>IF(AE5="NULL","NULL",VLOOKUP(G5,ビット!$A$2:$B$7,2))</f>
        <v>NULL</v>
      </c>
      <c r="AJ5" s="6">
        <v>2</v>
      </c>
      <c r="AK5" s="7" t="str">
        <f t="shared" ref="AK5:AK7" si="7">IF(AJ5=1,"早熟",IF(AJ5=2,"普通",IF(AJ5=3,"晩成","")))</f>
        <v>普通</v>
      </c>
      <c r="AL5" s="11" t="str">
        <f ca="1">INDEX(経験値!$A$1:$I$20,MATCH(H5,経験値!$A$1:$A$20,FALSE),MATCH(G5,経験値!$A$1:$I$1,FALSE))</f>
        <v>required_exp_250</v>
      </c>
      <c r="AM5" s="8">
        <f ca="1">VLOOKUP(G5,経験値!$A$27:$B$31,2)</f>
        <v>6400</v>
      </c>
      <c r="AN5" s="17">
        <f ca="1">VLOOKUP(G5,ビット!$G$2:$H$7,2)</f>
        <v>900</v>
      </c>
      <c r="AO5" s="46"/>
      <c r="AP5" s="69">
        <f t="shared" ref="AP5:AP7" si="8">A5</f>
        <v>805</v>
      </c>
      <c r="AQ5" s="59" t="str">
        <f ca="1">VLOOKUP($AP5,OFFSET(unit_skills!$A$1,0,0,COUNTA(unit_skills!$A:$A),MATCH(AQ$1,unit_skills!$1:$1,0)-MATCH($AP$1,unit_skills!$1:$1,0)+1),MATCH(AQ$1,unit_skills!$1:$1,0)-MATCH($AP$1,unit_skills!$1:$1,0)+1,FALSE)</f>
        <v>血炎斬首・天地沸騰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1体に赤属性の超大ダメージ+3ターン攻撃力UP(緑パネルを吸収して効果UP)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f t="shared" ref="AT5:AT7" si="9">A5</f>
        <v>805</v>
      </c>
      <c r="AU5" s="59" t="str">
        <f ca="1">VLOOKUP($AT5,OFFSET(crash_skills!$A$1,0,0,COUNTA(crash_skills!$A:$A),MATCH(AU$1,crash_skills!$1:$1,0)-MATCH($AT$1,crash_skills!$1:$1,0)+1),MATCH(AU$1,crash_skills!$1:$1,0)-MATCH($AT$1,crash_skills!$1:$1,0)+1,FALSE)</f>
        <v>烈火斬突・暴走</v>
      </c>
      <c r="AV5" s="59" t="str">
        <f ca="1">VLOOKUP($AT5,OFFSET(crash_skills!$A$1,0,0,COUNTA(crash_skills!$A:$A),MATCH(AV$1,crash_skills!$1:$1,0)-MATCH($AT$1,crash_skills!$1:$1,0)+1),MATCH(AV$1,crash_skills!$1:$1,0)-MATCH($AT$1,crash_skills!$1:$1,0)+1,FALSE)</f>
        <v>全体に特大ダメージ</v>
      </c>
      <c r="AW5" s="59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1.08</v>
      </c>
      <c r="AZ5" s="70">
        <v>1.03</v>
      </c>
      <c r="BA5" s="70">
        <v>0</v>
      </c>
      <c r="BB5" s="70">
        <v>0.93799999999999994</v>
      </c>
      <c r="BC5" s="11">
        <f ca="1">INDEX('RC6SV'!$A$1:$G$20,MATCH(H5,'RC6SV'!$A$1:$A$20,FALSE),MATCH(G5,'RC6SV'!$A$1:$G$1,FALSE))</f>
        <v>12000</v>
      </c>
      <c r="BD5" s="49">
        <f t="shared" ref="BD5:BD7" ca="1" si="10">ROUND(BC5*IF(AJ5=1,0.95,IF(AJ5=2,1,IF(AJ5,1.05,0))),0)</f>
        <v>12000</v>
      </c>
      <c r="BE5" s="11">
        <f t="shared" ca="1" si="5"/>
        <v>0</v>
      </c>
      <c r="BF5" s="11">
        <f t="shared" ca="1" si="6"/>
        <v>1</v>
      </c>
      <c r="BG5" s="16">
        <f ca="1">IF($BE5&lt;=0,ROUND(BK5*0.5,0), ROUND($BE5*S5*AA5*J5*AY5*0.8*[1]ステータス!$B$2,0))</f>
        <v>3111</v>
      </c>
      <c r="BH5" s="16">
        <f ca="1">IF($BE5&lt;=0,ROUND(BL5*0.5,0), ROUND($BE5*T5*AB5*K5*AZ5*0.8*[1]ステータス!$C$2,0))</f>
        <v>2566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943</v>
      </c>
      <c r="BK5" s="152">
        <f ca="1">ROUND(BD5*S5*AA5*J5*AY5*[1]ステータス!$B$2,0)</f>
        <v>6221</v>
      </c>
      <c r="BL5" s="11">
        <f ca="1">ROUND(BD5*T5*AB5*K5*AZ5*[1]ステータス!$C$2,0)</f>
        <v>5131</v>
      </c>
      <c r="BM5" s="11">
        <f ca="1">ROUND(BD5*U5*AC5*L5*BA5*[1]ステータス!$D$2,0)</f>
        <v>0</v>
      </c>
      <c r="BN5" s="11">
        <f ca="1">ROUND(BD5*V5*AD5*M5*BB5*[1]ステータス!$E$2,0)</f>
        <v>1885</v>
      </c>
      <c r="BO5" s="10">
        <v>0</v>
      </c>
      <c r="BP5" s="10">
        <v>1</v>
      </c>
      <c r="BQ5" s="39" t="s">
        <v>53</v>
      </c>
    </row>
    <row r="6" spans="1:69" ht="21" customHeight="1" x14ac:dyDescent="0.15">
      <c r="A6" s="12">
        <v>806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全解の預智聖 オセ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各属性相性良3・黄・R424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INDEX(コスト!$A$1:$I$20,MATCH(H6,コスト!$A$1:$A$20,FALSE),MATCH(G6,コスト!$A$1:$I$1,FALSE))</f>
        <v>45</v>
      </c>
      <c r="O6" s="11">
        <f ca="1">INDEX(レベル!$A$1:$I$21,MATCH(H6,レベル!$A$1:$A$21,FALSE),MATCH(G6,レベル!$A$1:$I$1,FALSE))</f>
        <v>99</v>
      </c>
      <c r="P6" s="49">
        <f t="shared" ca="1" si="0"/>
        <v>99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god</v>
      </c>
      <c r="X6" s="5" t="str">
        <f ca="1">VLOOKUP(W6,[1]character_tribe_i18n!$A:$H,3,FALSE)</f>
        <v>ゴッド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0.96</v>
      </c>
      <c r="AB6" s="11">
        <f ca="1">VLOOKUP(W6,[1]character_tribe_i18n!$A:$H,5,FALSE)</f>
        <v>1.02</v>
      </c>
      <c r="AC6" s="11">
        <f ca="1">VLOOKUP(W6,[1]character_tribe_i18n!$A:$H,6,FALSE)</f>
        <v>1</v>
      </c>
      <c r="AD6" s="11">
        <f ca="1">VLOOKUP(W6,[1]character_tribe_i18n!$A:$H,7,FALSE)</f>
        <v>1.02</v>
      </c>
      <c r="AE6" s="9" t="s">
        <v>189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v>169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オセ</v>
      </c>
      <c r="AI6" s="11" t="str">
        <f>IF(AE6="NULL","NULL",VLOOKUP(G6,ビット!$A$2:$B$7,2))</f>
        <v>NULL</v>
      </c>
      <c r="AJ6" s="6">
        <v>2</v>
      </c>
      <c r="AK6" s="7" t="str">
        <f t="shared" si="7"/>
        <v>普通</v>
      </c>
      <c r="AL6" s="11" t="str">
        <f ca="1">INDEX(経験値!$A$1:$I$20,MATCH(H6,経験値!$A$1:$A$20,FALSE),MATCH(G6,経験値!$A$1:$I$1,FALSE))</f>
        <v>required_exp_250</v>
      </c>
      <c r="AM6" s="8">
        <f ca="1">VLOOKUP(G6,経験値!$A$27:$B$31,2)</f>
        <v>6400</v>
      </c>
      <c r="AN6" s="17">
        <f ca="1">VLOOKUP(G6,ビット!$G$2:$H$7,2)</f>
        <v>900</v>
      </c>
      <c r="AO6" s="46"/>
      <c r="AP6" s="69">
        <f t="shared" si="8"/>
        <v>806</v>
      </c>
      <c r="AQ6" s="59" t="str">
        <f ca="1">VLOOKUP($AP6,OFFSET(unit_skills!$A$1,0,0,COUNTA(unit_skills!$A:$A),MATCH(AQ$1,unit_skills!$1:$1,0)-MATCH($AP$1,unit_skills!$1:$1,0)+1),MATCH(AQ$1,unit_skills!$1:$1,0)-MATCH($AP$1,unit_skills!$1:$1,0)+1,FALSE)</f>
        <v>破界のトリプレットターゲット</v>
      </c>
      <c r="AR6" s="59" t="str">
        <f ca="1">VLOOKUP($AP6,OFFSET(unit_skills!$A$1,0,0,COUNTA(unit_skills!$A:$A),MATCH(AR$1,unit_skills!$1:$1,0)-MATCH($AP$1,unit_skills!$1:$1,0)+1),MATCH(AR$1,unit_skills!$1:$1,0)-MATCH($AP$1,unit_skills!$1:$1,0)+1,FALSE)</f>
        <v>パネルを3つランダムでSCパネルに変換する</v>
      </c>
      <c r="AS6" s="59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2">
        <f t="shared" si="9"/>
        <v>806</v>
      </c>
      <c r="AU6" s="59" t="str">
        <f ca="1">VLOOKUP($AT6,OFFSET(crash_skills!$A$1,0,0,COUNTA(crash_skills!$A:$A),MATCH(AU$1,crash_skills!$1:$1,0)-MATCH($AT$1,crash_skills!$1:$1,0)+1),MATCH(AU$1,crash_skills!$1:$1,0)-MATCH($AT$1,crash_skills!$1:$1,0)+1,FALSE)</f>
        <v>エメラルド・インパクト</v>
      </c>
      <c r="AV6" s="59" t="str">
        <f ca="1">VLOOKUP($AT6,OFFSET(crash_skills!$A$1,0,0,COUNTA(crash_skills!$A:$A),MATCH(AV$1,crash_skills!$1:$1,0)-MATCH($AT$1,crash_skills!$1:$1,0)+1),MATCH(AV$1,crash_skills!$1:$1,0)-MATCH($AT$1,crash_skills!$1:$1,0)+1,FALSE)</f>
        <v>1体に特大ダメージ</v>
      </c>
      <c r="AW6" s="59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1.08</v>
      </c>
      <c r="AZ6" s="70">
        <v>1</v>
      </c>
      <c r="BA6" s="70">
        <v>0</v>
      </c>
      <c r="BB6" s="70">
        <v>0.93799999999999994</v>
      </c>
      <c r="BC6" s="11">
        <f ca="1">INDEX('RC6SV'!$A$1:$G$20,MATCH(H6,'RC6SV'!$A$1:$A$20,FALSE),MATCH(G6,'RC6SV'!$A$1:$G$1,FALSE))</f>
        <v>12000</v>
      </c>
      <c r="BD6" s="49">
        <f t="shared" ca="1" si="10"/>
        <v>12000</v>
      </c>
      <c r="BE6" s="11">
        <f t="shared" ca="1" si="5"/>
        <v>0</v>
      </c>
      <c r="BF6" s="11">
        <f t="shared" ca="1" si="6"/>
        <v>1</v>
      </c>
      <c r="BG6" s="16">
        <f ca="1">IF($BE6&lt;=0,ROUND(BK6*0.5,0), ROUND($BE6*S6*AA6*J6*AY6*0.8*[1]ステータス!$B$2,0))</f>
        <v>3173</v>
      </c>
      <c r="BH6" s="16">
        <f ca="1">IF($BE6&lt;=0,ROUND(BL6*0.5,0), ROUND($BE6*T6*AB6*K6*AZ6*0.8*[1]ステータス!$C$2,0))</f>
        <v>2393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962</v>
      </c>
      <c r="BK6" s="152">
        <f ca="1">ROUND(BD6*S6*AA6*J6*AY6*[1]ステータス!$B$2,0)</f>
        <v>6345</v>
      </c>
      <c r="BL6" s="11">
        <f ca="1">ROUND(BD6*T6*AB6*K6*AZ6*[1]ステータス!$C$2,0)</f>
        <v>4786</v>
      </c>
      <c r="BM6" s="11">
        <f ca="1">ROUND(BD6*U6*AC6*L6*BA6*[1]ステータス!$D$2,0)</f>
        <v>0</v>
      </c>
      <c r="BN6" s="11">
        <f ca="1">ROUND(BD6*V6*AD6*M6*BB6*[1]ステータス!$E$2,0)</f>
        <v>1923</v>
      </c>
      <c r="BO6" s="10">
        <v>0</v>
      </c>
      <c r="BP6" s="10">
        <v>1</v>
      </c>
      <c r="BQ6" s="39" t="s">
        <v>53</v>
      </c>
    </row>
    <row r="7" spans="1:69" ht="21" customHeight="1" x14ac:dyDescent="0.15">
      <c r="A7" s="12">
        <v>807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襲愛の真公爵 フォルネウス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各属性相性良3・黄・R425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INDEX(コスト!$A$1:$I$20,MATCH(H7,コスト!$A$1:$A$20,FALSE),MATCH(G7,コスト!$A$1:$I$1,FALSE))</f>
        <v>45</v>
      </c>
      <c r="O7" s="11">
        <f ca="1">INDEX(レベル!$A$1:$I$21,MATCH(H7,レベル!$A$1:$A$21,FALSE),MATCH(G7,レベル!$A$1:$I$1,FALSE))</f>
        <v>99</v>
      </c>
      <c r="P7" s="49">
        <f t="shared" ca="1" si="0"/>
        <v>99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1">
        <f ca="1">VLOOKUP(Q7,[1]character_type_i18n!$A:$H,4,FALSE)</f>
        <v>1</v>
      </c>
      <c r="T7" s="11">
        <f ca="1">VLOOKUP(Q7,[1]character_type_i18n!$A:$H,5,FALSE)</f>
        <v>1.33</v>
      </c>
      <c r="U7" s="11">
        <f ca="1">VLOOKUP(Q7,[1]character_type_i18n!$A:$H,6,FALSE)</f>
        <v>1</v>
      </c>
      <c r="V7" s="11">
        <f ca="1">VLOOKUP(Q7,[1]character_type_i18n!$A:$H,7,FALSE)</f>
        <v>0.67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god</v>
      </c>
      <c r="X7" s="5" t="str">
        <f ca="1">VLOOKUP(W7,[1]character_tribe_i18n!$A:$H,3,FALSE)</f>
        <v>ゴッド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0.96</v>
      </c>
      <c r="AB7" s="11">
        <f ca="1">VLOOKUP(W7,[1]character_tribe_i18n!$A:$H,5,FALSE)</f>
        <v>1.02</v>
      </c>
      <c r="AC7" s="11">
        <f ca="1">VLOOKUP(W7,[1]character_tribe_i18n!$A:$H,6,FALSE)</f>
        <v>1</v>
      </c>
      <c r="AD7" s="11">
        <f ca="1">VLOOKUP(W7,[1]character_tribe_i18n!$A:$H,7,FALSE)</f>
        <v>1.02</v>
      </c>
      <c r="AE7" s="9" t="s">
        <v>189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v>172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フォルネウス</v>
      </c>
      <c r="AI7" s="11" t="str">
        <f>IF(AE7="NULL","NULL",VLOOKUP(G7,ビット!$A$2:$B$7,2))</f>
        <v>NULL</v>
      </c>
      <c r="AJ7" s="6">
        <v>2</v>
      </c>
      <c r="AK7" s="7" t="str">
        <f t="shared" si="7"/>
        <v>普通</v>
      </c>
      <c r="AL7" s="11" t="str">
        <f ca="1">INDEX(経験値!$A$1:$I$20,MATCH(H7,経験値!$A$1:$A$20,FALSE),MATCH(G7,経験値!$A$1:$I$1,FALSE))</f>
        <v>required_exp_250</v>
      </c>
      <c r="AM7" s="8">
        <f ca="1">VLOOKUP(G7,経験値!$A$27:$B$31,2)</f>
        <v>6400</v>
      </c>
      <c r="AN7" s="17">
        <f ca="1">VLOOKUP(G7,ビット!$G$2:$H$7,2)</f>
        <v>900</v>
      </c>
      <c r="AO7" s="46"/>
      <c r="AP7" s="69">
        <f t="shared" si="8"/>
        <v>807</v>
      </c>
      <c r="AQ7" s="59" t="str">
        <f ca="1">VLOOKUP($AP7,OFFSET(unit_skills!$A$1,0,0,COUNTA(unit_skills!$A:$A),MATCH(AQ$1,unit_skills!$1:$1,0)-MATCH($AP$1,unit_skills!$1:$1,0)+1),MATCH(AQ$1,unit_skills!$1:$1,0)-MATCH($AP$1,unit_skills!$1:$1,0)+1,FALSE)</f>
        <v>メイド・イン・アビス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赤・黄パネルを全て破壊し、破壊したパネルの数だけ1体に超大ダメージ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f t="shared" si="9"/>
        <v>807</v>
      </c>
      <c r="AU7" s="59" t="str">
        <f ca="1">VLOOKUP($AT7,OFFSET(crash_skills!$A$1,0,0,COUNTA(crash_skills!$A:$A),MATCH(AU$1,crash_skills!$1:$1,0)-MATCH($AT$1,crash_skills!$1:$1,0)+1),MATCH(AU$1,crash_skills!$1:$1,0)-MATCH($AT$1,crash_skills!$1:$1,0)+1,FALSE)</f>
        <v>絶滅契約</v>
      </c>
      <c r="AV7" s="59" t="str">
        <f ca="1">VLOOKUP($AT7,OFFSET(crash_skills!$A$1,0,0,COUNTA(crash_skills!$A:$A),MATCH(AV$1,crash_skills!$1:$1,0)-MATCH($AT$1,crash_skills!$1:$1,0)+1),MATCH(AV$1,crash_skills!$1:$1,0)-MATCH($AT$1,crash_skills!$1:$1,0)+1,FALSE)</f>
        <v>全体に超大ダメージ</v>
      </c>
      <c r="AW7" s="59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v>1.08</v>
      </c>
      <c r="AZ7" s="70">
        <v>1.03</v>
      </c>
      <c r="BA7" s="70">
        <v>0</v>
      </c>
      <c r="BB7" s="70">
        <v>0.93799999999999994</v>
      </c>
      <c r="BC7" s="11">
        <f ca="1">INDEX('RC6SV'!$A$1:$G$20,MATCH(H7,'RC6SV'!$A$1:$A$20,FALSE),MATCH(G7,'RC6SV'!$A$1:$G$1,FALSE))</f>
        <v>12000</v>
      </c>
      <c r="BD7" s="49">
        <f t="shared" ca="1" si="10"/>
        <v>12000</v>
      </c>
      <c r="BE7" s="11">
        <f t="shared" ca="1" si="5"/>
        <v>0</v>
      </c>
      <c r="BF7" s="11">
        <f t="shared" ca="1" si="6"/>
        <v>1</v>
      </c>
      <c r="BG7" s="16">
        <f ca="1">IF($BE7&lt;=0,ROUND(BK7*0.5,0), ROUND($BE7*S7*AA7*J7*AY7*0.8*[1]ステータス!$B$2,0))</f>
        <v>3111</v>
      </c>
      <c r="BH7" s="16">
        <f ca="1">IF($BE7&lt;=0,ROUND(BL7*0.5,0), ROUND($BE7*T7*AB7*K7*AZ7*0.8*[1]ステータス!$C$2,0))</f>
        <v>2465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981</v>
      </c>
      <c r="BK7" s="152">
        <f ca="1">ROUND(BD7*S7*AA7*J7*AY7*[1]ステータス!$B$2,0)</f>
        <v>6221</v>
      </c>
      <c r="BL7" s="11">
        <f ca="1">ROUND(BD7*T7*AB7*K7*AZ7*[1]ステータス!$C$2,0)</f>
        <v>4930</v>
      </c>
      <c r="BM7" s="11">
        <f ca="1">ROUND(BD7*U7*AC7*L7*BA7*[1]ステータス!$D$2,0)</f>
        <v>0</v>
      </c>
      <c r="BN7" s="11">
        <f ca="1">ROUND(BD7*V7*AD7*M7*BB7*[1]ステータス!$E$2,0)</f>
        <v>1962</v>
      </c>
      <c r="BO7" s="10">
        <v>0</v>
      </c>
      <c r="BP7" s="10">
        <v>1</v>
      </c>
      <c r="BQ7" s="39" t="s">
        <v>53</v>
      </c>
    </row>
    <row r="8" spans="1:69" ht="21" customHeight="1" x14ac:dyDescent="0.15">
      <c r="A8" s="12">
        <v>808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天地万物の烈神母 イザナミ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各属性相性良3・黄・R426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6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1">
        <f ca="1">VLOOKUP(I8,[1]属性!$A:$E,2,FALSE)</f>
        <v>0.98</v>
      </c>
      <c r="K8" s="11">
        <f ca="1">VLOOKUP(I8,[1]属性!$A:$E,3,FALSE)</f>
        <v>1.01</v>
      </c>
      <c r="L8" s="11">
        <f ca="1">VLOOKUP(I8,[1]属性!$A:$E,4,FALSE)</f>
        <v>1</v>
      </c>
      <c r="M8" s="11">
        <f ca="1">VLOOKUP(I8,[1]属性!$A:$E,5,FALSE)</f>
        <v>1.01</v>
      </c>
      <c r="N8" s="11">
        <f ca="1">INDEX(コスト!$A$1:$I$20,MATCH(H8,コスト!$A$1:$A$20,FALSE),MATCH(G8,コスト!$A$1:$I$1,FALSE))</f>
        <v>45</v>
      </c>
      <c r="O8" s="11">
        <f ca="1">INDEX(レベル!$A$1:$I$21,MATCH(H8,レベル!$A$1:$A$21,FALSE),MATCH(G8,レベル!$A$1:$I$1,FALSE))</f>
        <v>99</v>
      </c>
      <c r="P8" s="49">
        <f t="shared" ca="1" si="0"/>
        <v>99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1">
        <f ca="1">VLOOKUP(Q8,[1]character_type_i18n!$A:$H,4,FALSE)</f>
        <v>1</v>
      </c>
      <c r="T8" s="11">
        <f ca="1">VLOOKUP(Q8,[1]character_type_i18n!$A:$H,5,FALSE)</f>
        <v>1.33</v>
      </c>
      <c r="U8" s="11">
        <f ca="1">VLOOKUP(Q8,[1]character_type_i18n!$A:$H,6,FALSE)</f>
        <v>1</v>
      </c>
      <c r="V8" s="11">
        <f ca="1">VLOOKUP(Q8,[1]character_type_i18n!$A:$H,7,FALSE)</f>
        <v>0.67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 t="s">
        <v>189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v>235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イザナミ</v>
      </c>
      <c r="AI8" s="11" t="str">
        <f>IF(AE8="NULL","NULL",VLOOKUP(G8,ビット!$A$2:$B$7,2))</f>
        <v>NULL</v>
      </c>
      <c r="AJ8" s="6">
        <v>2</v>
      </c>
      <c r="AK8" s="7" t="str">
        <f t="shared" ref="AK8:AK13" si="11">IF(AJ8=1,"早熟",IF(AJ8=2,"普通",IF(AJ8=3,"晩成","")))</f>
        <v>普通</v>
      </c>
      <c r="AL8" s="11" t="str">
        <f ca="1">INDEX(経験値!$A$1:$I$20,MATCH(H8,経験値!$A$1:$A$20,FALSE),MATCH(G8,経験値!$A$1:$I$1,FALSE))</f>
        <v>required_exp_250</v>
      </c>
      <c r="AM8" s="8">
        <f ca="1">VLOOKUP(G8,経験値!$A$27:$B$31,2)</f>
        <v>6400</v>
      </c>
      <c r="AN8" s="17">
        <f ca="1">VLOOKUP(G8,ビット!$G$2:$H$7,2)</f>
        <v>900</v>
      </c>
      <c r="AO8" s="46"/>
      <c r="AP8" s="69">
        <f t="shared" ref="AP8:AP13" si="12">A8</f>
        <v>808</v>
      </c>
      <c r="AQ8" s="59" t="str">
        <f ca="1">VLOOKUP($AP8,OFFSET(unit_skills!$A$1,0,0,COUNTA(unit_skills!$A:$A),MATCH(AQ$1,unit_skills!$1:$1,0)-MATCH($AP$1,unit_skills!$1:$1,0)+1),MATCH(AQ$1,unit_skills!$1:$1,0)-MATCH($AP$1,unit_skills!$1:$1,0)+1,FALSE)</f>
        <v>神母の連弾</v>
      </c>
      <c r="AR8" s="59" t="str">
        <f ca="1">VLOOKUP($AP8,OFFSET(unit_skills!$A$1,0,0,COUNTA(unit_skills!$A:$A),MATCH(AR$1,unit_skills!$1:$1,0)-MATCH($AP$1,unit_skills!$1:$1,0)+1),MATCH(AR$1,unit_skills!$1:$1,0)-MATCH($AP$1,unit_skills!$1:$1,0)+1,FALSE)</f>
        <v>パネルを8つランダムでCパネルに変換する</v>
      </c>
      <c r="AS8" s="59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2">
        <f t="shared" ref="AT8:AT13" si="13">A8</f>
        <v>808</v>
      </c>
      <c r="AU8" s="59" t="str">
        <f ca="1">VLOOKUP($AT8,OFFSET(crash_skills!$A$1,0,0,COUNTA(crash_skills!$A:$A),MATCH(AU$1,crash_skills!$1:$1,0)-MATCH($AT$1,crash_skills!$1:$1,0)+1),MATCH(AU$1,crash_skills!$1:$1,0)-MATCH($AT$1,crash_skills!$1:$1,0)+1,FALSE)</f>
        <v>烈輝の奇環連砲</v>
      </c>
      <c r="AV8" s="59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</v>
      </c>
      <c r="AW8" s="59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70">
        <v>1.08</v>
      </c>
      <c r="AZ8" s="70">
        <v>1</v>
      </c>
      <c r="BA8" s="70">
        <v>0</v>
      </c>
      <c r="BB8" s="70">
        <v>0.93799999999999994</v>
      </c>
      <c r="BC8" s="11">
        <f ca="1">INDEX('RC6SV'!$A$1:$G$20,MATCH(H8,'RC6SV'!$A$1:$A$20,FALSE),MATCH(G8,'RC6SV'!$A$1:$G$1,FALSE))</f>
        <v>12000</v>
      </c>
      <c r="BD8" s="49">
        <f t="shared" ref="BD8:BD13" ca="1" si="14">ROUND(BC8*IF(AJ8=1,0.95,IF(AJ8=2,1,IF(AJ8,1.05,0))),0)</f>
        <v>12000</v>
      </c>
      <c r="BE8" s="11">
        <f t="shared" ca="1" si="5"/>
        <v>0</v>
      </c>
      <c r="BF8" s="11">
        <f t="shared" ca="1" si="6"/>
        <v>1</v>
      </c>
      <c r="BG8" s="16">
        <f ca="1">IF($BE8&lt;=0,ROUND(BK8*0.5,0), ROUND($BE8*S8*AA8*J8*AY8*0.8*[1]ステータス!$B$2,0))</f>
        <v>3048</v>
      </c>
      <c r="BH8" s="16">
        <f ca="1">IF($BE8&lt;=0,ROUND(BL8*0.5,0), ROUND($BE8*T8*AB8*K8*AZ8*0.8*[1]ステータス!$C$2,0))</f>
        <v>2467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971</v>
      </c>
      <c r="BK8" s="152">
        <f ca="1">ROUND(BD8*S8*AA8*J8*AY8*[1]ステータス!$B$2,0)</f>
        <v>6096</v>
      </c>
      <c r="BL8" s="11">
        <f ca="1">ROUND(BD8*T8*AB8*K8*AZ8*[1]ステータス!$C$2,0)</f>
        <v>4933</v>
      </c>
      <c r="BM8" s="11">
        <f ca="1">ROUND(BD8*U8*AC8*L8*BA8*[1]ステータス!$D$2,0)</f>
        <v>0</v>
      </c>
      <c r="BN8" s="11">
        <f ca="1">ROUND(BD8*V8*AD8*M8*BB8*[1]ステータス!$E$2,0)</f>
        <v>1942</v>
      </c>
      <c r="BO8" s="10">
        <v>0</v>
      </c>
      <c r="BP8" s="10">
        <v>1</v>
      </c>
      <c r="BQ8" s="39" t="s">
        <v>53</v>
      </c>
    </row>
    <row r="9" spans="1:69" ht="21" customHeight="1" x14ac:dyDescent="0.15">
      <c r="A9" s="12">
        <v>809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天然理心の激凛 沖田総司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各属性相性良3・黄・R427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INDEX(コスト!$A$1:$I$20,MATCH(H9,コスト!$A$1:$A$20,FALSE),MATCH(G9,コスト!$A$1:$I$1,FALSE))</f>
        <v>50</v>
      </c>
      <c r="O9" s="11">
        <f ca="1">INDEX(レベル!$A$1:$I$21,MATCH(H9,レベル!$A$1:$A$21,FALSE),MATCH(G9,レベル!$A$1:$I$1,FALSE))</f>
        <v>99</v>
      </c>
      <c r="P9" s="49">
        <f t="shared" ca="1" si="0"/>
        <v>99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 t="s">
        <v>189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ref="AG9:AG23" ca="1" si="15">IF(ISNA(MATCH(A9,AE:AE,0)),A9,INDIRECT(ADDRESS(MATCH(A9,AE:AE,0),COLUMN())))</f>
        <v>809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天然理心の激凛 沖田総司</v>
      </c>
      <c r="AI9" s="11" t="str">
        <f>IF(AE9="NULL","NULL",VLOOKUP(G9,ビット!$A$2:$B$7,2))</f>
        <v>NULL</v>
      </c>
      <c r="AJ9" s="6">
        <v>2</v>
      </c>
      <c r="AK9" s="7" t="str">
        <f t="shared" si="11"/>
        <v>普通</v>
      </c>
      <c r="AL9" s="11" t="str">
        <f ca="1">INDEX(経験値!$A$1:$I$20,MATCH(H9,経験値!$A$1:$A$20,FALSE),MATCH(G9,経験値!$A$1:$I$1,FALSE))</f>
        <v>required_exp_250</v>
      </c>
      <c r="AM9" s="8">
        <f ca="1">VLOOKUP(G9,経験値!$A$27:$B$31,2)</f>
        <v>6400</v>
      </c>
      <c r="AN9" s="17">
        <f ca="1">VLOOKUP(G9,ビット!$G$2:$H$7,2)</f>
        <v>900</v>
      </c>
      <c r="AO9" s="46"/>
      <c r="AP9" s="69">
        <f t="shared" si="12"/>
        <v>809</v>
      </c>
      <c r="AQ9" s="59" t="str">
        <f ca="1">VLOOKUP($AP9,OFFSET(unit_skills!$A$1,0,0,COUNTA(unit_skills!$A:$A),MATCH(AQ$1,unit_skills!$1:$1,0)-MATCH($AP$1,unit_skills!$1:$1,0)+1),MATCH(AQ$1,unit_skills!$1:$1,0)-MATCH($AP$1,unit_skills!$1:$1,0)+1,FALSE)</f>
        <v>天然理心の激凛 沖田総司の技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単体に青属性の超大ダメージ攻撃＋ウィルス状態を解除する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f t="shared" si="13"/>
        <v>809</v>
      </c>
      <c r="AU9" s="59" t="str">
        <f ca="1">VLOOKUP($AT9,OFFSET(crash_skills!$A$1,0,0,COUNTA(crash_skills!$A:$A),MATCH(AU$1,crash_skills!$1:$1,0)-MATCH($AT$1,crash_skills!$1:$1,0)+1),MATCH(AU$1,crash_skills!$1:$1,0)-MATCH($AT$1,crash_skills!$1:$1,0)+1,FALSE)</f>
        <v>天然理心の激凛 沖田総司の技</v>
      </c>
      <c r="AV9" s="59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1体に大ダメージ_x000D_残HPが少ないほど威力UP</v>
      </c>
      <c r="AW9" s="59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v>1.08</v>
      </c>
      <c r="AZ9" s="70">
        <v>1.03</v>
      </c>
      <c r="BA9" s="70">
        <v>0</v>
      </c>
      <c r="BB9" s="70">
        <v>0.93799999999999994</v>
      </c>
      <c r="BC9" s="11">
        <f ca="1">INDEX('RC6SV'!$A$1:$G$20,MATCH(H9,'RC6SV'!$A$1:$A$20,FALSE),MATCH(G9,'RC6SV'!$A$1:$G$1,FALSE))</f>
        <v>13000</v>
      </c>
      <c r="BD9" s="49">
        <f t="shared" ca="1" si="14"/>
        <v>13000</v>
      </c>
      <c r="BE9" s="11">
        <f t="shared" ca="1" si="5"/>
        <v>0</v>
      </c>
      <c r="BF9" s="11">
        <f t="shared" ca="1" si="6"/>
        <v>1</v>
      </c>
      <c r="BG9" s="16">
        <f ca="1">IF($BE9&lt;=0,ROUND(BK9*0.5,0), ROUND($BE9*S9*AA9*J9*AY9*0.8*[1]ステータス!$B$2,0))</f>
        <v>3300</v>
      </c>
      <c r="BH9" s="16">
        <f ca="1">IF($BE9&lt;=0,ROUND(BL9*0.5,0), ROUND($BE9*T9*AB9*K9*AZ9*0.8*[1]ステータス!$C$2,0))</f>
        <v>1949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1664</v>
      </c>
      <c r="BK9" s="11">
        <f ca="1">ROUND(BD9*S9*AA9*J9*AY9*[1]ステータス!$B$2,0)</f>
        <v>6599</v>
      </c>
      <c r="BL9" s="11">
        <f ca="1">ROUND(BD9*T9*AB9*K9*AZ9*[1]ステータス!$C$2,0)</f>
        <v>3897</v>
      </c>
      <c r="BM9" s="11">
        <f ca="1">ROUND(BD9*U9*AC9*L9*BA9*[1]ステータス!$D$2,0)</f>
        <v>0</v>
      </c>
      <c r="BN9" s="11">
        <f ca="1">ROUND(BD9*V9*AD9*M9*BB9*[1]ステータス!$E$2,0)</f>
        <v>3327</v>
      </c>
      <c r="BO9" s="10">
        <v>0</v>
      </c>
      <c r="BP9" s="10">
        <v>1</v>
      </c>
      <c r="BQ9" s="39" t="s">
        <v>53</v>
      </c>
    </row>
    <row r="10" spans="1:69" ht="21" customHeight="1" x14ac:dyDescent="0.15">
      <c r="A10" s="12">
        <v>810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君臨大御神 アマテラス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各属性相性良3・黄・R428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DropWizS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INDEX(コスト!$A$1:$I$20,MATCH(H10,コスト!$A$1:$A$20,FALSE),MATCH(G10,コスト!$A$1:$I$1,FALSE))</f>
        <v>45</v>
      </c>
      <c r="O10" s="11">
        <f ca="1">INDEX(レベル!$A$1:$I$21,MATCH(H10,レベル!$A$1:$A$21,FALSE),MATCH(G10,レベル!$A$1:$I$1,FALSE))</f>
        <v>99</v>
      </c>
      <c r="P10" s="49">
        <f t="shared" ca="1" si="0"/>
        <v>99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1">
        <f ca="1">VLOOKUP(Q10,[1]character_type_i18n!$A:$H,4,FALSE)</f>
        <v>1</v>
      </c>
      <c r="T10" s="11">
        <f ca="1">VLOOKUP(Q10,[1]character_type_i18n!$A:$H,5,FALSE)</f>
        <v>1.33</v>
      </c>
      <c r="U10" s="11">
        <f ca="1">VLOOKUP(Q10,[1]character_type_i18n!$A:$H,6,FALSE)</f>
        <v>1</v>
      </c>
      <c r="V10" s="11">
        <f ca="1">VLOOKUP(Q10,[1]character_type_i18n!$A:$H,7,FALSE)</f>
        <v>0.67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0.96</v>
      </c>
      <c r="AB10" s="11">
        <f ca="1">VLOOKUP(W10,[1]character_tribe_i18n!$A:$H,5,FALSE)</f>
        <v>1.02</v>
      </c>
      <c r="AC10" s="11">
        <f ca="1">VLOOKUP(W10,[1]character_tribe_i18n!$A:$H,6,FALSE)</f>
        <v>1</v>
      </c>
      <c r="AD10" s="11">
        <f ca="1">VLOOKUP(W10,[1]character_tribe_i18n!$A:$H,7,FALSE)</f>
        <v>1.02</v>
      </c>
      <c r="AE10" s="9" t="s">
        <v>189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t="shared" ca="1" si="15"/>
        <v>810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君臨大御神 アマテラス</v>
      </c>
      <c r="AI10" s="11" t="str">
        <f>IF(AE10="NULL","NULL",VLOOKUP(G10,ビット!$A$2:$B$7,2))</f>
        <v>NULL</v>
      </c>
      <c r="AJ10" s="6">
        <v>2</v>
      </c>
      <c r="AK10" s="7" t="str">
        <f t="shared" si="11"/>
        <v>普通</v>
      </c>
      <c r="AL10" s="11" t="str">
        <f ca="1">INDEX(経験値!$A$1:$I$20,MATCH(H10,経験値!$A$1:$A$20,FALSE),MATCH(G10,経験値!$A$1:$I$1,FALSE))</f>
        <v>required_exp_250</v>
      </c>
      <c r="AM10" s="8">
        <f ca="1">VLOOKUP(G10,経験値!$A$27:$B$31,2)</f>
        <v>6400</v>
      </c>
      <c r="AN10" s="17">
        <f ca="1">VLOOKUP(G10,ビット!$G$2:$H$7,2)</f>
        <v>900</v>
      </c>
      <c r="AO10" s="46"/>
      <c r="AP10" s="69">
        <f t="shared" si="12"/>
        <v>810</v>
      </c>
      <c r="AQ10" s="59" t="str">
        <f ca="1">VLOOKUP($AP10,OFFSET(unit_skills!$A$1,0,0,COUNTA(unit_skills!$A:$A),MATCH(AQ$1,unit_skills!$1:$1,0)-MATCH($AP$1,unit_skills!$1:$1,0)+1),MATCH(AQ$1,unit_skills!$1:$1,0)-MATCH($AP$1,unit_skills!$1:$1,0)+1,FALSE)</f>
        <v>君臨大御神 アマテラスの技</v>
      </c>
      <c r="AR10" s="59" t="str">
        <f ca="1">VLOOKUP($AP10,OFFSET(unit_skills!$A$1,0,0,COUNTA(unit_skills!$A:$A),MATCH(AR$1,unit_skills!$1:$1,0)-MATCH($AP$1,unit_skills!$1:$1,0)+1),MATCH(AR$1,unit_skills!$1:$1,0)-MATCH($AP$1,unit_skills!$1:$1,0)+1,FALSE)</f>
        <v>3ターンの間赤属性のユニットの攻撃力を小UP+防御力と回復力を大UP</v>
      </c>
      <c r="AS10" s="59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2">
        <f t="shared" si="13"/>
        <v>810</v>
      </c>
      <c r="AU10" s="59" t="str">
        <f ca="1">VLOOKUP($AT10,OFFSET(crash_skills!$A$1,0,0,COUNTA(crash_skills!$A:$A),MATCH(AU$1,crash_skills!$1:$1,0)-MATCH($AT$1,crash_skills!$1:$1,0)+1),MATCH(AU$1,crash_skills!$1:$1,0)-MATCH($AT$1,crash_skills!$1:$1,0)+1,FALSE)</f>
        <v>君臨大御神 アマテラスの技</v>
      </c>
      <c r="AV10" s="59" t="str">
        <f ca="1">VLOOKUP($AT10,OFFSET(crash_skills!$A$1,0,0,COUNTA(crash_skills!$A:$A),MATCH(AV$1,crash_skills!$1:$1,0)-MATCH($AT$1,crash_skills!$1:$1,0)+1),MATCH(AV$1,crash_skills!$1:$1,0)-MATCH($AT$1,crash_skills!$1:$1,0)+1,FALSE)</f>
        <v>1体に大ダメージ_x000D_ゴッドに効果特大</v>
      </c>
      <c r="AW10" s="59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v>1.08</v>
      </c>
      <c r="AZ10" s="70">
        <v>1.03</v>
      </c>
      <c r="BA10" s="70">
        <v>0</v>
      </c>
      <c r="BB10" s="70">
        <v>0.93799999999999994</v>
      </c>
      <c r="BC10" s="11">
        <f ca="1">INDEX('RC6SV'!$A$1:$G$20,MATCH(H10,'RC6SV'!$A$1:$A$20,FALSE),MATCH(G10,'RC6SV'!$A$1:$G$1,FALSE))</f>
        <v>12000</v>
      </c>
      <c r="BD10" s="49">
        <f t="shared" ca="1" si="14"/>
        <v>12000</v>
      </c>
      <c r="BE10" s="11">
        <f t="shared" ca="1" si="5"/>
        <v>0</v>
      </c>
      <c r="BF10" s="11">
        <f t="shared" ca="1" si="6"/>
        <v>1</v>
      </c>
      <c r="BG10" s="16">
        <f ca="1">IF($BE10&lt;=0,ROUND(BK10*0.5,0), ROUND($BE10*S10*AA10*J10*AY10*0.8*[1]ステータス!$B$2,0))</f>
        <v>3111</v>
      </c>
      <c r="BH10" s="16">
        <f ca="1">IF($BE10&lt;=0,ROUND(BL10*0.5,0), ROUND($BE10*T10*AB10*K10*AZ10*0.8*[1]ステータス!$C$2,0))</f>
        <v>2566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943</v>
      </c>
      <c r="BK10" s="11">
        <f ca="1">ROUND(BD10*S10*AA10*J10*AY10*[1]ステータス!$B$2,0)</f>
        <v>6221</v>
      </c>
      <c r="BL10" s="11">
        <f ca="1">ROUND(BD10*T10*AB10*K10*AZ10*[1]ステータス!$C$2,0)</f>
        <v>5131</v>
      </c>
      <c r="BM10" s="11">
        <f ca="1">ROUND(BD10*U10*AC10*L10*BA10*[1]ステータス!$D$2,0)</f>
        <v>0</v>
      </c>
      <c r="BN10" s="11">
        <f ca="1">ROUND(BD10*V10*AD10*M10*BB10*[1]ステータス!$E$2,0)</f>
        <v>1885</v>
      </c>
      <c r="BO10" s="10">
        <v>0</v>
      </c>
      <c r="BP10" s="10">
        <v>1</v>
      </c>
      <c r="BQ10" s="39" t="s">
        <v>53</v>
      </c>
    </row>
    <row r="11" spans="1:69" ht="21" customHeight="1" x14ac:dyDescent="0.15">
      <c r="A11" s="12">
        <v>811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咲き誇る旅航者 親指姫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各属性相性良3・黄・R429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PremiumSS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11">
        <f ca="1">VLOOKUP(I11,[1]属性!$A:$E,2,FALSE)</f>
        <v>1</v>
      </c>
      <c r="K11" s="11">
        <f ca="1">VLOOKUP(I11,[1]属性!$A:$E,3,FALSE)</f>
        <v>1.02</v>
      </c>
      <c r="L11" s="11">
        <f ca="1">VLOOKUP(I11,[1]属性!$A:$E,4,FALSE)</f>
        <v>1</v>
      </c>
      <c r="M11" s="11">
        <f ca="1">VLOOKUP(I11,[1]属性!$A:$E,5,FALSE)</f>
        <v>0.98</v>
      </c>
      <c r="N11" s="11">
        <f ca="1">INDEX(コスト!$A$1:$I$20,MATCH(H11,コスト!$A$1:$A$20,FALSE),MATCH(G11,コスト!$A$1:$I$1,FALSE))</f>
        <v>50</v>
      </c>
      <c r="O11" s="11">
        <f ca="1">INDEX(レベル!$A$1:$I$21,MATCH(H11,レベル!$A$1:$A$21,FALSE),MATCH(G11,レベル!$A$1:$I$1,FALSE))</f>
        <v>99</v>
      </c>
      <c r="P11" s="49">
        <f t="shared" ca="1" si="0"/>
        <v>99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heal</v>
      </c>
      <c r="R11" s="5" t="str">
        <f ca="1">VLOOKUP(Q11,[1]character_type_i18n!$A:$H,3,FALSE)</f>
        <v>回復タイプ</v>
      </c>
      <c r="S11" s="11">
        <f ca="1">VLOOKUP(Q11,[1]character_type_i18n!$A:$H,4,FALSE)</f>
        <v>0.8</v>
      </c>
      <c r="T11" s="11">
        <f ca="1">VLOOKUP(Q11,[1]character_type_i18n!$A:$H,5,FALSE)</f>
        <v>0.78</v>
      </c>
      <c r="U11" s="11">
        <f ca="1">VLOOKUP(Q11,[1]character_type_i18n!$A:$H,6,FALSE)</f>
        <v>1</v>
      </c>
      <c r="V11" s="11">
        <f ca="1">VLOOKUP(Q11,[1]character_type_i18n!$A:$H,7,FALSE)</f>
        <v>1.42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machine</v>
      </c>
      <c r="Z11" s="5" t="str">
        <f ca="1">VLOOKUP(Y11,[1]character_tribe_i18n!$A:$H,3,FALSE)</f>
        <v>マシン</v>
      </c>
      <c r="AA11" s="11">
        <f ca="1">VLOOKUP(W11,[1]character_tribe_i18n!$A:$H,4,FALSE)</f>
        <v>0.94</v>
      </c>
      <c r="AB11" s="11">
        <f ca="1">VLOOKUP(W11,[1]character_tribe_i18n!$A:$H,5,FALSE)</f>
        <v>0.99</v>
      </c>
      <c r="AC11" s="11">
        <f ca="1">VLOOKUP(W11,[1]character_tribe_i18n!$A:$H,6,FALSE)</f>
        <v>1</v>
      </c>
      <c r="AD11" s="11">
        <f ca="1">VLOOKUP(W11,[1]character_tribe_i18n!$A:$H,7,FALSE)</f>
        <v>1.07</v>
      </c>
      <c r="AE11" s="9" t="s">
        <v>189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5"/>
        <v>811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咲き誇る旅航者 親指姫</v>
      </c>
      <c r="AI11" s="11" t="str">
        <f>IF(AE11="NULL","NULL",VLOOKUP(G11,ビット!$A$2:$B$7,2))</f>
        <v>NULL</v>
      </c>
      <c r="AJ11" s="6">
        <v>2</v>
      </c>
      <c r="AK11" s="7" t="str">
        <f t="shared" si="11"/>
        <v>普通</v>
      </c>
      <c r="AL11" s="11" t="str">
        <f ca="1">INDEX(経験値!$A$1:$I$20,MATCH(H11,経験値!$A$1:$A$20,FALSE),MATCH(G11,経験値!$A$1:$I$1,FALSE))</f>
        <v>required_exp_250</v>
      </c>
      <c r="AM11" s="8">
        <f ca="1">VLOOKUP(G11,経験値!$A$27:$B$31,2)</f>
        <v>6400</v>
      </c>
      <c r="AN11" s="17">
        <f ca="1">VLOOKUP(G11,ビット!$G$2:$H$7,2)</f>
        <v>900</v>
      </c>
      <c r="AO11" s="46"/>
      <c r="AP11" s="69">
        <f t="shared" si="12"/>
        <v>811</v>
      </c>
      <c r="AQ11" s="59" t="str">
        <f ca="1">VLOOKUP($AP11,OFFSET(unit_skills!$A$1,0,0,COUNTA(unit_skills!$A:$A),MATCH(AQ$1,unit_skills!$1:$1,0)-MATCH($AP$1,unit_skills!$1:$1,0)+1),MATCH(AQ$1,unit_skills!$1:$1,0)-MATCH($AP$1,unit_skills!$1:$1,0)+1,FALSE)</f>
        <v>咲き誇る旅航者 親指姫の技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ハート無効解除+大回復+全体にダメージ攻撃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f t="shared" si="13"/>
        <v>811</v>
      </c>
      <c r="AU11" s="59" t="str">
        <f ca="1">VLOOKUP($AT11,OFFSET(crash_skills!$A$1,0,0,COUNTA(crash_skills!$A:$A),MATCH(AU$1,crash_skills!$1:$1,0)-MATCH($AT$1,crash_skills!$1:$1,0)+1),MATCH(AU$1,crash_skills!$1:$1,0)-MATCH($AT$1,crash_skills!$1:$1,0)+1,FALSE)</f>
        <v>咲き誇る旅航者 親指姫の技</v>
      </c>
      <c r="AV11" s="59" t="str">
        <f ca="1">VLOOKUP($AT11,OFFSET(crash_skills!$A$1,0,0,COUNTA(crash_skills!$A:$A),MATCH(AV$1,crash_skills!$1:$1,0)-MATCH($AT$1,crash_skills!$1:$1,0)+1),MATCH(AV$1,crash_skills!$1:$1,0)-MATCH($AT$1,crash_skills!$1:$1,0)+1,FALSE)</f>
        <v>１体に大ダメージ+_x000D_HPを中回復</v>
      </c>
      <c r="AW11" s="59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70">
        <v>1.08</v>
      </c>
      <c r="AZ11" s="70">
        <v>1.03</v>
      </c>
      <c r="BA11" s="70">
        <v>0</v>
      </c>
      <c r="BB11" s="70">
        <v>1.042</v>
      </c>
      <c r="BC11" s="11">
        <f ca="1">INDEX('RC6SV'!$A$1:$G$20,MATCH(H11,'RC6SV'!$A$1:$A$20,FALSE),MATCH(G11,'RC6SV'!$A$1:$G$1,FALSE))</f>
        <v>13000</v>
      </c>
      <c r="BD11" s="49">
        <f t="shared" ca="1" si="14"/>
        <v>13000</v>
      </c>
      <c r="BE11" s="11">
        <f t="shared" ca="1" si="5"/>
        <v>0</v>
      </c>
      <c r="BF11" s="11">
        <f t="shared" ca="1" si="6"/>
        <v>1</v>
      </c>
      <c r="BG11" s="16">
        <f ca="1">IF($BE11&lt;=0,ROUND(BK11*0.5,0), ROUND($BE11*S11*AA11*J11*AY11*0.8*[1]ステータス!$B$2,0))</f>
        <v>2640</v>
      </c>
      <c r="BH11" s="16">
        <f ca="1">IF($BE11&lt;=0,ROUND(BL11*0.5,0), ROUND($BE11*T11*AB11*K11*AZ11*0.8*[1]ステータス!$C$2,0))</f>
        <v>1582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2522</v>
      </c>
      <c r="BK11" s="11">
        <f ca="1">ROUND(BD11*S11*AA11*J11*AY11*[1]ステータス!$B$2,0)</f>
        <v>5279</v>
      </c>
      <c r="BL11" s="11">
        <f ca="1">ROUND(BD11*T11*AB11*K11*AZ11*[1]ステータス!$C$2,0)</f>
        <v>3164</v>
      </c>
      <c r="BM11" s="11">
        <f ca="1">ROUND(BD11*U11*AC11*L11*BA11*[1]ステータス!$D$2,0)</f>
        <v>0</v>
      </c>
      <c r="BN11" s="11">
        <f ca="1">ROUND(BD11*V11*AD11*M11*BB11*[1]ステータス!$E$2,0)</f>
        <v>5043</v>
      </c>
      <c r="BO11" s="10">
        <v>0</v>
      </c>
      <c r="BP11" s="10">
        <v>1</v>
      </c>
      <c r="BQ11" s="39" t="s">
        <v>53</v>
      </c>
    </row>
    <row r="12" spans="1:69" ht="21" customHeight="1" x14ac:dyDescent="0.15">
      <c r="A12" s="12">
        <v>812</v>
      </c>
      <c r="B12" s="59" t="str">
        <f ca="1">VLOOKUP($A12,OFFSET([1]characters!$A$1,0,0,COUNTA([1]characters!$A:$A),MATCH(B$1,[1]characters!$1:$1,0)-MATCH($A$1,[1]characters!$1:$1,0)+1),MATCH(B$1,[1]characters!$1:$1,0)-MATCH($A$1,[1]characters!$1:$1,0)+1,FALSE)</f>
        <v>凶膨なる殲滅 アザゼル</v>
      </c>
      <c r="C12" s="59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各属性相性良3・黄・R430</v>
      </c>
      <c r="D12" s="59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9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9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9">
        <f ca="1">VLOOKUP($A12,OFFSET([1]characters!$A$1,0,0,COUNTA([1]characters!$A:$A),MATCH(G$1,[1]characters!$1:$1,0)-MATCH($A$1,[1]characters!$1:$1,0)+1),MATCH(G$1,[1]characters!$1:$1,0)-MATCH($A$1,[1]characters!$1:$1,0)+1,FALSE)</f>
        <v>6</v>
      </c>
      <c r="H12" s="59" t="str">
        <f ca="1">VLOOKUP($A12,OFFSET([1]characters!$A$1,0,0,COUNTA([1]characters!$A:$A),MATCH(H$1,[1]characters!$1:$1,0)-MATCH($A$1,[1]characters!$1:$1,0)+1),MATCH(H$1,[1]characters!$1:$1,0)-MATCH($A$1,[1]characters!$1:$1,0)+1,FALSE)</f>
        <v>DropWizS</v>
      </c>
      <c r="I12" s="59" t="str">
        <f ca="1">VLOOKUP($A12,OFFSET([1]characters!$A$1,0,0,COUNTA([1]characters!$A:$A),MATCH(I$1,[1]characters!$1:$1,0)-MATCH($A$1,[1]characters!$1:$1,0)+1),MATCH(I$1,[1]characters!$1:$1,0)-MATCH($A$1,[1]characters!$1:$1,0)+1,FALSE)</f>
        <v>green</v>
      </c>
      <c r="J12" s="11">
        <f ca="1">VLOOKUP(I12,[1]属性!$A:$E,2,FALSE)</f>
        <v>1.02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</v>
      </c>
      <c r="N12" s="11">
        <f ca="1">INDEX(コスト!$A$1:$I$20,MATCH(H12,コスト!$A$1:$A$20,FALSE),MATCH(G12,コスト!$A$1:$I$1,FALSE))</f>
        <v>45</v>
      </c>
      <c r="O12" s="11">
        <f ca="1">INDEX(レベル!$A$1:$I$21,MATCH(H12,レベル!$A$1:$A$21,FALSE),MATCH(G12,レベル!$A$1:$I$1,FALSE))</f>
        <v>99</v>
      </c>
      <c r="P12" s="49">
        <f t="shared" ca="1" si="0"/>
        <v>99</v>
      </c>
      <c r="Q12" s="59" t="str">
        <f ca="1">VLOOKUP($A12,OFFSET([1]characters!$A$1,0,0,COUNTA([1]characters!$A:$A),MATCH(Q$1,[1]characters!$1:$1,0)-MATCH($A$1,[1]characters!$1:$1,0)+1),MATCH(Q$1,[1]characters!$1:$1,0)-MATCH($A$1,[1]characters!$1:$1,0)+1,FALSE)</f>
        <v>technical</v>
      </c>
      <c r="R12" s="5" t="str">
        <f ca="1">VLOOKUP(Q12,[1]character_type_i18n!$A:$H,3,FALSE)</f>
        <v>テクニカルタイプ</v>
      </c>
      <c r="S12" s="11">
        <f ca="1">VLOOKUP(Q12,[1]character_type_i18n!$A:$H,4,FALSE)</f>
        <v>0.9</v>
      </c>
      <c r="T12" s="11">
        <f ca="1">VLOOKUP(Q12,[1]character_type_i18n!$A:$H,5,FALSE)</f>
        <v>0.9</v>
      </c>
      <c r="U12" s="11">
        <f ca="1">VLOOKUP(Q12,[1]character_type_i18n!$A:$H,6,FALSE)</f>
        <v>1</v>
      </c>
      <c r="V12" s="11">
        <f ca="1">VLOOKUP(Q12,[1]character_type_i18n!$A:$H,7,FALSE)</f>
        <v>0.9</v>
      </c>
      <c r="W12" s="59" t="str">
        <f ca="1">VLOOKUP($A12,OFFSET([1]characters!$A$1,0,0,COUNTA([1]characters!$A:$A),MATCH(W$1,[1]characters!$1:$1,0)-MATCH($A$1,[1]characters!$1:$1,0)+1),MATCH(W$1,[1]characters!$1:$1,0)-MATCH($A$1,[1]characters!$1:$1,0)+1,FALSE)</f>
        <v>god</v>
      </c>
      <c r="X12" s="5" t="str">
        <f ca="1">VLOOKUP(W12,[1]character_tribe_i18n!$A:$H,3,FALSE)</f>
        <v>ゴッド</v>
      </c>
      <c r="Y12" s="59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0.96</v>
      </c>
      <c r="AB12" s="11">
        <f ca="1">VLOOKUP(W12,[1]character_tribe_i18n!$A:$H,5,FALSE)</f>
        <v>1.02</v>
      </c>
      <c r="AC12" s="11">
        <f ca="1">VLOOKUP(W12,[1]character_tribe_i18n!$A:$H,6,FALSE)</f>
        <v>1</v>
      </c>
      <c r="AD12" s="11">
        <f ca="1">VLOOKUP(W12,[1]character_tribe_i18n!$A:$H,7,FALSE)</f>
        <v>1.02</v>
      </c>
      <c r="AE12" s="9" t="s">
        <v>189</v>
      </c>
      <c r="AF12" s="64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f t="shared" ca="1" si="15"/>
        <v>812</v>
      </c>
      <c r="AH12" s="64" t="str">
        <f ca="1">VLOOKUP($AG12,OFFSET([1]characters!$A$1,0,0,COUNTA([1]characters!$A:$A),MATCH(AH$1,[1]characters!$1:$1,0)-MATCH($A$1,[1]characters!$1:$1,0)+1),MATCH(AH$1,[1]characters!$1:$1,0)-MATCH($A$1,[1]characters!$1:$1,0)+1,FALSE)</f>
        <v>凶膨なる殲滅 アザゼル</v>
      </c>
      <c r="AI12" s="11" t="str">
        <f>IF(AE12="NULL","NULL",VLOOKUP(G12,ビット!$A$2:$B$7,2))</f>
        <v>NULL</v>
      </c>
      <c r="AJ12" s="6">
        <v>2</v>
      </c>
      <c r="AK12" s="7" t="str">
        <f t="shared" si="11"/>
        <v>普通</v>
      </c>
      <c r="AL12" s="11" t="str">
        <f ca="1">INDEX(経験値!$A$1:$I$20,MATCH(H12,経験値!$A$1:$A$20,FALSE),MATCH(G12,経験値!$A$1:$I$1,FALSE))</f>
        <v>required_exp_250</v>
      </c>
      <c r="AM12" s="8">
        <f ca="1">VLOOKUP(G12,経験値!$A$27:$B$31,2)</f>
        <v>6400</v>
      </c>
      <c r="AN12" s="17">
        <f ca="1">VLOOKUP(G12,ビット!$G$2:$H$7,2)</f>
        <v>900</v>
      </c>
      <c r="AO12" s="46"/>
      <c r="AP12" s="69">
        <f t="shared" si="12"/>
        <v>812</v>
      </c>
      <c r="AQ12" s="59" t="str">
        <f ca="1">VLOOKUP($AP12,OFFSET(unit_skills!$A$1,0,0,COUNTA(unit_skills!$A:$A),MATCH(AQ$1,unit_skills!$1:$1,0)-MATCH($AP$1,unit_skills!$1:$1,0)+1),MATCH(AQ$1,unit_skills!$1:$1,0)-MATCH($AP$1,unit_skills!$1:$1,0)+1,FALSE)</f>
        <v>凶膨なる殲滅 アザゼルの技</v>
      </c>
      <c r="AR12" s="59" t="str">
        <f ca="1">VLOOKUP($AP12,OFFSET(unit_skills!$A$1,0,0,COUNTA(unit_skills!$A:$A),MATCH(AR$1,unit_skills!$1:$1,0)-MATCH($AP$1,unit_skills!$1:$1,0)+1),MATCH(AR$1,unit_skills!$1:$1,0)-MATCH($AP$1,unit_skills!$1:$1,0)+1,FALSE)</f>
        <v>2ターンの間パネルタップ回数を2にする代わりに、すべてのパネルを緑パネルに変換する</v>
      </c>
      <c r="AS12" s="59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2">
        <f t="shared" si="13"/>
        <v>812</v>
      </c>
      <c r="AU12" s="59" t="str">
        <f ca="1">VLOOKUP($AT12,OFFSET(crash_skills!$A$1,0,0,COUNTA(crash_skills!$A:$A),MATCH(AU$1,crash_skills!$1:$1,0)-MATCH($AT$1,crash_skills!$1:$1,0)+1),MATCH(AU$1,crash_skills!$1:$1,0)-MATCH($AT$1,crash_skills!$1:$1,0)+1,FALSE)</f>
        <v>凶膨なる殲滅 アザゼルの技</v>
      </c>
      <c r="AV12" s="59" t="str">
        <f ca="1">VLOOKUP($AT12,OFFSET(crash_skills!$A$1,0,0,COUNTA(crash_skills!$A:$A),MATCH(AV$1,crash_skills!$1:$1,0)-MATCH($AT$1,crash_skills!$1:$1,0)+1),MATCH(AV$1,crash_skills!$1:$1,0)-MATCH($AT$1,crash_skills!$1:$1,0)+1,FALSE)</f>
        <v>ヒューマンに効果超大の_x000D_全体ダメージ+攻撃力小UP</v>
      </c>
      <c r="AW12" s="59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60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70">
        <v>1.08</v>
      </c>
      <c r="AZ12" s="70">
        <v>1.03</v>
      </c>
      <c r="BA12" s="70">
        <v>0</v>
      </c>
      <c r="BB12" s="70">
        <v>0.93799999999999994</v>
      </c>
      <c r="BC12" s="11">
        <f ca="1">INDEX('RC6SV'!$A$1:$G$20,MATCH(H12,'RC6SV'!$A$1:$A$20,FALSE),MATCH(G12,'RC6SV'!$A$1:$G$1,FALSE))</f>
        <v>12000</v>
      </c>
      <c r="BD12" s="49">
        <f t="shared" ca="1" si="14"/>
        <v>12000</v>
      </c>
      <c r="BE12" s="11">
        <f t="shared" ca="1" si="5"/>
        <v>0</v>
      </c>
      <c r="BF12" s="11">
        <f t="shared" ca="1" si="6"/>
        <v>1</v>
      </c>
      <c r="BG12" s="16">
        <f ca="1">IF($BE12&lt;=0,ROUND(BK12*0.5,0), ROUND($BE12*S12*AA12*J12*AY12*0.8*[1]ステータス!$B$2,0))</f>
        <v>2856</v>
      </c>
      <c r="BH12" s="16">
        <f ca="1">IF($BE12&lt;=0,ROUND(BL12*0.5,0), ROUND($BE12*T12*AB12*K12*AZ12*0.8*[1]ステータス!$C$2,0))</f>
        <v>1668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1292</v>
      </c>
      <c r="BK12" s="11">
        <f ca="1">ROUND(BD12*S12*AA12*J12*AY12*[1]ステータス!$B$2,0)</f>
        <v>5711</v>
      </c>
      <c r="BL12" s="11">
        <f ca="1">ROUND(BD12*T12*AB12*K12*AZ12*[1]ステータス!$C$2,0)</f>
        <v>3336</v>
      </c>
      <c r="BM12" s="11">
        <f ca="1">ROUND(BD12*U12*AC12*L12*BA12*[1]ステータス!$D$2,0)</f>
        <v>0</v>
      </c>
      <c r="BN12" s="11">
        <f ca="1">ROUND(BD12*V12*AD12*M12*BB12*[1]ステータス!$E$2,0)</f>
        <v>2583</v>
      </c>
      <c r="BO12" s="10">
        <v>0</v>
      </c>
      <c r="BP12" s="10">
        <v>1</v>
      </c>
      <c r="BQ12" s="39" t="s">
        <v>53</v>
      </c>
    </row>
    <row r="13" spans="1:69" ht="21" customHeight="1" x14ac:dyDescent="0.15">
      <c r="A13" s="12">
        <v>813</v>
      </c>
      <c r="B13" s="59" t="str">
        <f ca="1">VLOOKUP($A13,OFFSET([1]characters!$A$1,0,0,COUNTA([1]characters!$A:$A),MATCH(B$1,[1]characters!$1:$1,0)-MATCH($A$1,[1]characters!$1:$1,0)+1),MATCH(B$1,[1]characters!$1:$1,0)-MATCH($A$1,[1]characters!$1:$1,0)+1,FALSE)</f>
        <v>絆の大冒険 ヘンゼル＆グレーテル</v>
      </c>
      <c r="C13" s="59" t="str">
        <f ca="1">VLOOKUP($A13,OFFSET([1]characters!$A$1,0,0,COUNTA([1]characters!$A:$A),MATCH(C$1,[1]characters!$1:$1,0)-MATCH($A$1,[1]characters!$1:$1,0)+1),MATCH(C$1,[1]characters!$1:$1,0)-MATCH($A$1,[1]characters!$1:$1,0)+1,FALSE)</f>
        <v>各属性相性良3・黄・R431</v>
      </c>
      <c r="D13" s="59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9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9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9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9" t="str">
        <f ca="1">VLOOKUP($A13,OFFSET([1]characters!$A$1,0,0,COUNTA([1]characters!$A:$A),MATCH(H$1,[1]characters!$1:$1,0)-MATCH($A$1,[1]characters!$1:$1,0)+1),MATCH(H$1,[1]characters!$1:$1,0)-MATCH($A$1,[1]characters!$1:$1,0)+1,FALSE)</f>
        <v>PremiumSS</v>
      </c>
      <c r="I13" s="59" t="str">
        <f ca="1">VLOOKUP($A13,OFFSET([1]characters!$A$1,0,0,COUNTA([1]characters!$A:$A),MATCH(I$1,[1]characters!$1:$1,0)-MATCH($A$1,[1]characters!$1:$1,0)+1),MATCH(I$1,[1]characters!$1:$1,0)-MATCH($A$1,[1]characters!$1:$1,0)+1,FALSE)</f>
        <v>yellow</v>
      </c>
      <c r="J13" s="11">
        <f ca="1">VLOOKUP(I13,[1]属性!$A:$E,2,FALSE)</f>
        <v>0.98</v>
      </c>
      <c r="K13" s="11">
        <f ca="1">VLOOKUP(I13,[1]属性!$A:$E,3,FALSE)</f>
        <v>1.01</v>
      </c>
      <c r="L13" s="11">
        <f ca="1">VLOOKUP(I13,[1]属性!$A:$E,4,FALSE)</f>
        <v>1</v>
      </c>
      <c r="M13" s="11">
        <f ca="1">VLOOKUP(I13,[1]属性!$A:$E,5,FALSE)</f>
        <v>1.01</v>
      </c>
      <c r="N13" s="11">
        <f ca="1">INDEX(コスト!$A$1:$I$20,MATCH(H13,コスト!$A$1:$A$20,FALSE),MATCH(G13,コスト!$A$1:$I$1,FALSE))</f>
        <v>50</v>
      </c>
      <c r="O13" s="11">
        <f ca="1">INDEX(レベル!$A$1:$I$21,MATCH(H13,レベル!$A$1:$A$21,FALSE),MATCH(G13,レベル!$A$1:$I$1,FALSE))</f>
        <v>99</v>
      </c>
      <c r="P13" s="49">
        <f t="shared" ca="1" si="0"/>
        <v>99</v>
      </c>
      <c r="Q13" s="59" t="str">
        <f ca="1">VLOOKUP($A13,OFFSET([1]characters!$A$1,0,0,COUNTA([1]characters!$A:$A),MATCH(Q$1,[1]characters!$1:$1,0)-MATCH($A$1,[1]characters!$1:$1,0)+1),MATCH(Q$1,[1]characters!$1:$1,0)-MATCH($A$1,[1]characters!$1:$1,0)+1,FALSE)</f>
        <v>balance</v>
      </c>
      <c r="R13" s="5" t="str">
        <f ca="1">VLOOKUP(Q13,[1]character_type_i18n!$A:$H,3,FALSE)</f>
        <v>バランスタイプ</v>
      </c>
      <c r="S13" s="11">
        <f ca="1">VLOOKUP(Q13,[1]character_type_i18n!$A:$H,4,FALSE)</f>
        <v>1</v>
      </c>
      <c r="T13" s="11">
        <f ca="1">VLOOKUP(Q13,[1]character_type_i18n!$A:$H,5,FALSE)</f>
        <v>1</v>
      </c>
      <c r="U13" s="11">
        <f ca="1">VLOOKUP(Q13,[1]character_type_i18n!$A:$H,6,FALSE)</f>
        <v>1</v>
      </c>
      <c r="V13" s="11">
        <f ca="1">VLOOKUP(Q13,[1]character_type_i18n!$A:$H,7,FALSE)</f>
        <v>1</v>
      </c>
      <c r="W13" s="59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9" t="str">
        <f ca="1">VLOOKUP($A13,OFFSET([1]characters!$A$1,0,0,COUNTA([1]characters!$A:$A),MATCH(Y$1,[1]characters!$1:$1,0)-MATCH($A$1,[1]characters!$1:$1,0)+1),MATCH(Y$1,[1]characters!$1:$1,0)-MATCH($A$1,[1]characters!$1:$1,0)+1,FALSE)</f>
        <v>machine</v>
      </c>
      <c r="Z13" s="5" t="str">
        <f ca="1">VLOOKUP(Y13,[1]character_tribe_i18n!$A:$H,3,FALSE)</f>
        <v>マシン</v>
      </c>
      <c r="AA13" s="11">
        <f ca="1">VLOOKUP(W13,[1]character_tribe_i18n!$A:$H,4,FALSE)</f>
        <v>0.94</v>
      </c>
      <c r="AB13" s="11">
        <f ca="1">VLOOKUP(W13,[1]character_tribe_i18n!$A:$H,5,FALSE)</f>
        <v>0.99</v>
      </c>
      <c r="AC13" s="11">
        <f ca="1">VLOOKUP(W13,[1]character_tribe_i18n!$A:$H,6,FALSE)</f>
        <v>1</v>
      </c>
      <c r="AD13" s="11">
        <f ca="1">VLOOKUP(W13,[1]character_tribe_i18n!$A:$H,7,FALSE)</f>
        <v>1.07</v>
      </c>
      <c r="AE13" s="9" t="s">
        <v>189</v>
      </c>
      <c r="AF13" s="64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15"/>
        <v>813</v>
      </c>
      <c r="AH13" s="64" t="str">
        <f ca="1">VLOOKUP($AG13,OFFSET([1]characters!$A$1,0,0,COUNTA([1]characters!$A:$A),MATCH(AH$1,[1]characters!$1:$1,0)-MATCH($A$1,[1]characters!$1:$1,0)+1),MATCH(AH$1,[1]characters!$1:$1,0)-MATCH($A$1,[1]characters!$1:$1,0)+1,FALSE)</f>
        <v>絆の大冒険 ヘンゼル＆グレーテル</v>
      </c>
      <c r="AI13" s="11" t="str">
        <f>IF(AE13="NULL","NULL",VLOOKUP(G13,ビット!$A$2:$B$7,2))</f>
        <v>NULL</v>
      </c>
      <c r="AJ13" s="6">
        <v>2</v>
      </c>
      <c r="AK13" s="7" t="str">
        <f t="shared" si="11"/>
        <v>普通</v>
      </c>
      <c r="AL13" s="11" t="str">
        <f ca="1">INDEX(経験値!$A$1:$I$20,MATCH(H13,経験値!$A$1:$A$20,FALSE),MATCH(G13,経験値!$A$1:$I$1,FALSE))</f>
        <v>required_exp_250</v>
      </c>
      <c r="AM13" s="8">
        <f ca="1">VLOOKUP(G13,経験値!$A$27:$B$31,2)</f>
        <v>6400</v>
      </c>
      <c r="AN13" s="17">
        <f ca="1">VLOOKUP(G13,ビット!$G$2:$H$7,2)</f>
        <v>900</v>
      </c>
      <c r="AO13" s="46"/>
      <c r="AP13" s="69">
        <f t="shared" si="12"/>
        <v>813</v>
      </c>
      <c r="AQ13" s="59" t="str">
        <f ca="1">VLOOKUP($AP13,OFFSET(unit_skills!$A$1,0,0,COUNTA(unit_skills!$A:$A),MATCH(AQ$1,unit_skills!$1:$1,0)-MATCH($AP$1,unit_skills!$1:$1,0)+1),MATCH(AQ$1,unit_skills!$1:$1,0)-MATCH($AP$1,unit_skills!$1:$1,0)+1,FALSE)</f>
        <v>絆の大冒険 ヘンゼル＆グレーテルの技</v>
      </c>
      <c r="AR13" s="59" t="str">
        <f ca="1">VLOOKUP($AP13,OFFSET(unit_skills!$A$1,0,0,COUNTA(unit_skills!$A:$A),MATCH(AR$1,unit_skills!$1:$1,0)-MATCH($AP$1,unit_skills!$1:$1,0)+1),MATCH(AR$1,unit_skills!$1:$1,0)-MATCH($AP$1,unit_skills!$1:$1,0)+1,FALSE)</f>
        <v>1ターンの間敵から受けるダメージを50%軽減+4ターン全ユニットのCパネル生成短縮(効果大)</v>
      </c>
      <c r="AS13" s="59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2">
        <f t="shared" si="13"/>
        <v>813</v>
      </c>
      <c r="AU13" s="59" t="str">
        <f ca="1">VLOOKUP($AT13,OFFSET(crash_skills!$A$1,0,0,COUNTA(crash_skills!$A:$A),MATCH(AU$1,crash_skills!$1:$1,0)-MATCH($AT$1,crash_skills!$1:$1,0)+1),MATCH(AU$1,crash_skills!$1:$1,0)-MATCH($AT$1,crash_skills!$1:$1,0)+1,FALSE)</f>
        <v>絆の大冒険 ヘンゼル＆グレーテルの技</v>
      </c>
      <c r="AV13" s="59" t="str">
        <f ca="1">VLOOKUP($AT13,OFFSET(crash_skills!$A$1,0,0,COUNTA(crash_skills!$A:$A),MATCH(AV$1,crash_skills!$1:$1,0)-MATCH($AT$1,crash_skills!$1:$1,0)+1),MATCH(AV$1,crash_skills!$1:$1,0)-MATCH($AT$1,crash_skills!$1:$1,0)+1,FALSE)</f>
        <v>1体に特大ダメージ_x000D_種族ヒューマンに効果超大</v>
      </c>
      <c r="AW13" s="59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60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70">
        <v>1.08</v>
      </c>
      <c r="AZ13" s="70">
        <v>1.03</v>
      </c>
      <c r="BA13" s="70">
        <v>0</v>
      </c>
      <c r="BB13" s="70">
        <v>0.93799999999999994</v>
      </c>
      <c r="BC13" s="11">
        <f ca="1">INDEX('RC6SV'!$A$1:$G$20,MATCH(H13,'RC6SV'!$A$1:$A$20,FALSE),MATCH(G13,'RC6SV'!$A$1:$G$1,FALSE))</f>
        <v>13000</v>
      </c>
      <c r="BD13" s="49">
        <f t="shared" ca="1" si="14"/>
        <v>13000</v>
      </c>
      <c r="BE13" s="11">
        <f t="shared" ca="1" si="5"/>
        <v>0</v>
      </c>
      <c r="BF13" s="11">
        <f t="shared" ca="1" si="6"/>
        <v>1</v>
      </c>
      <c r="BG13" s="16">
        <f ca="1">IF($BE13&lt;=0,ROUND(BK13*0.5,0), ROUND($BE13*S13*AA13*J13*AY13*0.8*[1]ステータス!$B$2,0))</f>
        <v>3234</v>
      </c>
      <c r="BH13" s="16">
        <f ca="1">IF($BE13&lt;=0,ROUND(BL13*0.5,0), ROUND($BE13*T13*AB13*K13*AZ13*0.8*[1]ステータス!$C$2,0))</f>
        <v>2009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1648</v>
      </c>
      <c r="BK13" s="11">
        <f ca="1">ROUND(BD13*S13*AA13*J13*AY13*[1]ステータス!$B$2,0)</f>
        <v>6467</v>
      </c>
      <c r="BL13" s="11">
        <f ca="1">ROUND(BD13*T13*AB13*K13*AZ13*[1]ステータス!$C$2,0)</f>
        <v>4017</v>
      </c>
      <c r="BM13" s="11">
        <f ca="1">ROUND(BD13*U13*AC13*L13*BA13*[1]ステータス!$D$2,0)</f>
        <v>0</v>
      </c>
      <c r="BN13" s="11">
        <f ca="1">ROUND(BD13*V13*AD13*M13*BB13*[1]ステータス!$E$2,0)</f>
        <v>3295</v>
      </c>
      <c r="BO13" s="10">
        <v>0</v>
      </c>
      <c r="BP13" s="10">
        <v>1</v>
      </c>
      <c r="BQ13" s="39" t="s">
        <v>53</v>
      </c>
    </row>
    <row r="14" spans="1:69" ht="21" customHeight="1" x14ac:dyDescent="0.15">
      <c r="A14" s="12">
        <v>814</v>
      </c>
      <c r="B14" s="59" t="str">
        <f ca="1">VLOOKUP($A14,OFFSET([1]characters!$A$1,0,0,COUNTA([1]characters!$A:$A),MATCH(B$1,[1]characters!$1:$1,0)-MATCH($A$1,[1]characters!$1:$1,0)+1),MATCH(B$1,[1]characters!$1:$1,0)-MATCH($A$1,[1]characters!$1:$1,0)+1,FALSE)</f>
        <v>戦場疾駆の鋼蹄 ジャンヌ</v>
      </c>
      <c r="C14" s="59" t="str">
        <f ca="1">VLOOKUP($A14,OFFSET([1]characters!$A$1,0,0,COUNTA([1]characters!$A:$A),MATCH(C$1,[1]characters!$1:$1,0)-MATCH($A$1,[1]characters!$1:$1,0)+1),MATCH(C$1,[1]characters!$1:$1,0)-MATCH($A$1,[1]characters!$1:$1,0)+1,FALSE)</f>
        <v>各属性相性良3・黄・R432</v>
      </c>
      <c r="D14" s="59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9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9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9">
        <f ca="1">VLOOKUP($A14,OFFSET([1]characters!$A$1,0,0,COUNTA([1]characters!$A:$A),MATCH(G$1,[1]characters!$1:$1,0)-MATCH($A$1,[1]characters!$1:$1,0)+1),MATCH(G$1,[1]characters!$1:$1,0)-MATCH($A$1,[1]characters!$1:$1,0)+1,FALSE)</f>
        <v>6</v>
      </c>
      <c r="H14" s="59" t="str">
        <f ca="1">VLOOKUP($A14,OFFSET([1]characters!$A$1,0,0,COUNTA([1]characters!$A:$A),MATCH(H$1,[1]characters!$1:$1,0)-MATCH($A$1,[1]characters!$1:$1,0)+1),MATCH(H$1,[1]characters!$1:$1,0)-MATCH($A$1,[1]characters!$1:$1,0)+1,FALSE)</f>
        <v>DropWizS</v>
      </c>
      <c r="I14" s="59" t="str">
        <f ca="1">VLOOKUP($A14,OFFSET([1]characters!$A$1,0,0,COUNTA([1]characters!$A:$A),MATCH(I$1,[1]characters!$1:$1,0)-MATCH($A$1,[1]characters!$1:$1,0)+1),MATCH(I$1,[1]characters!$1:$1,0)-MATCH($A$1,[1]characters!$1:$1,0)+1,FALSE)</f>
        <v>blue</v>
      </c>
      <c r="J14" s="11">
        <f ca="1">VLOOKUP(I14,[1]属性!$A:$E,2,FALSE)</f>
        <v>1</v>
      </c>
      <c r="K14" s="11">
        <f ca="1">VLOOKUP(I14,[1]属性!$A:$E,3,FALSE)</f>
        <v>0.98</v>
      </c>
      <c r="L14" s="11">
        <f ca="1">VLOOKUP(I14,[1]属性!$A:$E,4,FALSE)</f>
        <v>1</v>
      </c>
      <c r="M14" s="11">
        <f ca="1">VLOOKUP(I14,[1]属性!$A:$E,5,FALSE)</f>
        <v>1.02</v>
      </c>
      <c r="N14" s="11">
        <f ca="1">INDEX(コスト!$A$1:$I$20,MATCH(H14,コスト!$A$1:$A$20,FALSE),MATCH(G14,コスト!$A$1:$I$1,FALSE))</f>
        <v>45</v>
      </c>
      <c r="O14" s="11">
        <f ca="1">INDEX(レベル!$A$1:$I$21,MATCH(H14,レベル!$A$1:$A$21,FALSE),MATCH(G14,レベル!$A$1:$I$1,FALSE))</f>
        <v>99</v>
      </c>
      <c r="P14" s="49">
        <f t="shared" ca="1" si="0"/>
        <v>99</v>
      </c>
      <c r="Q14" s="59" t="str">
        <f ca="1">VLOOKUP($A14,OFFSET([1]characters!$A$1,0,0,COUNTA([1]characters!$A:$A),MATCH(Q$1,[1]characters!$1:$1,0)-MATCH($A$1,[1]characters!$1:$1,0)+1),MATCH(Q$1,[1]characters!$1:$1,0)-MATCH($A$1,[1]characters!$1:$1,0)+1,FALSE)</f>
        <v>heal</v>
      </c>
      <c r="R14" s="5" t="str">
        <f ca="1">VLOOKUP(Q14,[1]character_type_i18n!$A:$H,3,FALSE)</f>
        <v>回復タイプ</v>
      </c>
      <c r="S14" s="11">
        <f ca="1">VLOOKUP(Q14,[1]character_type_i18n!$A:$H,4,FALSE)</f>
        <v>0.8</v>
      </c>
      <c r="T14" s="11">
        <f ca="1">VLOOKUP(Q14,[1]character_type_i18n!$A:$H,5,FALSE)</f>
        <v>0.78</v>
      </c>
      <c r="U14" s="11">
        <f ca="1">VLOOKUP(Q14,[1]character_type_i18n!$A:$H,6,FALSE)</f>
        <v>1</v>
      </c>
      <c r="V14" s="11">
        <f ca="1">VLOOKUP(Q14,[1]character_type_i18n!$A:$H,7,FALSE)</f>
        <v>1.42</v>
      </c>
      <c r="W14" s="59" t="str">
        <f ca="1">VLOOKUP($A14,OFFSET([1]characters!$A$1,0,0,COUNTA([1]characters!$A:$A),MATCH(W$1,[1]characters!$1:$1,0)-MATCH($A$1,[1]characters!$1:$1,0)+1),MATCH(W$1,[1]characters!$1:$1,0)-MATCH($A$1,[1]characters!$1:$1,0)+1,FALSE)</f>
        <v>human</v>
      </c>
      <c r="X14" s="5" t="str">
        <f ca="1">VLOOKUP(W14,[1]character_tribe_i18n!$A:$H,3,FALSE)</f>
        <v>ヒューマン</v>
      </c>
      <c r="Y14" s="59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0.94</v>
      </c>
      <c r="AB14" s="11">
        <f ca="1">VLOOKUP(W14,[1]character_tribe_i18n!$A:$H,5,FALSE)</f>
        <v>0.99</v>
      </c>
      <c r="AC14" s="11">
        <f ca="1">VLOOKUP(W14,[1]character_tribe_i18n!$A:$H,6,FALSE)</f>
        <v>1</v>
      </c>
      <c r="AD14" s="11">
        <f ca="1">VLOOKUP(W14,[1]character_tribe_i18n!$A:$H,7,FALSE)</f>
        <v>1.07</v>
      </c>
      <c r="AE14" s="9" t="s">
        <v>189</v>
      </c>
      <c r="AF14" s="64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/>
      </c>
      <c r="AG14" s="5">
        <f t="shared" ca="1" si="15"/>
        <v>814</v>
      </c>
      <c r="AH14" s="64" t="str">
        <f ca="1">VLOOKUP($AG14,OFFSET([1]characters!$A$1,0,0,COUNTA([1]characters!$A:$A),MATCH(AH$1,[1]characters!$1:$1,0)-MATCH($A$1,[1]characters!$1:$1,0)+1),MATCH(AH$1,[1]characters!$1:$1,0)-MATCH($A$1,[1]characters!$1:$1,0)+1,FALSE)</f>
        <v>戦場疾駆の鋼蹄 ジャンヌ</v>
      </c>
      <c r="AI14" s="11" t="str">
        <f>IF(AE14="NULL","NULL",VLOOKUP(G14,ビット!$A$2:$B$7,2))</f>
        <v>NULL</v>
      </c>
      <c r="AJ14" s="6">
        <v>2</v>
      </c>
      <c r="AK14" s="7" t="str">
        <f t="shared" ref="AK14:AK23" si="16">IF(AJ14=1,"早熟",IF(AJ14=2,"普通",IF(AJ14=3,"晩成","")))</f>
        <v>普通</v>
      </c>
      <c r="AL14" s="11" t="str">
        <f ca="1">INDEX(経験値!$A$1:$I$20,MATCH(H14,経験値!$A$1:$A$20,FALSE),MATCH(G14,経験値!$A$1:$I$1,FALSE))</f>
        <v>required_exp_250</v>
      </c>
      <c r="AM14" s="8">
        <f ca="1">VLOOKUP(G14,経験値!$A$27:$B$31,2)</f>
        <v>6400</v>
      </c>
      <c r="AN14" s="17">
        <f ca="1">VLOOKUP(G14,ビット!$G$2:$H$7,2)</f>
        <v>900</v>
      </c>
      <c r="AO14" s="46"/>
      <c r="AP14" s="69">
        <f t="shared" ref="AP14:AP23" si="17">A14</f>
        <v>814</v>
      </c>
      <c r="AQ14" s="59" t="str">
        <f ca="1">VLOOKUP($AP14,OFFSET(unit_skills!$A$1,0,0,COUNTA(unit_skills!$A:$A),MATCH(AQ$1,unit_skills!$1:$1,0)-MATCH($AP$1,unit_skills!$1:$1,0)+1),MATCH(AQ$1,unit_skills!$1:$1,0)-MATCH($AP$1,unit_skills!$1:$1,0)+1,FALSE)</f>
        <v>戦場疾駆の鋼蹄 ジャンヌの技</v>
      </c>
      <c r="AR14" s="59" t="str">
        <f ca="1">VLOOKUP($AP14,OFFSET(unit_skills!$A$1,0,0,COUNTA(unit_skills!$A:$A),MATCH(AR$1,unit_skills!$1:$1,0)-MATCH($AP$1,unit_skills!$1:$1,0)+1),MATCH(AR$1,unit_skills!$1:$1,0)-MATCH($AP$1,unit_skills!$1:$1,0)+1,FALSE)</f>
        <v>HP25%消費し、2ターンタップ回数を2増やす+4ターンCパネル生成短縮(効果特大)+回復力特大UP</v>
      </c>
      <c r="AS14" s="59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2">
        <f t="shared" ref="AT14:AT23" si="18">A14</f>
        <v>814</v>
      </c>
      <c r="AU14" s="59" t="str">
        <f ca="1">VLOOKUP($AT14,OFFSET(crash_skills!$A$1,0,0,COUNTA(crash_skills!$A:$A),MATCH(AU$1,crash_skills!$1:$1,0)-MATCH($AT$1,crash_skills!$1:$1,0)+1),MATCH(AU$1,crash_skills!$1:$1,0)-MATCH($AT$1,crash_skills!$1:$1,0)+1,FALSE)</f>
        <v>戦場疾駆の鋼蹄 ジャンヌの技</v>
      </c>
      <c r="AV14" s="59" t="str">
        <f ca="1">VLOOKUP($AT14,OFFSET(crash_skills!$A$1,0,0,COUNTA(crash_skills!$A:$A),MATCH(AV$1,crash_skills!$1:$1,0)-MATCH($AT$1,crash_skills!$1:$1,0)+1),MATCH(AV$1,crash_skills!$1:$1,0)-MATCH($AT$1,crash_skills!$1:$1,0)+1,FALSE)</f>
        <v>1体に大ダメージ+_x000D_HPを大回復</v>
      </c>
      <c r="AW14" s="59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60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70">
        <v>1.08</v>
      </c>
      <c r="AZ14" s="70">
        <v>1.03</v>
      </c>
      <c r="BA14" s="70">
        <v>0</v>
      </c>
      <c r="BB14" s="70">
        <v>1.1000000000000001</v>
      </c>
      <c r="BC14" s="11">
        <f ca="1">INDEX('RC6SV'!$A$1:$G$20,MATCH(H14,'RC6SV'!$A$1:$A$20,FALSE),MATCH(G14,'RC6SV'!$A$1:$G$1,FALSE))</f>
        <v>12000</v>
      </c>
      <c r="BD14" s="49">
        <f t="shared" ref="BD14:BD23" ca="1" si="19">ROUND(BC14*IF(AJ14=1,0.95,IF(AJ14=2,1,IF(AJ14,1.05,0))),0)</f>
        <v>12000</v>
      </c>
      <c r="BE14" s="11">
        <f t="shared" ca="1" si="5"/>
        <v>0</v>
      </c>
      <c r="BF14" s="11">
        <f t="shared" ca="1" si="6"/>
        <v>1</v>
      </c>
      <c r="BG14" s="16">
        <f ca="1">IF($BE14&lt;=0,ROUND(BK14*0.5,0), ROUND($BE14*S14*AA14*J14*AY14*0.8*[1]ステータス!$B$2,0))</f>
        <v>2437</v>
      </c>
      <c r="BH14" s="16">
        <f ca="1">IF($BE14&lt;=0,ROUND(BL14*0.5,0), ROUND($BE14*T14*AB14*K14*AZ14*0.8*[1]ステータス!$C$2,0))</f>
        <v>1403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2557</v>
      </c>
      <c r="BK14" s="11">
        <f ca="1">ROUND(BD14*S14*AA14*J14*AY14*[1]ステータス!$B$2,0)</f>
        <v>4873</v>
      </c>
      <c r="BL14" s="11">
        <f ca="1">ROUND(BD14*T14*AB14*K14*AZ14*[1]ステータス!$C$2,0)</f>
        <v>2806</v>
      </c>
      <c r="BM14" s="11">
        <f ca="1">ROUND(BD14*U14*AC14*L14*BA14*[1]ステータス!$D$2,0)</f>
        <v>0</v>
      </c>
      <c r="BN14" s="11">
        <f ca="1">ROUND(BD14*V14*AD14*M14*BB14*[1]ステータス!$E$2,0)</f>
        <v>5114</v>
      </c>
      <c r="BO14" s="10">
        <v>0</v>
      </c>
      <c r="BP14" s="10">
        <v>1</v>
      </c>
      <c r="BQ14" s="39" t="s">
        <v>53</v>
      </c>
    </row>
    <row r="15" spans="1:69" ht="21" customHeight="1" x14ac:dyDescent="0.15">
      <c r="A15" s="12">
        <v>815</v>
      </c>
      <c r="B15" s="59" t="str">
        <f ca="1">VLOOKUP($A15,OFFSET([1]characters!$A$1,0,0,COUNTA([1]characters!$A:$A),MATCH(B$1,[1]characters!$1:$1,0)-MATCH($A$1,[1]characters!$1:$1,0)+1),MATCH(B$1,[1]characters!$1:$1,0)-MATCH($A$1,[1]characters!$1:$1,0)+1,FALSE)</f>
        <v>解砲の鴉眼 八咫烏</v>
      </c>
      <c r="C15" s="59" t="str">
        <f ca="1">VLOOKUP($A15,OFFSET([1]characters!$A$1,0,0,COUNTA([1]characters!$A:$A),MATCH(C$1,[1]characters!$1:$1,0)-MATCH($A$1,[1]characters!$1:$1,0)+1),MATCH(C$1,[1]characters!$1:$1,0)-MATCH($A$1,[1]characters!$1:$1,0)+1,FALSE)</f>
        <v>各属性相性良3・黄・R433</v>
      </c>
      <c r="D15" s="59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9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9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9">
        <f ca="1">VLOOKUP($A15,OFFSET([1]characters!$A$1,0,0,COUNTA([1]characters!$A:$A),MATCH(G$1,[1]characters!$1:$1,0)-MATCH($A$1,[1]characters!$1:$1,0)+1),MATCH(G$1,[1]characters!$1:$1,0)-MATCH($A$1,[1]characters!$1:$1,0)+1,FALSE)</f>
        <v>6</v>
      </c>
      <c r="H15" s="59" t="str">
        <f ca="1">VLOOKUP($A15,OFFSET([1]characters!$A$1,0,0,COUNTA([1]characters!$A:$A),MATCH(H$1,[1]characters!$1:$1,0)-MATCH($A$1,[1]characters!$1:$1,0)+1),MATCH(H$1,[1]characters!$1:$1,0)-MATCH($A$1,[1]characters!$1:$1,0)+1,FALSE)</f>
        <v>PremiumSS</v>
      </c>
      <c r="I15" s="59" t="str">
        <f ca="1">VLOOKUP($A15,OFFSET([1]characters!$A$1,0,0,COUNTA([1]characters!$A:$A),MATCH(I$1,[1]characters!$1:$1,0)-MATCH($A$1,[1]characters!$1:$1,0)+1),MATCH(I$1,[1]characters!$1:$1,0)-MATCH($A$1,[1]characters!$1:$1,0)+1,FALSE)</f>
        <v>green</v>
      </c>
      <c r="J15" s="11">
        <f ca="1">VLOOKUP(I15,[1]属性!$A:$E,2,FALSE)</f>
        <v>1.02</v>
      </c>
      <c r="K15" s="11">
        <f ca="1">VLOOKUP(I15,[1]属性!$A:$E,3,FALSE)</f>
        <v>0.98</v>
      </c>
      <c r="L15" s="11">
        <f ca="1">VLOOKUP(I15,[1]属性!$A:$E,4,FALSE)</f>
        <v>1</v>
      </c>
      <c r="M15" s="11">
        <f ca="1">VLOOKUP(I15,[1]属性!$A:$E,5,FALSE)</f>
        <v>1</v>
      </c>
      <c r="N15" s="11">
        <f ca="1">INDEX(コスト!$A$1:$I$20,MATCH(H15,コスト!$A$1:$A$20,FALSE),MATCH(G15,コスト!$A$1:$I$1,FALSE))</f>
        <v>50</v>
      </c>
      <c r="O15" s="11">
        <f ca="1">INDEX(レベル!$A$1:$I$21,MATCH(H15,レベル!$A$1:$A$21,FALSE),MATCH(G15,レベル!$A$1:$I$1,FALSE))</f>
        <v>99</v>
      </c>
      <c r="P15" s="49">
        <f t="shared" ca="1" si="0"/>
        <v>99</v>
      </c>
      <c r="Q15" s="59" t="str">
        <f ca="1">VLOOKUP($A15,OFFSET([1]characters!$A$1,0,0,COUNTA([1]characters!$A:$A),MATCH(Q$1,[1]characters!$1:$1,0)-MATCH($A$1,[1]characters!$1:$1,0)+1),MATCH(Q$1,[1]characters!$1:$1,0)-MATCH($A$1,[1]characters!$1:$1,0)+1,FALSE)</f>
        <v>balance</v>
      </c>
      <c r="R15" s="5" t="str">
        <f ca="1">VLOOKUP(Q15,[1]character_type_i18n!$A:$H,3,FALSE)</f>
        <v>バランスタイプ</v>
      </c>
      <c r="S15" s="11">
        <f ca="1">VLOOKUP(Q15,[1]character_type_i18n!$A:$H,4,FALSE)</f>
        <v>1</v>
      </c>
      <c r="T15" s="11">
        <f ca="1">VLOOKUP(Q15,[1]character_type_i18n!$A:$H,5,FALSE)</f>
        <v>1</v>
      </c>
      <c r="U15" s="11">
        <f ca="1">VLOOKUP(Q15,[1]character_type_i18n!$A:$H,6,FALSE)</f>
        <v>1</v>
      </c>
      <c r="V15" s="11">
        <f ca="1">VLOOKUP(Q15,[1]character_type_i18n!$A:$H,7,FALSE)</f>
        <v>1</v>
      </c>
      <c r="W15" s="59" t="str">
        <f ca="1">VLOOKUP($A15,OFFSET([1]characters!$A$1,0,0,COUNTA([1]characters!$A:$A),MATCH(W$1,[1]characters!$1:$1,0)-MATCH($A$1,[1]characters!$1:$1,0)+1),MATCH(W$1,[1]characters!$1:$1,0)-MATCH($A$1,[1]characters!$1:$1,0)+1,FALSE)</f>
        <v>animal</v>
      </c>
      <c r="X15" s="5" t="str">
        <f ca="1">VLOOKUP(W15,[1]character_tribe_i18n!$A:$H,3,FALSE)</f>
        <v>アニマル</v>
      </c>
      <c r="Y15" s="59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1</v>
      </c>
      <c r="AB15" s="11">
        <f ca="1">VLOOKUP(W15,[1]character_tribe_i18n!$A:$H,5,FALSE)</f>
        <v>1.1000000000000001</v>
      </c>
      <c r="AC15" s="11">
        <f ca="1">VLOOKUP(W15,[1]character_tribe_i18n!$A:$H,6,FALSE)</f>
        <v>1</v>
      </c>
      <c r="AD15" s="11">
        <f ca="1">VLOOKUP(W15,[1]character_tribe_i18n!$A:$H,7,FALSE)</f>
        <v>0.9</v>
      </c>
      <c r="AE15" s="9" t="s">
        <v>189</v>
      </c>
      <c r="AF15" s="64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15"/>
        <v>815</v>
      </c>
      <c r="AH15" s="64" t="str">
        <f ca="1">VLOOKUP($AG15,OFFSET([1]characters!$A$1,0,0,COUNTA([1]characters!$A:$A),MATCH(AH$1,[1]characters!$1:$1,0)-MATCH($A$1,[1]characters!$1:$1,0)+1),MATCH(AH$1,[1]characters!$1:$1,0)-MATCH($A$1,[1]characters!$1:$1,0)+1,FALSE)</f>
        <v>解砲の鴉眼 八咫烏</v>
      </c>
      <c r="AI15" s="11" t="str">
        <f>IF(AE15="NULL","NULL",VLOOKUP(G15,ビット!$A$2:$B$7,2))</f>
        <v>NULL</v>
      </c>
      <c r="AJ15" s="6">
        <v>2</v>
      </c>
      <c r="AK15" s="7" t="str">
        <f t="shared" si="16"/>
        <v>普通</v>
      </c>
      <c r="AL15" s="11" t="str">
        <f ca="1">INDEX(経験値!$A$1:$I$20,MATCH(H15,経験値!$A$1:$A$20,FALSE),MATCH(G15,経験値!$A$1:$I$1,FALSE))</f>
        <v>required_exp_250</v>
      </c>
      <c r="AM15" s="8">
        <f ca="1">VLOOKUP(G15,経験値!$A$27:$B$31,2)</f>
        <v>6400</v>
      </c>
      <c r="AN15" s="17">
        <f ca="1">VLOOKUP(G15,ビット!$G$2:$H$7,2)</f>
        <v>900</v>
      </c>
      <c r="AO15" s="46"/>
      <c r="AP15" s="69">
        <f t="shared" si="17"/>
        <v>815</v>
      </c>
      <c r="AQ15" s="59" t="str">
        <f ca="1">VLOOKUP($AP15,OFFSET(unit_skills!$A$1,0,0,COUNTA(unit_skills!$A:$A),MATCH(AQ$1,unit_skills!$1:$1,0)-MATCH($AP$1,unit_skills!$1:$1,0)+1),MATCH(AQ$1,unit_skills!$1:$1,0)-MATCH($AP$1,unit_skills!$1:$1,0)+1,FALSE)</f>
        <v>解砲の鴉眼 八咫烏の技</v>
      </c>
      <c r="AR15" s="59" t="str">
        <f ca="1">VLOOKUP($AP15,OFFSET(unit_skills!$A$1,0,0,COUNTA(unit_skills!$A:$A),MATCH(AR$1,unit_skills!$1:$1,0)-MATCH($AP$1,unit_skills!$1:$1,0)+1),MATCH(AR$1,unit_skills!$1:$1,0)-MATCH($AP$1,unit_skills!$1:$1,0)+1,FALSE)</f>
        <v>カウンター状態を解除+1体に超大ダメージ(カウンター状態の敵に効果激烈)+2ターン全ユニットCパネル生成短縮(効果超大)</v>
      </c>
      <c r="AS15" s="59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2">
        <f t="shared" si="18"/>
        <v>815</v>
      </c>
      <c r="AU15" s="59" t="str">
        <f ca="1">VLOOKUP($AT15,OFFSET(crash_skills!$A$1,0,0,COUNTA(crash_skills!$A:$A),MATCH(AU$1,crash_skills!$1:$1,0)-MATCH($AT$1,crash_skills!$1:$1,0)+1),MATCH(AU$1,crash_skills!$1:$1,0)-MATCH($AT$1,crash_skills!$1:$1,0)+1,FALSE)</f>
        <v>解砲の鴉眼 八咫烏の技</v>
      </c>
      <c r="AV15" s="59" t="str">
        <f ca="1">VLOOKUP($AT15,OFFSET(crash_skills!$A$1,0,0,COUNTA(crash_skills!$A:$A),MATCH(AV$1,crash_skills!$1:$1,0)-MATCH($AT$1,crash_skills!$1:$1,0)+1),MATCH(AV$1,crash_skills!$1:$1,0)-MATCH($AT$1,crash_skills!$1:$1,0)+1,FALSE)</f>
        <v>2回単体に大ダメージ</v>
      </c>
      <c r="AW15" s="59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60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70">
        <v>1.08</v>
      </c>
      <c r="AZ15" s="70">
        <v>1.03</v>
      </c>
      <c r="BA15" s="70">
        <v>0</v>
      </c>
      <c r="BB15" s="70">
        <v>1.054</v>
      </c>
      <c r="BC15" s="11">
        <f ca="1">INDEX('RC6SV'!$A$1:$G$20,MATCH(H15,'RC6SV'!$A$1:$A$20,FALSE),MATCH(G15,'RC6SV'!$A$1:$G$1,FALSE))</f>
        <v>13000</v>
      </c>
      <c r="BD15" s="49">
        <f t="shared" ca="1" si="19"/>
        <v>13000</v>
      </c>
      <c r="BE15" s="11">
        <f t="shared" ca="1" si="5"/>
        <v>0</v>
      </c>
      <c r="BF15" s="11">
        <f t="shared" ca="1" si="6"/>
        <v>1</v>
      </c>
      <c r="BG15" s="16">
        <f ca="1">IF($BE15&lt;=0,ROUND(BK15*0.5,0), ROUND($BE15*S15*AA15*J15*AY15*0.8*[1]ステータス!$B$2,0))</f>
        <v>3580</v>
      </c>
      <c r="BH15" s="16">
        <f ca="1">IF($BE15&lt;=0,ROUND(BL15*0.5,0), ROUND($BE15*T15*AB15*K15*AZ15*0.8*[1]ステータス!$C$2,0))</f>
        <v>2165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1542</v>
      </c>
      <c r="BK15" s="11">
        <f ca="1">ROUND(BD15*S15*AA15*J15*AY15*[1]ステータス!$B$2,0)</f>
        <v>7160</v>
      </c>
      <c r="BL15" s="11">
        <f ca="1">ROUND(BD15*T15*AB15*K15*AZ15*[1]ステータス!$C$2,0)</f>
        <v>4330</v>
      </c>
      <c r="BM15" s="11">
        <f ca="1">ROUND(BD15*U15*AC15*L15*BA15*[1]ステータス!$D$2,0)</f>
        <v>0</v>
      </c>
      <c r="BN15" s="11">
        <f ca="1">ROUND(BD15*V15*AD15*M15*BB15*[1]ステータス!$E$2,0)</f>
        <v>3083</v>
      </c>
      <c r="BO15" s="10">
        <v>0</v>
      </c>
      <c r="BP15" s="10">
        <v>1</v>
      </c>
      <c r="BQ15" s="39" t="s">
        <v>53</v>
      </c>
    </row>
    <row r="16" spans="1:69" ht="21" customHeight="1" x14ac:dyDescent="0.15">
      <c r="A16" s="12">
        <v>816</v>
      </c>
      <c r="B16" s="59" t="str">
        <f ca="1">VLOOKUP($A16,OFFSET([1]characters!$A$1,0,0,COUNTA([1]characters!$A:$A),MATCH(B$1,[1]characters!$1:$1,0)-MATCH($A$1,[1]characters!$1:$1,0)+1),MATCH(B$1,[1]characters!$1:$1,0)-MATCH($A$1,[1]characters!$1:$1,0)+1,FALSE)</f>
        <v>極・二天一流 宮本武蔵</v>
      </c>
      <c r="C16" s="59" t="str">
        <f ca="1">VLOOKUP($A16,OFFSET([1]characters!$A$1,0,0,COUNTA([1]characters!$A:$A),MATCH(C$1,[1]characters!$1:$1,0)-MATCH($A$1,[1]characters!$1:$1,0)+1),MATCH(C$1,[1]characters!$1:$1,0)-MATCH($A$1,[1]characters!$1:$1,0)+1,FALSE)</f>
        <v>各属性相性良3・黄・R434</v>
      </c>
      <c r="D16" s="59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9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9" t="str">
        <f ca="1">VLOOKUP($A16,OFFSET([1]characters!$A$1,0,0,COUNTA([1]characters!$A:$A),MATCH(F$1,[1]characters!$1:$1,0)-MATCH($A$1,[1]characters!$1:$1,0)+1),MATCH(F$1,[1]characters!$1:$1,0)-MATCH($A$1,[1]characters!$1:$1,0)+1,FALSE)</f>
        <v>男性</v>
      </c>
      <c r="G16" s="59">
        <f ca="1">VLOOKUP($A16,OFFSET([1]characters!$A$1,0,0,COUNTA([1]characters!$A:$A),MATCH(G$1,[1]characters!$1:$1,0)-MATCH($A$1,[1]characters!$1:$1,0)+1),MATCH(G$1,[1]characters!$1:$1,0)-MATCH($A$1,[1]characters!$1:$1,0)+1,FALSE)</f>
        <v>6</v>
      </c>
      <c r="H16" s="59" t="str">
        <f ca="1">VLOOKUP($A16,OFFSET([1]characters!$A$1,0,0,COUNTA([1]characters!$A:$A),MATCH(H$1,[1]characters!$1:$1,0)-MATCH($A$1,[1]characters!$1:$1,0)+1),MATCH(H$1,[1]characters!$1:$1,0)-MATCH($A$1,[1]characters!$1:$1,0)+1,FALSE)</f>
        <v>DropWizS</v>
      </c>
      <c r="I16" s="59" t="str">
        <f ca="1">VLOOKUP($A16,OFFSET([1]characters!$A$1,0,0,COUNTA([1]characters!$A:$A),MATCH(I$1,[1]characters!$1:$1,0)-MATCH($A$1,[1]characters!$1:$1,0)+1),MATCH(I$1,[1]characters!$1:$1,0)-MATCH($A$1,[1]characters!$1:$1,0)+1,FALSE)</f>
        <v>yellow</v>
      </c>
      <c r="J16" s="11">
        <f ca="1">VLOOKUP(I16,[1]属性!$A:$E,2,FALSE)</f>
        <v>0.98</v>
      </c>
      <c r="K16" s="11">
        <f ca="1">VLOOKUP(I16,[1]属性!$A:$E,3,FALSE)</f>
        <v>1.01</v>
      </c>
      <c r="L16" s="11">
        <f ca="1">VLOOKUP(I16,[1]属性!$A:$E,4,FALSE)</f>
        <v>1</v>
      </c>
      <c r="M16" s="11">
        <f ca="1">VLOOKUP(I16,[1]属性!$A:$E,5,FALSE)</f>
        <v>1.01</v>
      </c>
      <c r="N16" s="11">
        <f ca="1">INDEX(コスト!$A$1:$I$20,MATCH(H16,コスト!$A$1:$A$20,FALSE),MATCH(G16,コスト!$A$1:$I$1,FALSE))</f>
        <v>45</v>
      </c>
      <c r="O16" s="11">
        <f ca="1">INDEX(レベル!$A$1:$I$21,MATCH(H16,レベル!$A$1:$A$21,FALSE),MATCH(G16,レベル!$A$1:$I$1,FALSE))</f>
        <v>99</v>
      </c>
      <c r="P16" s="49">
        <f t="shared" ca="1" si="0"/>
        <v>99</v>
      </c>
      <c r="Q16" s="59" t="str">
        <f ca="1">VLOOKUP($A16,OFFSET([1]characters!$A$1,0,0,COUNTA([1]characters!$A:$A),MATCH(Q$1,[1]characters!$1:$1,0)-MATCH($A$1,[1]characters!$1:$1,0)+1),MATCH(Q$1,[1]characters!$1:$1,0)-MATCH($A$1,[1]characters!$1:$1,0)+1,FALSE)</f>
        <v>attack</v>
      </c>
      <c r="R16" s="5" t="str">
        <f ca="1">VLOOKUP(Q16,[1]character_type_i18n!$A:$H,3,FALSE)</f>
        <v>攻撃タイプ</v>
      </c>
      <c r="S16" s="11">
        <f ca="1">VLOOKUP(Q16,[1]character_type_i18n!$A:$H,4,FALSE)</f>
        <v>1</v>
      </c>
      <c r="T16" s="11">
        <f ca="1">VLOOKUP(Q16,[1]character_type_i18n!$A:$H,5,FALSE)</f>
        <v>1.33</v>
      </c>
      <c r="U16" s="11">
        <f ca="1">VLOOKUP(Q16,[1]character_type_i18n!$A:$H,6,FALSE)</f>
        <v>1</v>
      </c>
      <c r="V16" s="11">
        <f ca="1">VLOOKUP(Q16,[1]character_type_i18n!$A:$H,7,FALSE)</f>
        <v>0.67</v>
      </c>
      <c r="W16" s="59" t="str">
        <f ca="1">VLOOKUP($A16,OFFSET([1]characters!$A$1,0,0,COUNTA([1]characters!$A:$A),MATCH(W$1,[1]characters!$1:$1,0)-MATCH($A$1,[1]characters!$1:$1,0)+1),MATCH(W$1,[1]characters!$1:$1,0)-MATCH($A$1,[1]characters!$1:$1,0)+1,FALSE)</f>
        <v>human</v>
      </c>
      <c r="X16" s="5" t="str">
        <f ca="1">VLOOKUP(W16,[1]character_tribe_i18n!$A:$H,3,FALSE)</f>
        <v>ヒューマン</v>
      </c>
      <c r="Y16" s="59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 ca="1">VLOOKUP(W16,[1]character_tribe_i18n!$A:$H,4,FALSE)</f>
        <v>0.94</v>
      </c>
      <c r="AB16" s="11">
        <f ca="1">VLOOKUP(W16,[1]character_tribe_i18n!$A:$H,5,FALSE)</f>
        <v>0.99</v>
      </c>
      <c r="AC16" s="11">
        <f ca="1">VLOOKUP(W16,[1]character_tribe_i18n!$A:$H,6,FALSE)</f>
        <v>1</v>
      </c>
      <c r="AD16" s="11">
        <f ca="1">VLOOKUP(W16,[1]character_tribe_i18n!$A:$H,7,FALSE)</f>
        <v>1.07</v>
      </c>
      <c r="AE16" s="9" t="s">
        <v>189</v>
      </c>
      <c r="AF16" s="64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/>
      </c>
      <c r="AG16" s="5">
        <f t="shared" ca="1" si="15"/>
        <v>816</v>
      </c>
      <c r="AH16" s="64" t="str">
        <f ca="1">VLOOKUP($AG16,OFFSET([1]characters!$A$1,0,0,COUNTA([1]characters!$A:$A),MATCH(AH$1,[1]characters!$1:$1,0)-MATCH($A$1,[1]characters!$1:$1,0)+1),MATCH(AH$1,[1]characters!$1:$1,0)-MATCH($A$1,[1]characters!$1:$1,0)+1,FALSE)</f>
        <v>極・二天一流 宮本武蔵</v>
      </c>
      <c r="AI16" s="11" t="str">
        <f>IF(AE16="NULL","NULL",VLOOKUP(G16,ビット!$A$2:$B$7,2))</f>
        <v>NULL</v>
      </c>
      <c r="AJ16" s="6">
        <v>2</v>
      </c>
      <c r="AK16" s="7" t="str">
        <f t="shared" si="16"/>
        <v>普通</v>
      </c>
      <c r="AL16" s="11" t="str">
        <f ca="1">INDEX(経験値!$A$1:$I$20,MATCH(H16,経験値!$A$1:$A$20,FALSE),MATCH(G16,経験値!$A$1:$I$1,FALSE))</f>
        <v>required_exp_250</v>
      </c>
      <c r="AM16" s="8">
        <f ca="1">VLOOKUP(G16,経験値!$A$27:$B$31,2)</f>
        <v>6400</v>
      </c>
      <c r="AN16" s="17">
        <f ca="1">VLOOKUP(G16,ビット!$G$2:$H$7,2)</f>
        <v>900</v>
      </c>
      <c r="AO16" s="46"/>
      <c r="AP16" s="69">
        <f t="shared" si="17"/>
        <v>816</v>
      </c>
      <c r="AQ16" s="59" t="str">
        <f ca="1">VLOOKUP($AP16,OFFSET(unit_skills!$A$1,0,0,COUNTA(unit_skills!$A:$A),MATCH(AQ$1,unit_skills!$1:$1,0)-MATCH($AP$1,unit_skills!$1:$1,0)+1),MATCH(AQ$1,unit_skills!$1:$1,0)-MATCH($AP$1,unit_skills!$1:$1,0)+1,FALSE)</f>
        <v>極・二天一流 宮本武蔵の技</v>
      </c>
      <c r="AR16" s="59" t="str">
        <f ca="1">VLOOKUP($AP16,OFFSET(unit_skills!$A$1,0,0,COUNTA(unit_skills!$A:$A),MATCH(AR$1,unit_skills!$1:$1,0)-MATCH($AP$1,unit_skills!$1:$1,0)+1),MATCH(AR$1,unit_skills!$1:$1,0)-MATCH($AP$1,unit_skills!$1:$1,0)+1,FALSE)</f>
        <v>3ターン自身の攻撃力を大UP+ランダムで3つクラッシュパネル(大)に変換する</v>
      </c>
      <c r="AS16" s="59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42">
        <f t="shared" si="18"/>
        <v>816</v>
      </c>
      <c r="AU16" s="59" t="str">
        <f ca="1">VLOOKUP($AT16,OFFSET(crash_skills!$A$1,0,0,COUNTA(crash_skills!$A:$A),MATCH(AU$1,crash_skills!$1:$1,0)-MATCH($AT$1,crash_skills!$1:$1,0)+1),MATCH(AU$1,crash_skills!$1:$1,0)-MATCH($AT$1,crash_skills!$1:$1,0)+1,FALSE)</f>
        <v>極・二天一流 宮本武蔵の技</v>
      </c>
      <c r="AV16" s="59" t="str">
        <f ca="1">VLOOKUP($AT16,OFFSET(crash_skills!$A$1,0,0,COUNTA(crash_skills!$A:$A),MATCH(AV$1,crash_skills!$1:$1,0)-MATCH($AT$1,crash_skills!$1:$1,0)+1),MATCH(AV$1,crash_skills!$1:$1,0)-MATCH($AT$1,crash_skills!$1:$1,0)+1,FALSE)</f>
        <v>ヒューマンに効果大の単体大ダメージ_x000D_+ドラゴンに効果大の単体大ダメージ</v>
      </c>
      <c r="AW16" s="59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60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70">
        <v>1.08</v>
      </c>
      <c r="AZ16" s="70">
        <v>1.03</v>
      </c>
      <c r="BA16" s="70">
        <v>0</v>
      </c>
      <c r="BB16" s="70">
        <v>0.93799999999999994</v>
      </c>
      <c r="BC16" s="11">
        <f ca="1">INDEX('RC6SV'!$A$1:$G$20,MATCH(H16,'RC6SV'!$A$1:$A$20,FALSE),MATCH(G16,'RC6SV'!$A$1:$G$1,FALSE))</f>
        <v>12000</v>
      </c>
      <c r="BD16" s="49">
        <f t="shared" ca="1" si="19"/>
        <v>12000</v>
      </c>
      <c r="BE16" s="11">
        <f t="shared" ca="1" si="5"/>
        <v>0</v>
      </c>
      <c r="BF16" s="11">
        <f t="shared" ca="1" si="6"/>
        <v>1</v>
      </c>
      <c r="BG16" s="16">
        <f ca="1">IF($BE16&lt;=0,ROUND(BK16*0.5,0), ROUND($BE16*S16*AA16*J16*AY16*0.8*[1]ステータス!$B$2,0))</f>
        <v>2985</v>
      </c>
      <c r="BH16" s="16">
        <f ca="1">IF($BE16&lt;=0,ROUND(BL16*0.5,0), ROUND($BE16*T16*AB16*K16*AZ16*0.8*[1]ステータス!$C$2,0))</f>
        <v>2466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1019</v>
      </c>
      <c r="BK16" s="11">
        <f ca="1">ROUND(BD16*S16*AA16*J16*AY16*[1]ステータス!$B$2,0)</f>
        <v>5969</v>
      </c>
      <c r="BL16" s="11">
        <f ca="1">ROUND(BD16*T16*AB16*K16*AZ16*[1]ステータス!$C$2,0)</f>
        <v>4931</v>
      </c>
      <c r="BM16" s="11">
        <f ca="1">ROUND(BD16*U16*AC16*L16*BA16*[1]ステータス!$D$2,0)</f>
        <v>0</v>
      </c>
      <c r="BN16" s="11">
        <f ca="1">ROUND(BD16*V16*AD16*M16*BB16*[1]ステータス!$E$2,0)</f>
        <v>2038</v>
      </c>
      <c r="BO16" s="10">
        <v>0</v>
      </c>
      <c r="BP16" s="10">
        <v>1</v>
      </c>
      <c r="BQ16" s="39" t="s">
        <v>53</v>
      </c>
    </row>
    <row r="17" spans="1:69" ht="21" customHeight="1" x14ac:dyDescent="0.15">
      <c r="A17" s="12">
        <v>817</v>
      </c>
      <c r="B17" s="59" t="str">
        <f ca="1">VLOOKUP($A17,OFFSET([1]characters!$A$1,0,0,COUNTA([1]characters!$A:$A),MATCH(B$1,[1]characters!$1:$1,0)-MATCH($A$1,[1]characters!$1:$1,0)+1),MATCH(B$1,[1]characters!$1:$1,0)-MATCH($A$1,[1]characters!$1:$1,0)+1,FALSE)</f>
        <v>決戦の抗弾 D.R.T.H.</v>
      </c>
      <c r="C17" s="59" t="str">
        <f ca="1">VLOOKUP($A17,OFFSET([1]characters!$A$1,0,0,COUNTA([1]characters!$A:$A),MATCH(C$1,[1]characters!$1:$1,0)-MATCH($A$1,[1]characters!$1:$1,0)+1),MATCH(C$1,[1]characters!$1:$1,0)-MATCH($A$1,[1]characters!$1:$1,0)+1,FALSE)</f>
        <v>各属性相性良3・黄・R435</v>
      </c>
      <c r="D17" s="59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9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9" t="str">
        <f ca="1">VLOOKUP($A17,OFFSET([1]characters!$A$1,0,0,COUNTA([1]characters!$A:$A),MATCH(F$1,[1]characters!$1:$1,0)-MATCH($A$1,[1]characters!$1:$1,0)+1),MATCH(F$1,[1]characters!$1:$1,0)-MATCH($A$1,[1]characters!$1:$1,0)+1,FALSE)</f>
        <v>男性</v>
      </c>
      <c r="G17" s="59">
        <f ca="1">VLOOKUP($A17,OFFSET([1]characters!$A$1,0,0,COUNTA([1]characters!$A:$A),MATCH(G$1,[1]characters!$1:$1,0)-MATCH($A$1,[1]characters!$1:$1,0)+1),MATCH(G$1,[1]characters!$1:$1,0)-MATCH($A$1,[1]characters!$1:$1,0)+1,FALSE)</f>
        <v>6</v>
      </c>
      <c r="H17" s="59" t="str">
        <f ca="1">VLOOKUP($A17,OFFSET([1]characters!$A$1,0,0,COUNTA([1]characters!$A:$A),MATCH(H$1,[1]characters!$1:$1,0)-MATCH($A$1,[1]characters!$1:$1,0)+1),MATCH(H$1,[1]characters!$1:$1,0)-MATCH($A$1,[1]characters!$1:$1,0)+1,FALSE)</f>
        <v>PremiumSS</v>
      </c>
      <c r="I17" s="59" t="str">
        <f ca="1">VLOOKUP($A17,OFFSET([1]characters!$A$1,0,0,COUNTA([1]characters!$A:$A),MATCH(I$1,[1]characters!$1:$1,0)-MATCH($A$1,[1]characters!$1:$1,0)+1),MATCH(I$1,[1]characters!$1:$1,0)-MATCH($A$1,[1]characters!$1:$1,0)+1,FALSE)</f>
        <v>red</v>
      </c>
      <c r="J17" s="11">
        <f ca="1">VLOOKUP(I17,[1]属性!$A:$E,2,FALSE)</f>
        <v>1</v>
      </c>
      <c r="K17" s="11">
        <f ca="1">VLOOKUP(I17,[1]属性!$A:$E,3,FALSE)</f>
        <v>1.02</v>
      </c>
      <c r="L17" s="11">
        <f ca="1">VLOOKUP(I17,[1]属性!$A:$E,4,FALSE)</f>
        <v>1</v>
      </c>
      <c r="M17" s="11">
        <f ca="1">VLOOKUP(I17,[1]属性!$A:$E,5,FALSE)</f>
        <v>0.98</v>
      </c>
      <c r="N17" s="11">
        <f ca="1">INDEX(コスト!$A$1:$I$20,MATCH(H17,コスト!$A$1:$A$20,FALSE),MATCH(G17,コスト!$A$1:$I$1,FALSE))</f>
        <v>50</v>
      </c>
      <c r="O17" s="11">
        <f ca="1">INDEX(レベル!$A$1:$I$21,MATCH(H17,レベル!$A$1:$A$21,FALSE),MATCH(G17,レベル!$A$1:$I$1,FALSE))</f>
        <v>99</v>
      </c>
      <c r="P17" s="49">
        <f t="shared" ca="1" si="0"/>
        <v>99</v>
      </c>
      <c r="Q17" s="59" t="str">
        <f ca="1">VLOOKUP($A17,OFFSET([1]characters!$A$1,0,0,COUNTA([1]characters!$A:$A),MATCH(Q$1,[1]characters!$1:$1,0)-MATCH($A$1,[1]characters!$1:$1,0)+1),MATCH(Q$1,[1]characters!$1:$1,0)-MATCH($A$1,[1]characters!$1:$1,0)+1,FALSE)</f>
        <v>balance</v>
      </c>
      <c r="R17" s="5" t="str">
        <f ca="1">VLOOKUP(Q17,[1]character_type_i18n!$A:$H,3,FALSE)</f>
        <v>バランスタイプ</v>
      </c>
      <c r="S17" s="11">
        <f ca="1">VLOOKUP(Q17,[1]character_type_i18n!$A:$H,4,FALSE)</f>
        <v>1</v>
      </c>
      <c r="T17" s="11">
        <f ca="1">VLOOKUP(Q17,[1]character_type_i18n!$A:$H,5,FALSE)</f>
        <v>1</v>
      </c>
      <c r="U17" s="11">
        <f ca="1">VLOOKUP(Q17,[1]character_type_i18n!$A:$H,6,FALSE)</f>
        <v>1</v>
      </c>
      <c r="V17" s="11">
        <f ca="1">VLOOKUP(Q17,[1]character_type_i18n!$A:$H,7,FALSE)</f>
        <v>1</v>
      </c>
      <c r="W17" s="59" t="str">
        <f ca="1">VLOOKUP($A17,OFFSET([1]characters!$A$1,0,0,COUNTA([1]characters!$A:$A),MATCH(W$1,[1]characters!$1:$1,0)-MATCH($A$1,[1]characters!$1:$1,0)+1),MATCH(W$1,[1]characters!$1:$1,0)-MATCH($A$1,[1]characters!$1:$1,0)+1,FALSE)</f>
        <v>human</v>
      </c>
      <c r="X17" s="5" t="str">
        <f ca="1">VLOOKUP(W17,[1]character_tribe_i18n!$A:$H,3,FALSE)</f>
        <v>ヒューマン</v>
      </c>
      <c r="Y17" s="59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 ca="1">VLOOKUP(W17,[1]character_tribe_i18n!$A:$H,4,FALSE)</f>
        <v>0.94</v>
      </c>
      <c r="AB17" s="11">
        <f ca="1">VLOOKUP(W17,[1]character_tribe_i18n!$A:$H,5,FALSE)</f>
        <v>0.99</v>
      </c>
      <c r="AC17" s="11">
        <f ca="1">VLOOKUP(W17,[1]character_tribe_i18n!$A:$H,6,FALSE)</f>
        <v>1</v>
      </c>
      <c r="AD17" s="11">
        <f ca="1">VLOOKUP(W17,[1]character_tribe_i18n!$A:$H,7,FALSE)</f>
        <v>1.07</v>
      </c>
      <c r="AE17" s="9" t="s">
        <v>189</v>
      </c>
      <c r="AF17" s="64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15"/>
        <v>817</v>
      </c>
      <c r="AH17" s="64" t="str">
        <f ca="1">VLOOKUP($AG17,OFFSET([1]characters!$A$1,0,0,COUNTA([1]characters!$A:$A),MATCH(AH$1,[1]characters!$1:$1,0)-MATCH($A$1,[1]characters!$1:$1,0)+1),MATCH(AH$1,[1]characters!$1:$1,0)-MATCH($A$1,[1]characters!$1:$1,0)+1,FALSE)</f>
        <v>決戦の抗弾 D.R.T.H.</v>
      </c>
      <c r="AI17" s="11" t="str">
        <f>IF(AE17="NULL","NULL",VLOOKUP(G17,ビット!$A$2:$B$7,2))</f>
        <v>NULL</v>
      </c>
      <c r="AJ17" s="6">
        <v>2</v>
      </c>
      <c r="AK17" s="7" t="str">
        <f t="shared" si="16"/>
        <v>普通</v>
      </c>
      <c r="AL17" s="11" t="str">
        <f ca="1">INDEX(経験値!$A$1:$I$20,MATCH(H17,経験値!$A$1:$A$20,FALSE),MATCH(G17,経験値!$A$1:$I$1,FALSE))</f>
        <v>required_exp_250</v>
      </c>
      <c r="AM17" s="8">
        <f ca="1">VLOOKUP(G17,経験値!$A$27:$B$31,2)</f>
        <v>6400</v>
      </c>
      <c r="AN17" s="17">
        <f ca="1">VLOOKUP(G17,ビット!$G$2:$H$7,2)</f>
        <v>900</v>
      </c>
      <c r="AO17" s="46"/>
      <c r="AP17" s="69">
        <f t="shared" si="17"/>
        <v>817</v>
      </c>
      <c r="AQ17" s="59" t="e">
        <f ca="1">VLOOKUP($AP17,OFFSET(unit_skills!$A$1,0,0,COUNTA(unit_skills!$A:$A),MATCH(AQ$1,unit_skills!$1:$1,0)-MATCH($AP$1,unit_skills!$1:$1,0)+1),MATCH(AQ$1,unit_skills!$1:$1,0)-MATCH($AP$1,unit_skills!$1:$1,0)+1,FALSE)</f>
        <v>#N/A</v>
      </c>
      <c r="AR17" s="59" t="e">
        <f ca="1">VLOOKUP($AP17,OFFSET(unit_skills!$A$1,0,0,COUNTA(unit_skills!$A:$A),MATCH(AR$1,unit_skills!$1:$1,0)-MATCH($AP$1,unit_skills!$1:$1,0)+1),MATCH(AR$1,unit_skills!$1:$1,0)-MATCH($AP$1,unit_skills!$1:$1,0)+1,FALSE)</f>
        <v>#N/A</v>
      </c>
      <c r="AS17" s="59" t="e">
        <f ca="1">VLOOKUP($AP17,OFFSET(unit_skills!$A$1,0,0,COUNTA(unit_skills!$A:$A),MATCH(AS$1,unit_skills!$1:$1,0)-MATCH($AP$1,unit_skills!$1:$1,0)+1),MATCH(AS$1,unit_skills!$1:$1,0)-MATCH($AP$1,unit_skills!$1:$1,0)+1,FALSE)</f>
        <v>#N/A</v>
      </c>
      <c r="AT17" s="42">
        <f t="shared" si="18"/>
        <v>817</v>
      </c>
      <c r="AU17" s="59" t="e">
        <f ca="1">VLOOKUP($AT17,OFFSET(crash_skills!$A$1,0,0,COUNTA(crash_skills!$A:$A),MATCH(AU$1,crash_skills!$1:$1,0)-MATCH($AT$1,crash_skills!$1:$1,0)+1),MATCH(AU$1,crash_skills!$1:$1,0)-MATCH($AT$1,crash_skills!$1:$1,0)+1,FALSE)</f>
        <v>#N/A</v>
      </c>
      <c r="AV17" s="59" t="e">
        <f ca="1">VLOOKUP($AT17,OFFSET(crash_skills!$A$1,0,0,COUNTA(crash_skills!$A:$A),MATCH(AV$1,crash_skills!$1:$1,0)-MATCH($AT$1,crash_skills!$1:$1,0)+1),MATCH(AV$1,crash_skills!$1:$1,0)-MATCH($AT$1,crash_skills!$1:$1,0)+1,FALSE)</f>
        <v>#N/A</v>
      </c>
      <c r="AW17" s="59" t="e">
        <f ca="1">VLOOKUP($AT17,OFFSET(crash_skills!$A$1,0,0,COUNTA(crash_skills!$A:$A),MATCH(AW$1,crash_skills!$1:$1,0)-MATCH($AT$1,crash_skills!$1:$1,0)+1),MATCH(AW$1,crash_skills!$1:$1,0)-MATCH($AT$1,crash_skills!$1:$1,0)+1,FALSE)</f>
        <v>#N/A</v>
      </c>
      <c r="AX17" s="60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70">
        <v>1.08</v>
      </c>
      <c r="AZ17" s="70">
        <v>1.03</v>
      </c>
      <c r="BA17" s="70">
        <v>0</v>
      </c>
      <c r="BB17" s="70">
        <v>0.997</v>
      </c>
      <c r="BC17" s="11">
        <f ca="1">INDEX('RC6SV'!$A$1:$G$20,MATCH(H17,'RC6SV'!$A$1:$A$20,FALSE),MATCH(G17,'RC6SV'!$A$1:$G$1,FALSE))</f>
        <v>13000</v>
      </c>
      <c r="BD17" s="49">
        <f t="shared" ca="1" si="19"/>
        <v>13000</v>
      </c>
      <c r="BE17" s="11">
        <f t="shared" ca="1" si="5"/>
        <v>0</v>
      </c>
      <c r="BF17" s="11">
        <f t="shared" ca="1" si="6"/>
        <v>1</v>
      </c>
      <c r="BG17" s="16">
        <f ca="1">IF($BE17&lt;=0,ROUND(BK17*0.5,0), ROUND($BE17*S17*AA17*J17*AY17*0.8*[1]ステータス!$B$2,0))</f>
        <v>3300</v>
      </c>
      <c r="BH17" s="16">
        <f ca="1">IF($BE17&lt;=0,ROUND(BL17*0.5,0), ROUND($BE17*T17*AB17*K17*AZ17*0.8*[1]ステータス!$C$2,0))</f>
        <v>2028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1699</v>
      </c>
      <c r="BK17" s="11">
        <f ca="1">ROUND(BD17*S17*AA17*J17*AY17*[1]ステータス!$B$2,0)</f>
        <v>6599</v>
      </c>
      <c r="BL17" s="11">
        <f ca="1">ROUND(BD17*T17*AB17*K17*AZ17*[1]ステータス!$C$2,0)</f>
        <v>4056</v>
      </c>
      <c r="BM17" s="11">
        <f ca="1">ROUND(BD17*U17*AC17*L17*BA17*[1]ステータス!$D$2,0)</f>
        <v>0</v>
      </c>
      <c r="BN17" s="11">
        <f ca="1">ROUND(BD17*V17*AD17*M17*BB17*[1]ステータス!$E$2,0)</f>
        <v>3398</v>
      </c>
      <c r="BO17" s="10">
        <v>0</v>
      </c>
      <c r="BP17" s="10">
        <v>1</v>
      </c>
      <c r="BQ17" s="39" t="s">
        <v>53</v>
      </c>
    </row>
    <row r="18" spans="1:69" ht="21" customHeight="1" x14ac:dyDescent="0.15">
      <c r="A18" s="12">
        <v>818</v>
      </c>
      <c r="B18" s="59" t="str">
        <f ca="1">VLOOKUP($A18,OFFSET([1]characters!$A$1,0,0,COUNTA([1]characters!$A:$A),MATCH(B$1,[1]characters!$1:$1,0)-MATCH($A$1,[1]characters!$1:$1,0)+1),MATCH(B$1,[1]characters!$1:$1,0)-MATCH($A$1,[1]characters!$1:$1,0)+1,FALSE)</f>
        <v>虚空を飾る大輪 オズ</v>
      </c>
      <c r="C18" s="59" t="str">
        <f ca="1">VLOOKUP($A18,OFFSET([1]characters!$A$1,0,0,COUNTA([1]characters!$A:$A),MATCH(C$1,[1]characters!$1:$1,0)-MATCH($A$1,[1]characters!$1:$1,0)+1),MATCH(C$1,[1]characters!$1:$1,0)-MATCH($A$1,[1]characters!$1:$1,0)+1,FALSE)</f>
        <v>各属性相性良3・黄・R436</v>
      </c>
      <c r="D18" s="59" t="str">
        <f ca="1">VLOOKUP($A18,OFFSET([1]characters!$A$1,0,0,COUNTA([1]characters!$A:$A),MATCH(D$1,[1]characters!$1:$1,0)-MATCH($A$1,[1]characters!$1:$1,0)+1),MATCH(D$1,[1]characters!$1:$1,0)-MATCH($A$1,[1]characters!$1:$1,0)+1,FALSE)</f>
        <v>執行者</v>
      </c>
      <c r="E18" s="59" t="str">
        <f ca="1">VLOOKUP($A18,OFFSET([1]characters!$A$1,0,0,COUNTA([1]characters!$A:$A),MATCH(E$1,[1]characters!$1:$1,0)-MATCH($A$1,[1]characters!$1:$1,0)+1),MATCH(E$1,[1]characters!$1:$1,0)-MATCH($A$1,[1]characters!$1:$1,0)+1,FALSE)</f>
        <v>格好いい</v>
      </c>
      <c r="F18" s="59" t="str">
        <f ca="1">VLOOKUP($A18,OFFSET([1]characters!$A$1,0,0,COUNTA([1]characters!$A:$A),MATCH(F$1,[1]characters!$1:$1,0)-MATCH($A$1,[1]characters!$1:$1,0)+1),MATCH(F$1,[1]characters!$1:$1,0)-MATCH($A$1,[1]characters!$1:$1,0)+1,FALSE)</f>
        <v>男性</v>
      </c>
      <c r="G18" s="59">
        <f ca="1">VLOOKUP($A18,OFFSET([1]characters!$A$1,0,0,COUNTA([1]characters!$A:$A),MATCH(G$1,[1]characters!$1:$1,0)-MATCH($A$1,[1]characters!$1:$1,0)+1),MATCH(G$1,[1]characters!$1:$1,0)-MATCH($A$1,[1]characters!$1:$1,0)+1,FALSE)</f>
        <v>6</v>
      </c>
      <c r="H18" s="59" t="str">
        <f ca="1">VLOOKUP($A18,OFFSET([1]characters!$A$1,0,0,COUNTA([1]characters!$A:$A),MATCH(H$1,[1]characters!$1:$1,0)-MATCH($A$1,[1]characters!$1:$1,0)+1),MATCH(H$1,[1]characters!$1:$1,0)-MATCH($A$1,[1]characters!$1:$1,0)+1,FALSE)</f>
        <v>DropWizS</v>
      </c>
      <c r="I18" s="59" t="str">
        <f ca="1">VLOOKUP($A18,OFFSET([1]characters!$A$1,0,0,COUNTA([1]characters!$A:$A),MATCH(I$1,[1]characters!$1:$1,0)-MATCH($A$1,[1]characters!$1:$1,0)+1),MATCH(I$1,[1]characters!$1:$1,0)-MATCH($A$1,[1]characters!$1:$1,0)+1,FALSE)</f>
        <v>green</v>
      </c>
      <c r="J18" s="11">
        <f ca="1">VLOOKUP(I18,[1]属性!$A:$E,2,FALSE)</f>
        <v>1.02</v>
      </c>
      <c r="K18" s="11">
        <f ca="1">VLOOKUP(I18,[1]属性!$A:$E,3,FALSE)</f>
        <v>0.98</v>
      </c>
      <c r="L18" s="11">
        <f ca="1">VLOOKUP(I18,[1]属性!$A:$E,4,FALSE)</f>
        <v>1</v>
      </c>
      <c r="M18" s="11">
        <f ca="1">VLOOKUP(I18,[1]属性!$A:$E,5,FALSE)</f>
        <v>1</v>
      </c>
      <c r="N18" s="11">
        <f ca="1">INDEX(コスト!$A$1:$I$20,MATCH(H18,コスト!$A$1:$A$20,FALSE),MATCH(G18,コスト!$A$1:$I$1,FALSE))</f>
        <v>45</v>
      </c>
      <c r="O18" s="11">
        <f ca="1">INDEX(レベル!$A$1:$I$21,MATCH(H18,レベル!$A$1:$A$21,FALSE),MATCH(G18,レベル!$A$1:$I$1,FALSE))</f>
        <v>99</v>
      </c>
      <c r="P18" s="49">
        <f t="shared" ca="1" si="0"/>
        <v>99</v>
      </c>
      <c r="Q18" s="59" t="str">
        <f ca="1">VLOOKUP($A18,OFFSET([1]characters!$A$1,0,0,COUNTA([1]characters!$A:$A),MATCH(Q$1,[1]characters!$1:$1,0)-MATCH($A$1,[1]characters!$1:$1,0)+1),MATCH(Q$1,[1]characters!$1:$1,0)-MATCH($A$1,[1]characters!$1:$1,0)+1,FALSE)</f>
        <v>technical</v>
      </c>
      <c r="R18" s="5" t="str">
        <f ca="1">VLOOKUP(Q18,[1]character_type_i18n!$A:$H,3,FALSE)</f>
        <v>テクニカルタイプ</v>
      </c>
      <c r="S18" s="11">
        <f ca="1">VLOOKUP(Q18,[1]character_type_i18n!$A:$H,4,FALSE)</f>
        <v>0.9</v>
      </c>
      <c r="T18" s="11">
        <f ca="1">VLOOKUP(Q18,[1]character_type_i18n!$A:$H,5,FALSE)</f>
        <v>0.9</v>
      </c>
      <c r="U18" s="11">
        <f ca="1">VLOOKUP(Q18,[1]character_type_i18n!$A:$H,6,FALSE)</f>
        <v>1</v>
      </c>
      <c r="V18" s="11">
        <f ca="1">VLOOKUP(Q18,[1]character_type_i18n!$A:$H,7,FALSE)</f>
        <v>0.9</v>
      </c>
      <c r="W18" s="59" t="str">
        <f ca="1">VLOOKUP($A18,OFFSET([1]characters!$A$1,0,0,COUNTA([1]characters!$A:$A),MATCH(W$1,[1]characters!$1:$1,0)-MATCH($A$1,[1]characters!$1:$1,0)+1),MATCH(W$1,[1]characters!$1:$1,0)-MATCH($A$1,[1]characters!$1:$1,0)+1,FALSE)</f>
        <v>human</v>
      </c>
      <c r="X18" s="5" t="str">
        <f ca="1">VLOOKUP(W18,[1]character_tribe_i18n!$A:$H,3,FALSE)</f>
        <v>ヒューマン</v>
      </c>
      <c r="Y18" s="59" t="str">
        <f ca="1">VLOOKUP($A18,OFFSET([1]characters!$A$1,0,0,COUNTA([1]characters!$A:$A),MATCH(Y$1,[1]characters!$1:$1,0)-MATCH($A$1,[1]characters!$1:$1,0)+1),MATCH(Y$1,[1]characters!$1:$1,0)-MATCH($A$1,[1]characters!$1:$1,0)+1,FALSE)</f>
        <v>none</v>
      </c>
      <c r="Z18" s="5" t="str">
        <f ca="1">VLOOKUP(Y18,[1]character_tribe_i18n!$A:$H,3,FALSE)</f>
        <v>種族なし</v>
      </c>
      <c r="AA18" s="11">
        <f ca="1">VLOOKUP(W18,[1]character_tribe_i18n!$A:$H,4,FALSE)</f>
        <v>0.94</v>
      </c>
      <c r="AB18" s="11">
        <f ca="1">VLOOKUP(W18,[1]character_tribe_i18n!$A:$H,5,FALSE)</f>
        <v>0.99</v>
      </c>
      <c r="AC18" s="11">
        <f ca="1">VLOOKUP(W18,[1]character_tribe_i18n!$A:$H,6,FALSE)</f>
        <v>1</v>
      </c>
      <c r="AD18" s="11">
        <f ca="1">VLOOKUP(W18,[1]character_tribe_i18n!$A:$H,7,FALSE)</f>
        <v>1.07</v>
      </c>
      <c r="AE18" s="9" t="s">
        <v>189</v>
      </c>
      <c r="AF18" s="64" t="str">
        <f ca="1">IF(AE18="NULL","",VLOOKUP($AE18,OFFSET([1]characters!$A$1,0,0,COUNTA([1]characters!$A:$A),MATCH(AF$1,[1]characters!$1:$1,0)-MATCH($A$1,[1]characters!$1:$1,0)+1),MATCH(AF$1,[1]characters!$1:$1,0)-MATCH($A$1,[1]characters!$1:$1,0)+1,FALSE))</f>
        <v/>
      </c>
      <c r="AG18" s="5">
        <f t="shared" ca="1" si="15"/>
        <v>818</v>
      </c>
      <c r="AH18" s="64" t="str">
        <f ca="1">VLOOKUP($AG18,OFFSET([1]characters!$A$1,0,0,COUNTA([1]characters!$A:$A),MATCH(AH$1,[1]characters!$1:$1,0)-MATCH($A$1,[1]characters!$1:$1,0)+1),MATCH(AH$1,[1]characters!$1:$1,0)-MATCH($A$1,[1]characters!$1:$1,0)+1,FALSE)</f>
        <v>虚空を飾る大輪 オズ</v>
      </c>
      <c r="AI18" s="11" t="str">
        <f>IF(AE18="NULL","NULL",VLOOKUP(G18,ビット!$A$2:$B$7,2))</f>
        <v>NULL</v>
      </c>
      <c r="AJ18" s="6">
        <v>2</v>
      </c>
      <c r="AK18" s="7" t="str">
        <f t="shared" si="16"/>
        <v>普通</v>
      </c>
      <c r="AL18" s="11" t="str">
        <f ca="1">INDEX(経験値!$A$1:$I$20,MATCH(H18,経験値!$A$1:$A$20,FALSE),MATCH(G18,経験値!$A$1:$I$1,FALSE))</f>
        <v>required_exp_250</v>
      </c>
      <c r="AM18" s="8">
        <f ca="1">VLOOKUP(G18,経験値!$A$27:$B$31,2)</f>
        <v>6400</v>
      </c>
      <c r="AN18" s="17">
        <f ca="1">VLOOKUP(G18,ビット!$G$2:$H$7,2)</f>
        <v>900</v>
      </c>
      <c r="AO18" s="46"/>
      <c r="AP18" s="69">
        <f t="shared" si="17"/>
        <v>818</v>
      </c>
      <c r="AQ18" s="59" t="e">
        <f ca="1">VLOOKUP($AP18,OFFSET(unit_skills!$A$1,0,0,COUNTA(unit_skills!$A:$A),MATCH(AQ$1,unit_skills!$1:$1,0)-MATCH($AP$1,unit_skills!$1:$1,0)+1),MATCH(AQ$1,unit_skills!$1:$1,0)-MATCH($AP$1,unit_skills!$1:$1,0)+1,FALSE)</f>
        <v>#N/A</v>
      </c>
      <c r="AR18" s="59" t="e">
        <f ca="1">VLOOKUP($AP18,OFFSET(unit_skills!$A$1,0,0,COUNTA(unit_skills!$A:$A),MATCH(AR$1,unit_skills!$1:$1,0)-MATCH($AP$1,unit_skills!$1:$1,0)+1),MATCH(AR$1,unit_skills!$1:$1,0)-MATCH($AP$1,unit_skills!$1:$1,0)+1,FALSE)</f>
        <v>#N/A</v>
      </c>
      <c r="AS18" s="59" t="e">
        <f ca="1">VLOOKUP($AP18,OFFSET(unit_skills!$A$1,0,0,COUNTA(unit_skills!$A:$A),MATCH(AS$1,unit_skills!$1:$1,0)-MATCH($AP$1,unit_skills!$1:$1,0)+1),MATCH(AS$1,unit_skills!$1:$1,0)-MATCH($AP$1,unit_skills!$1:$1,0)+1,FALSE)</f>
        <v>#N/A</v>
      </c>
      <c r="AT18" s="42">
        <f t="shared" si="18"/>
        <v>818</v>
      </c>
      <c r="AU18" s="59" t="e">
        <f ca="1">VLOOKUP($AT18,OFFSET(crash_skills!$A$1,0,0,COUNTA(crash_skills!$A:$A),MATCH(AU$1,crash_skills!$1:$1,0)-MATCH($AT$1,crash_skills!$1:$1,0)+1),MATCH(AU$1,crash_skills!$1:$1,0)-MATCH($AT$1,crash_skills!$1:$1,0)+1,FALSE)</f>
        <v>#N/A</v>
      </c>
      <c r="AV18" s="59" t="e">
        <f ca="1">VLOOKUP($AT18,OFFSET(crash_skills!$A$1,0,0,COUNTA(crash_skills!$A:$A),MATCH(AV$1,crash_skills!$1:$1,0)-MATCH($AT$1,crash_skills!$1:$1,0)+1),MATCH(AV$1,crash_skills!$1:$1,0)-MATCH($AT$1,crash_skills!$1:$1,0)+1,FALSE)</f>
        <v>#N/A</v>
      </c>
      <c r="AW18" s="59" t="e">
        <f ca="1">VLOOKUP($AT18,OFFSET(crash_skills!$A$1,0,0,COUNTA(crash_skills!$A:$A),MATCH(AW$1,crash_skills!$1:$1,0)-MATCH($AT$1,crash_skills!$1:$1,0)+1),MATCH(AW$1,crash_skills!$1:$1,0)-MATCH($AT$1,crash_skills!$1:$1,0)+1,FALSE)</f>
        <v>#N/A</v>
      </c>
      <c r="AX18" s="60">
        <f ca="1">VLOOKUP($A18,OFFSET([1]characters!$A$1,0,0,COUNTA([1]characters!$A:$A),MATCH(AX$1,[1]characters!$1:$1,0)-MATCH($A$1,[1]characters!$1:$1,0)+1),MATCH(AX$1,[1]characters!$1:$1,0)-MATCH($A$1,[1]characters!$1:$1,0)+1,FALSE)</f>
        <v>3</v>
      </c>
      <c r="AY18" s="70">
        <v>1.08</v>
      </c>
      <c r="AZ18" s="70">
        <v>1.03</v>
      </c>
      <c r="BA18" s="70">
        <v>0</v>
      </c>
      <c r="BB18" s="70">
        <v>0.93799999999999994</v>
      </c>
      <c r="BC18" s="11">
        <f ca="1">INDEX('RC6SV'!$A$1:$G$20,MATCH(H18,'RC6SV'!$A$1:$A$20,FALSE),MATCH(G18,'RC6SV'!$A$1:$G$1,FALSE))</f>
        <v>12000</v>
      </c>
      <c r="BD18" s="49">
        <f t="shared" ca="1" si="19"/>
        <v>12000</v>
      </c>
      <c r="BE18" s="11">
        <f t="shared" ca="1" si="5"/>
        <v>0</v>
      </c>
      <c r="BF18" s="11">
        <f t="shared" ca="1" si="6"/>
        <v>1</v>
      </c>
      <c r="BG18" s="16">
        <f ca="1">IF($BE18&lt;=0,ROUND(BK18*0.5,0), ROUND($BE18*S18*AA18*J18*AY18*0.8*[1]ステータス!$B$2,0))</f>
        <v>2796</v>
      </c>
      <c r="BH18" s="16">
        <f ca="1">IF($BE18&lt;=0,ROUND(BL18*0.5,0), ROUND($BE18*T18*AB18*K18*AZ18*0.8*[1]ステータス!$C$2,0))</f>
        <v>1619</v>
      </c>
      <c r="BI18" s="16">
        <f ca="1">IF($BE18&lt;=0,ROUND(BM18*0.5,0), ROUND($BE18*U18*AC18*L18*BA18*0.8*[1]ステータス!$D$2,0))</f>
        <v>0</v>
      </c>
      <c r="BJ18" s="16">
        <f ca="1">IF($BE18&lt;=0,ROUND(BN18*0.5,0), ROUND($BE18*V18*AD18*M18*BB18*0.8*[1]ステータス!$E$2,0))</f>
        <v>1355</v>
      </c>
      <c r="BK18" s="11">
        <f ca="1">ROUND(BD18*S18*AA18*J18*AY18*[1]ステータス!$B$2,0)</f>
        <v>5592</v>
      </c>
      <c r="BL18" s="11">
        <f ca="1">ROUND(BD18*T18*AB18*K18*AZ18*[1]ステータス!$C$2,0)</f>
        <v>3238</v>
      </c>
      <c r="BM18" s="11">
        <f ca="1">ROUND(BD18*U18*AC18*L18*BA18*[1]ステータス!$D$2,0)</f>
        <v>0</v>
      </c>
      <c r="BN18" s="11">
        <f ca="1">ROUND(BD18*V18*AD18*M18*BB18*[1]ステータス!$E$2,0)</f>
        <v>2710</v>
      </c>
      <c r="BO18" s="10">
        <v>0</v>
      </c>
      <c r="BP18" s="10">
        <v>1</v>
      </c>
      <c r="BQ18" s="39" t="s">
        <v>53</v>
      </c>
    </row>
    <row r="19" spans="1:69" ht="21" customHeight="1" x14ac:dyDescent="0.15">
      <c r="A19" s="12">
        <v>819</v>
      </c>
      <c r="B19" s="59" t="str">
        <f ca="1">VLOOKUP($A19,OFFSET([1]characters!$A$1,0,0,COUNTA([1]characters!$A:$A),MATCH(B$1,[1]characters!$1:$1,0)-MATCH($A$1,[1]characters!$1:$1,0)+1),MATCH(B$1,[1]characters!$1:$1,0)-MATCH($A$1,[1]characters!$1:$1,0)+1,FALSE)</f>
        <v>讐命の我突 モルドレッド</v>
      </c>
      <c r="C19" s="59" t="str">
        <f ca="1">VLOOKUP($A19,OFFSET([1]characters!$A$1,0,0,COUNTA([1]characters!$A:$A),MATCH(C$1,[1]characters!$1:$1,0)-MATCH($A$1,[1]characters!$1:$1,0)+1),MATCH(C$1,[1]characters!$1:$1,0)-MATCH($A$1,[1]characters!$1:$1,0)+1,FALSE)</f>
        <v>各属性相性良3・黄・R437</v>
      </c>
      <c r="D19" s="59" t="str">
        <f ca="1">VLOOKUP($A19,OFFSET([1]characters!$A$1,0,0,COUNTA([1]characters!$A:$A),MATCH(D$1,[1]characters!$1:$1,0)-MATCH($A$1,[1]characters!$1:$1,0)+1),MATCH(D$1,[1]characters!$1:$1,0)-MATCH($A$1,[1]characters!$1:$1,0)+1,FALSE)</f>
        <v>執行者</v>
      </c>
      <c r="E19" s="59" t="str">
        <f ca="1">VLOOKUP($A19,OFFSET([1]characters!$A$1,0,0,COUNTA([1]characters!$A:$A),MATCH(E$1,[1]characters!$1:$1,0)-MATCH($A$1,[1]characters!$1:$1,0)+1),MATCH(E$1,[1]characters!$1:$1,0)-MATCH($A$1,[1]characters!$1:$1,0)+1,FALSE)</f>
        <v>格好いい</v>
      </c>
      <c r="F19" s="59" t="str">
        <f ca="1">VLOOKUP($A19,OFFSET([1]characters!$A$1,0,0,COUNTA([1]characters!$A:$A),MATCH(F$1,[1]characters!$1:$1,0)-MATCH($A$1,[1]characters!$1:$1,0)+1),MATCH(F$1,[1]characters!$1:$1,0)-MATCH($A$1,[1]characters!$1:$1,0)+1,FALSE)</f>
        <v>男性</v>
      </c>
      <c r="G19" s="59">
        <f ca="1">VLOOKUP($A19,OFFSET([1]characters!$A$1,0,0,COUNTA([1]characters!$A:$A),MATCH(G$1,[1]characters!$1:$1,0)-MATCH($A$1,[1]characters!$1:$1,0)+1),MATCH(G$1,[1]characters!$1:$1,0)-MATCH($A$1,[1]characters!$1:$1,0)+1,FALSE)</f>
        <v>6</v>
      </c>
      <c r="H19" s="59" t="str">
        <f ca="1">VLOOKUP($A19,OFFSET([1]characters!$A$1,0,0,COUNTA([1]characters!$A:$A),MATCH(H$1,[1]characters!$1:$1,0)-MATCH($A$1,[1]characters!$1:$1,0)+1),MATCH(H$1,[1]characters!$1:$1,0)-MATCH($A$1,[1]characters!$1:$1,0)+1,FALSE)</f>
        <v>PremiumSS</v>
      </c>
      <c r="I19" s="59" t="str">
        <f ca="1">VLOOKUP($A19,OFFSET([1]characters!$A$1,0,0,COUNTA([1]characters!$A:$A),MATCH(I$1,[1]characters!$1:$1,0)-MATCH($A$1,[1]characters!$1:$1,0)+1),MATCH(I$1,[1]characters!$1:$1,0)-MATCH($A$1,[1]characters!$1:$1,0)+1,FALSE)</f>
        <v>blue</v>
      </c>
      <c r="J19" s="11">
        <f ca="1">VLOOKUP(I19,[1]属性!$A:$E,2,FALSE)</f>
        <v>1</v>
      </c>
      <c r="K19" s="11">
        <f ca="1">VLOOKUP(I19,[1]属性!$A:$E,3,FALSE)</f>
        <v>0.98</v>
      </c>
      <c r="L19" s="11">
        <f ca="1">VLOOKUP(I19,[1]属性!$A:$E,4,FALSE)</f>
        <v>1</v>
      </c>
      <c r="M19" s="11">
        <f ca="1">VLOOKUP(I19,[1]属性!$A:$E,5,FALSE)</f>
        <v>1.02</v>
      </c>
      <c r="N19" s="11">
        <f ca="1">INDEX(コスト!$A$1:$I$20,MATCH(H19,コスト!$A$1:$A$20,FALSE),MATCH(G19,コスト!$A$1:$I$1,FALSE))</f>
        <v>50</v>
      </c>
      <c r="O19" s="11">
        <f ca="1">INDEX(レベル!$A$1:$I$21,MATCH(H19,レベル!$A$1:$A$21,FALSE),MATCH(G19,レベル!$A$1:$I$1,FALSE))</f>
        <v>99</v>
      </c>
      <c r="P19" s="49">
        <f t="shared" ca="1" si="0"/>
        <v>99</v>
      </c>
      <c r="Q19" s="59" t="str">
        <f ca="1">VLOOKUP($A19,OFFSET([1]characters!$A$1,0,0,COUNTA([1]characters!$A:$A),MATCH(Q$1,[1]characters!$1:$1,0)-MATCH($A$1,[1]characters!$1:$1,0)+1),MATCH(Q$1,[1]characters!$1:$1,0)-MATCH($A$1,[1]characters!$1:$1,0)+1,FALSE)</f>
        <v>technical</v>
      </c>
      <c r="R19" s="5" t="str">
        <f ca="1">VLOOKUP(Q19,[1]character_type_i18n!$A:$H,3,FALSE)</f>
        <v>テクニカルタイプ</v>
      </c>
      <c r="S19" s="11">
        <f ca="1">VLOOKUP(Q19,[1]character_type_i18n!$A:$H,4,FALSE)</f>
        <v>0.9</v>
      </c>
      <c r="T19" s="11">
        <f ca="1">VLOOKUP(Q19,[1]character_type_i18n!$A:$H,5,FALSE)</f>
        <v>0.9</v>
      </c>
      <c r="U19" s="11">
        <f ca="1">VLOOKUP(Q19,[1]character_type_i18n!$A:$H,6,FALSE)</f>
        <v>1</v>
      </c>
      <c r="V19" s="11">
        <f ca="1">VLOOKUP(Q19,[1]character_type_i18n!$A:$H,7,FALSE)</f>
        <v>0.9</v>
      </c>
      <c r="W19" s="59" t="str">
        <f ca="1">VLOOKUP($A19,OFFSET([1]characters!$A$1,0,0,COUNTA([1]characters!$A:$A),MATCH(W$1,[1]characters!$1:$1,0)-MATCH($A$1,[1]characters!$1:$1,0)+1),MATCH(W$1,[1]characters!$1:$1,0)-MATCH($A$1,[1]characters!$1:$1,0)+1,FALSE)</f>
        <v>human</v>
      </c>
      <c r="X19" s="5" t="str">
        <f ca="1">VLOOKUP(W19,[1]character_tribe_i18n!$A:$H,3,FALSE)</f>
        <v>ヒューマン</v>
      </c>
      <c r="Y19" s="59" t="str">
        <f ca="1">VLOOKUP($A19,OFFSET([1]characters!$A$1,0,0,COUNTA([1]characters!$A:$A),MATCH(Y$1,[1]characters!$1:$1,0)-MATCH($A$1,[1]characters!$1:$1,0)+1),MATCH(Y$1,[1]characters!$1:$1,0)-MATCH($A$1,[1]characters!$1:$1,0)+1,FALSE)</f>
        <v>none</v>
      </c>
      <c r="Z19" s="5" t="str">
        <f ca="1">VLOOKUP(Y19,[1]character_tribe_i18n!$A:$H,3,FALSE)</f>
        <v>種族なし</v>
      </c>
      <c r="AA19" s="11">
        <f ca="1">VLOOKUP(W19,[1]character_tribe_i18n!$A:$H,4,FALSE)</f>
        <v>0.94</v>
      </c>
      <c r="AB19" s="11">
        <f ca="1">VLOOKUP(W19,[1]character_tribe_i18n!$A:$H,5,FALSE)</f>
        <v>0.99</v>
      </c>
      <c r="AC19" s="11">
        <f ca="1">VLOOKUP(W19,[1]character_tribe_i18n!$A:$H,6,FALSE)</f>
        <v>1</v>
      </c>
      <c r="AD19" s="11">
        <f ca="1">VLOOKUP(W19,[1]character_tribe_i18n!$A:$H,7,FALSE)</f>
        <v>1.07</v>
      </c>
      <c r="AE19" s="9" t="s">
        <v>189</v>
      </c>
      <c r="AF19" s="64" t="str">
        <f ca="1">IF(AE19="NULL","",VLOOKUP($AE19,OFFSET([1]characters!$A$1,0,0,COUNTA([1]characters!$A:$A),MATCH(AF$1,[1]characters!$1:$1,0)-MATCH($A$1,[1]characters!$1:$1,0)+1),MATCH(AF$1,[1]characters!$1:$1,0)-MATCH($A$1,[1]characters!$1:$1,0)+1,FALSE))</f>
        <v/>
      </c>
      <c r="AG19" s="5">
        <f t="shared" ca="1" si="15"/>
        <v>819</v>
      </c>
      <c r="AH19" s="64" t="str">
        <f ca="1">VLOOKUP($AG19,OFFSET([1]characters!$A$1,0,0,COUNTA([1]characters!$A:$A),MATCH(AH$1,[1]characters!$1:$1,0)-MATCH($A$1,[1]characters!$1:$1,0)+1),MATCH(AH$1,[1]characters!$1:$1,0)-MATCH($A$1,[1]characters!$1:$1,0)+1,FALSE)</f>
        <v>讐命の我突 モルドレッド</v>
      </c>
      <c r="AI19" s="11" t="str">
        <f>IF(AE19="NULL","NULL",VLOOKUP(G19,ビット!$A$2:$B$7,2))</f>
        <v>NULL</v>
      </c>
      <c r="AJ19" s="6">
        <v>2</v>
      </c>
      <c r="AK19" s="7" t="str">
        <f t="shared" si="16"/>
        <v>普通</v>
      </c>
      <c r="AL19" s="11" t="str">
        <f ca="1">INDEX(経験値!$A$1:$I$20,MATCH(H19,経験値!$A$1:$A$20,FALSE),MATCH(G19,経験値!$A$1:$I$1,FALSE))</f>
        <v>required_exp_250</v>
      </c>
      <c r="AM19" s="8">
        <f ca="1">VLOOKUP(G19,経験値!$A$27:$B$31,2)</f>
        <v>6400</v>
      </c>
      <c r="AN19" s="17">
        <f ca="1">VLOOKUP(G19,ビット!$G$2:$H$7,2)</f>
        <v>900</v>
      </c>
      <c r="AO19" s="46"/>
      <c r="AP19" s="69">
        <f t="shared" si="17"/>
        <v>819</v>
      </c>
      <c r="AQ19" s="59" t="e">
        <f ca="1">VLOOKUP($AP19,OFFSET(unit_skills!$A$1,0,0,COUNTA(unit_skills!$A:$A),MATCH(AQ$1,unit_skills!$1:$1,0)-MATCH($AP$1,unit_skills!$1:$1,0)+1),MATCH(AQ$1,unit_skills!$1:$1,0)-MATCH($AP$1,unit_skills!$1:$1,0)+1,FALSE)</f>
        <v>#N/A</v>
      </c>
      <c r="AR19" s="59" t="e">
        <f ca="1">VLOOKUP($AP19,OFFSET(unit_skills!$A$1,0,0,COUNTA(unit_skills!$A:$A),MATCH(AR$1,unit_skills!$1:$1,0)-MATCH($AP$1,unit_skills!$1:$1,0)+1),MATCH(AR$1,unit_skills!$1:$1,0)-MATCH($AP$1,unit_skills!$1:$1,0)+1,FALSE)</f>
        <v>#N/A</v>
      </c>
      <c r="AS19" s="59" t="e">
        <f ca="1">VLOOKUP($AP19,OFFSET(unit_skills!$A$1,0,0,COUNTA(unit_skills!$A:$A),MATCH(AS$1,unit_skills!$1:$1,0)-MATCH($AP$1,unit_skills!$1:$1,0)+1),MATCH(AS$1,unit_skills!$1:$1,0)-MATCH($AP$1,unit_skills!$1:$1,0)+1,FALSE)</f>
        <v>#N/A</v>
      </c>
      <c r="AT19" s="42">
        <f t="shared" si="18"/>
        <v>819</v>
      </c>
      <c r="AU19" s="59" t="e">
        <f ca="1">VLOOKUP($AT19,OFFSET(crash_skills!$A$1,0,0,COUNTA(crash_skills!$A:$A),MATCH(AU$1,crash_skills!$1:$1,0)-MATCH($AT$1,crash_skills!$1:$1,0)+1),MATCH(AU$1,crash_skills!$1:$1,0)-MATCH($AT$1,crash_skills!$1:$1,0)+1,FALSE)</f>
        <v>#N/A</v>
      </c>
      <c r="AV19" s="59" t="e">
        <f ca="1">VLOOKUP($AT19,OFFSET(crash_skills!$A$1,0,0,COUNTA(crash_skills!$A:$A),MATCH(AV$1,crash_skills!$1:$1,0)-MATCH($AT$1,crash_skills!$1:$1,0)+1),MATCH(AV$1,crash_skills!$1:$1,0)-MATCH($AT$1,crash_skills!$1:$1,0)+1,FALSE)</f>
        <v>#N/A</v>
      </c>
      <c r="AW19" s="59" t="e">
        <f ca="1">VLOOKUP($AT19,OFFSET(crash_skills!$A$1,0,0,COUNTA(crash_skills!$A:$A),MATCH(AW$1,crash_skills!$1:$1,0)-MATCH($AT$1,crash_skills!$1:$1,0)+1),MATCH(AW$1,crash_skills!$1:$1,0)-MATCH($AT$1,crash_skills!$1:$1,0)+1,FALSE)</f>
        <v>#N/A</v>
      </c>
      <c r="AX19" s="60">
        <f ca="1">VLOOKUP($A19,OFFSET([1]characters!$A$1,0,0,COUNTA([1]characters!$A:$A),MATCH(AX$1,[1]characters!$1:$1,0)-MATCH($A$1,[1]characters!$1:$1,0)+1),MATCH(AX$1,[1]characters!$1:$1,0)-MATCH($A$1,[1]characters!$1:$1,0)+1,FALSE)</f>
        <v>3</v>
      </c>
      <c r="AY19" s="70">
        <v>1.155</v>
      </c>
      <c r="AZ19" s="70">
        <v>1.288</v>
      </c>
      <c r="BA19" s="70">
        <v>0</v>
      </c>
      <c r="BB19" s="70">
        <v>0.93799999999999994</v>
      </c>
      <c r="BC19" s="11">
        <f ca="1">INDEX('RC6SV'!$A$1:$G$20,MATCH(H19,'RC6SV'!$A$1:$A$20,FALSE),MATCH(G19,'RC6SV'!$A$1:$G$1,FALSE))</f>
        <v>13000</v>
      </c>
      <c r="BD19" s="49">
        <f t="shared" ca="1" si="19"/>
        <v>13000</v>
      </c>
      <c r="BE19" s="11">
        <f t="shared" ca="1" si="5"/>
        <v>0</v>
      </c>
      <c r="BF19" s="11">
        <f t="shared" ca="1" si="6"/>
        <v>1</v>
      </c>
      <c r="BG19" s="16">
        <f ca="1">IF($BE19&lt;=0,ROUND(BK19*0.5,0), ROUND($BE19*S19*AA19*J19*AY19*0.8*[1]ステータス!$B$2,0))</f>
        <v>3176</v>
      </c>
      <c r="BH19" s="16">
        <f ca="1">IF($BE19&lt;=0,ROUND(BL19*0.5,0), ROUND($BE19*T19*AB19*K19*AZ19*0.8*[1]ステータス!$C$2,0))</f>
        <v>2193</v>
      </c>
      <c r="BI19" s="16">
        <f ca="1">IF($BE19&lt;=0,ROUND(BM19*0.5,0), ROUND($BE19*U19*AC19*L19*BA19*0.8*[1]ステータス!$D$2,0))</f>
        <v>0</v>
      </c>
      <c r="BJ19" s="16">
        <f ca="1">IF($BE19&lt;=0,ROUND(BN19*0.5,0), ROUND($BE19*V19*AD19*M19*BB19*0.8*[1]ステータス!$E$2,0))</f>
        <v>1497</v>
      </c>
      <c r="BK19" s="11">
        <f ca="1">ROUND(BD19*S19*AA19*J19*AY19*[1]ステータス!$B$2,0)</f>
        <v>6351</v>
      </c>
      <c r="BL19" s="11">
        <f ca="1">ROUND(BD19*T19*AB19*K19*AZ19*[1]ステータス!$C$2,0)</f>
        <v>4386</v>
      </c>
      <c r="BM19" s="11">
        <f ca="1">ROUND(BD19*U19*AC19*L19*BA19*[1]ステータス!$D$2,0)</f>
        <v>0</v>
      </c>
      <c r="BN19" s="11">
        <f ca="1">ROUND(BD19*V19*AD19*M19*BB19*[1]ステータス!$E$2,0)</f>
        <v>2994</v>
      </c>
      <c r="BO19" s="10">
        <v>0</v>
      </c>
      <c r="BP19" s="10">
        <v>1</v>
      </c>
      <c r="BQ19" s="39" t="s">
        <v>53</v>
      </c>
    </row>
    <row r="20" spans="1:69" ht="21" customHeight="1" x14ac:dyDescent="0.15">
      <c r="A20" s="12">
        <v>820</v>
      </c>
      <c r="B20" s="59" t="str">
        <f ca="1">VLOOKUP($A20,OFFSET([1]characters!$A$1,0,0,COUNTA([1]characters!$A:$A),MATCH(B$1,[1]characters!$1:$1,0)-MATCH($A$1,[1]characters!$1:$1,0)+1),MATCH(B$1,[1]characters!$1:$1,0)-MATCH($A$1,[1]characters!$1:$1,0)+1,FALSE)</f>
        <v>凶心者の聖儀 アーサー</v>
      </c>
      <c r="C20" s="59" t="str">
        <f ca="1">VLOOKUP($A20,OFFSET([1]characters!$A$1,0,0,COUNTA([1]characters!$A:$A),MATCH(C$1,[1]characters!$1:$1,0)-MATCH($A$1,[1]characters!$1:$1,0)+1),MATCH(C$1,[1]characters!$1:$1,0)-MATCH($A$1,[1]characters!$1:$1,0)+1,FALSE)</f>
        <v>各属性相性良3・黄・R438</v>
      </c>
      <c r="D20" s="59" t="str">
        <f ca="1">VLOOKUP($A20,OFFSET([1]characters!$A$1,0,0,COUNTA([1]characters!$A:$A),MATCH(D$1,[1]characters!$1:$1,0)-MATCH($A$1,[1]characters!$1:$1,0)+1),MATCH(D$1,[1]characters!$1:$1,0)-MATCH($A$1,[1]characters!$1:$1,0)+1,FALSE)</f>
        <v>執行者</v>
      </c>
      <c r="E20" s="59" t="str">
        <f ca="1">VLOOKUP($A20,OFFSET([1]characters!$A$1,0,0,COUNTA([1]characters!$A:$A),MATCH(E$1,[1]characters!$1:$1,0)-MATCH($A$1,[1]characters!$1:$1,0)+1),MATCH(E$1,[1]characters!$1:$1,0)-MATCH($A$1,[1]characters!$1:$1,0)+1,FALSE)</f>
        <v>格好いい</v>
      </c>
      <c r="F20" s="59" t="str">
        <f ca="1">VLOOKUP($A20,OFFSET([1]characters!$A$1,0,0,COUNTA([1]characters!$A:$A),MATCH(F$1,[1]characters!$1:$1,0)-MATCH($A$1,[1]characters!$1:$1,0)+1),MATCH(F$1,[1]characters!$1:$1,0)-MATCH($A$1,[1]characters!$1:$1,0)+1,FALSE)</f>
        <v>男性</v>
      </c>
      <c r="G20" s="59">
        <f ca="1">VLOOKUP($A20,OFFSET([1]characters!$A$1,0,0,COUNTA([1]characters!$A:$A),MATCH(G$1,[1]characters!$1:$1,0)-MATCH($A$1,[1]characters!$1:$1,0)+1),MATCH(G$1,[1]characters!$1:$1,0)-MATCH($A$1,[1]characters!$1:$1,0)+1,FALSE)</f>
        <v>6</v>
      </c>
      <c r="H20" s="59" t="str">
        <f ca="1">VLOOKUP($A20,OFFSET([1]characters!$A$1,0,0,COUNTA([1]characters!$A:$A),MATCH(H$1,[1]characters!$1:$1,0)-MATCH($A$1,[1]characters!$1:$1,0)+1),MATCH(H$1,[1]characters!$1:$1,0)-MATCH($A$1,[1]characters!$1:$1,0)+1,FALSE)</f>
        <v>DropWizS</v>
      </c>
      <c r="I20" s="59" t="str">
        <f ca="1">VLOOKUP($A20,OFFSET([1]characters!$A$1,0,0,COUNTA([1]characters!$A:$A),MATCH(I$1,[1]characters!$1:$1,0)-MATCH($A$1,[1]characters!$1:$1,0)+1),MATCH(I$1,[1]characters!$1:$1,0)-MATCH($A$1,[1]characters!$1:$1,0)+1,FALSE)</f>
        <v>red</v>
      </c>
      <c r="J20" s="11">
        <f ca="1">VLOOKUP(I20,[1]属性!$A:$E,2,FALSE)</f>
        <v>1</v>
      </c>
      <c r="K20" s="11">
        <f ca="1">VLOOKUP(I20,[1]属性!$A:$E,3,FALSE)</f>
        <v>1.02</v>
      </c>
      <c r="L20" s="11">
        <f ca="1">VLOOKUP(I20,[1]属性!$A:$E,4,FALSE)</f>
        <v>1</v>
      </c>
      <c r="M20" s="11">
        <f ca="1">VLOOKUP(I20,[1]属性!$A:$E,5,FALSE)</f>
        <v>0.98</v>
      </c>
      <c r="N20" s="11">
        <f ca="1">INDEX(コスト!$A$1:$I$20,MATCH(H20,コスト!$A$1:$A$20,FALSE),MATCH(G20,コスト!$A$1:$I$1,FALSE))</f>
        <v>45</v>
      </c>
      <c r="O20" s="11">
        <f ca="1">INDEX(レベル!$A$1:$I$21,MATCH(H20,レベル!$A$1:$A$21,FALSE),MATCH(G20,レベル!$A$1:$I$1,FALSE))</f>
        <v>99</v>
      </c>
      <c r="P20" s="49">
        <f t="shared" ca="1" si="0"/>
        <v>99</v>
      </c>
      <c r="Q20" s="59" t="str">
        <f ca="1">VLOOKUP($A20,OFFSET([1]characters!$A$1,0,0,COUNTA([1]characters!$A:$A),MATCH(Q$1,[1]characters!$1:$1,0)-MATCH($A$1,[1]characters!$1:$1,0)+1),MATCH(Q$1,[1]characters!$1:$1,0)-MATCH($A$1,[1]characters!$1:$1,0)+1,FALSE)</f>
        <v>balance</v>
      </c>
      <c r="R20" s="5" t="str">
        <f ca="1">VLOOKUP(Q20,[1]character_type_i18n!$A:$H,3,FALSE)</f>
        <v>バランスタイプ</v>
      </c>
      <c r="S20" s="11">
        <f ca="1">VLOOKUP(Q20,[1]character_type_i18n!$A:$H,4,FALSE)</f>
        <v>1</v>
      </c>
      <c r="T20" s="11">
        <f ca="1">VLOOKUP(Q20,[1]character_type_i18n!$A:$H,5,FALSE)</f>
        <v>1</v>
      </c>
      <c r="U20" s="11">
        <f ca="1">VLOOKUP(Q20,[1]character_type_i18n!$A:$H,6,FALSE)</f>
        <v>1</v>
      </c>
      <c r="V20" s="11">
        <f ca="1">VLOOKUP(Q20,[1]character_type_i18n!$A:$H,7,FALSE)</f>
        <v>1</v>
      </c>
      <c r="W20" s="59" t="str">
        <f ca="1">VLOOKUP($A20,OFFSET([1]characters!$A$1,0,0,COUNTA([1]characters!$A:$A),MATCH(W$1,[1]characters!$1:$1,0)-MATCH($A$1,[1]characters!$1:$1,0)+1),MATCH(W$1,[1]characters!$1:$1,0)-MATCH($A$1,[1]characters!$1:$1,0)+1,FALSE)</f>
        <v>human</v>
      </c>
      <c r="X20" s="5" t="str">
        <f ca="1">VLOOKUP(W20,[1]character_tribe_i18n!$A:$H,3,FALSE)</f>
        <v>ヒューマン</v>
      </c>
      <c r="Y20" s="59" t="str">
        <f ca="1">VLOOKUP($A20,OFFSET([1]characters!$A$1,0,0,COUNTA([1]characters!$A:$A),MATCH(Y$1,[1]characters!$1:$1,0)-MATCH($A$1,[1]characters!$1:$1,0)+1),MATCH(Y$1,[1]characters!$1:$1,0)-MATCH($A$1,[1]characters!$1:$1,0)+1,FALSE)</f>
        <v>none</v>
      </c>
      <c r="Z20" s="5" t="str">
        <f ca="1">VLOOKUP(Y20,[1]character_tribe_i18n!$A:$H,3,FALSE)</f>
        <v>種族なし</v>
      </c>
      <c r="AA20" s="11">
        <f ca="1">VLOOKUP(W20,[1]character_tribe_i18n!$A:$H,4,FALSE)</f>
        <v>0.94</v>
      </c>
      <c r="AB20" s="11">
        <f ca="1">VLOOKUP(W20,[1]character_tribe_i18n!$A:$H,5,FALSE)</f>
        <v>0.99</v>
      </c>
      <c r="AC20" s="11">
        <f ca="1">VLOOKUP(W20,[1]character_tribe_i18n!$A:$H,6,FALSE)</f>
        <v>1</v>
      </c>
      <c r="AD20" s="11">
        <f ca="1">VLOOKUP(W20,[1]character_tribe_i18n!$A:$H,7,FALSE)</f>
        <v>1.07</v>
      </c>
      <c r="AE20" s="9" t="s">
        <v>189</v>
      </c>
      <c r="AF20" s="64" t="str">
        <f ca="1">IF(AE20="NULL","",VLOOKUP($AE20,OFFSET([1]characters!$A$1,0,0,COUNTA([1]characters!$A:$A),MATCH(AF$1,[1]characters!$1:$1,0)-MATCH($A$1,[1]characters!$1:$1,0)+1),MATCH(AF$1,[1]characters!$1:$1,0)-MATCH($A$1,[1]characters!$1:$1,0)+1,FALSE))</f>
        <v/>
      </c>
      <c r="AG20" s="5">
        <f t="shared" ca="1" si="15"/>
        <v>820</v>
      </c>
      <c r="AH20" s="64" t="str">
        <f ca="1">VLOOKUP($AG20,OFFSET([1]characters!$A$1,0,0,COUNTA([1]characters!$A:$A),MATCH(AH$1,[1]characters!$1:$1,0)-MATCH($A$1,[1]characters!$1:$1,0)+1),MATCH(AH$1,[1]characters!$1:$1,0)-MATCH($A$1,[1]characters!$1:$1,0)+1,FALSE)</f>
        <v>凶心者の聖儀 アーサー</v>
      </c>
      <c r="AI20" s="11" t="str">
        <f>IF(AE20="NULL","NULL",VLOOKUP(G20,ビット!$A$2:$B$7,2))</f>
        <v>NULL</v>
      </c>
      <c r="AJ20" s="6">
        <v>2</v>
      </c>
      <c r="AK20" s="7" t="str">
        <f t="shared" si="16"/>
        <v>普通</v>
      </c>
      <c r="AL20" s="11" t="str">
        <f ca="1">INDEX(経験値!$A$1:$I$20,MATCH(H20,経験値!$A$1:$A$20,FALSE),MATCH(G20,経験値!$A$1:$I$1,FALSE))</f>
        <v>required_exp_250</v>
      </c>
      <c r="AM20" s="8">
        <f ca="1">VLOOKUP(G20,経験値!$A$27:$B$31,2)</f>
        <v>6400</v>
      </c>
      <c r="AN20" s="17">
        <f ca="1">VLOOKUP(G20,ビット!$G$2:$H$7,2)</f>
        <v>900</v>
      </c>
      <c r="AO20" s="46"/>
      <c r="AP20" s="69">
        <f t="shared" si="17"/>
        <v>820</v>
      </c>
      <c r="AQ20" s="59" t="e">
        <f ca="1">VLOOKUP($AP20,OFFSET(unit_skills!$A$1,0,0,COUNTA(unit_skills!$A:$A),MATCH(AQ$1,unit_skills!$1:$1,0)-MATCH($AP$1,unit_skills!$1:$1,0)+1),MATCH(AQ$1,unit_skills!$1:$1,0)-MATCH($AP$1,unit_skills!$1:$1,0)+1,FALSE)</f>
        <v>#N/A</v>
      </c>
      <c r="AR20" s="59" t="e">
        <f ca="1">VLOOKUP($AP20,OFFSET(unit_skills!$A$1,0,0,COUNTA(unit_skills!$A:$A),MATCH(AR$1,unit_skills!$1:$1,0)-MATCH($AP$1,unit_skills!$1:$1,0)+1),MATCH(AR$1,unit_skills!$1:$1,0)-MATCH($AP$1,unit_skills!$1:$1,0)+1,FALSE)</f>
        <v>#N/A</v>
      </c>
      <c r="AS20" s="59" t="e">
        <f ca="1">VLOOKUP($AP20,OFFSET(unit_skills!$A$1,0,0,COUNTA(unit_skills!$A:$A),MATCH(AS$1,unit_skills!$1:$1,0)-MATCH($AP$1,unit_skills!$1:$1,0)+1),MATCH(AS$1,unit_skills!$1:$1,0)-MATCH($AP$1,unit_skills!$1:$1,0)+1,FALSE)</f>
        <v>#N/A</v>
      </c>
      <c r="AT20" s="42">
        <f t="shared" si="18"/>
        <v>820</v>
      </c>
      <c r="AU20" s="59" t="e">
        <f ca="1">VLOOKUP($AT20,OFFSET(crash_skills!$A$1,0,0,COUNTA(crash_skills!$A:$A),MATCH(AU$1,crash_skills!$1:$1,0)-MATCH($AT$1,crash_skills!$1:$1,0)+1),MATCH(AU$1,crash_skills!$1:$1,0)-MATCH($AT$1,crash_skills!$1:$1,0)+1,FALSE)</f>
        <v>#N/A</v>
      </c>
      <c r="AV20" s="59" t="e">
        <f ca="1">VLOOKUP($AT20,OFFSET(crash_skills!$A$1,0,0,COUNTA(crash_skills!$A:$A),MATCH(AV$1,crash_skills!$1:$1,0)-MATCH($AT$1,crash_skills!$1:$1,0)+1),MATCH(AV$1,crash_skills!$1:$1,0)-MATCH($AT$1,crash_skills!$1:$1,0)+1,FALSE)</f>
        <v>#N/A</v>
      </c>
      <c r="AW20" s="59" t="e">
        <f ca="1">VLOOKUP($AT20,OFFSET(crash_skills!$A$1,0,0,COUNTA(crash_skills!$A:$A),MATCH(AW$1,crash_skills!$1:$1,0)-MATCH($AT$1,crash_skills!$1:$1,0)+1),MATCH(AW$1,crash_skills!$1:$1,0)-MATCH($AT$1,crash_skills!$1:$1,0)+1,FALSE)</f>
        <v>#N/A</v>
      </c>
      <c r="AX20" s="60">
        <f ca="1">VLOOKUP($A20,OFFSET([1]characters!$A$1,0,0,COUNTA([1]characters!$A:$A),MATCH(AX$1,[1]characters!$1:$1,0)-MATCH($A$1,[1]characters!$1:$1,0)+1),MATCH(AX$1,[1]characters!$1:$1,0)-MATCH($A$1,[1]characters!$1:$1,0)+1,FALSE)</f>
        <v>3</v>
      </c>
      <c r="AY20" s="70">
        <v>1.08</v>
      </c>
      <c r="AZ20" s="70">
        <v>1.03</v>
      </c>
      <c r="BA20" s="70">
        <v>0</v>
      </c>
      <c r="BB20" s="70">
        <v>0.93799999999999994</v>
      </c>
      <c r="BC20" s="11">
        <f ca="1">INDEX('RC6SV'!$A$1:$G$20,MATCH(H20,'RC6SV'!$A$1:$A$20,FALSE),MATCH(G20,'RC6SV'!$A$1:$G$1,FALSE))</f>
        <v>12000</v>
      </c>
      <c r="BD20" s="49">
        <f t="shared" ca="1" si="19"/>
        <v>12000</v>
      </c>
      <c r="BE20" s="11">
        <f t="shared" ca="1" si="5"/>
        <v>0</v>
      </c>
      <c r="BF20" s="11">
        <f t="shared" ca="1" si="6"/>
        <v>1</v>
      </c>
      <c r="BG20" s="16">
        <f ca="1">IF($BE20&lt;=0,ROUND(BK20*0.5,0), ROUND($BE20*S20*AA20*J20*AY20*0.8*[1]ステータス!$B$2,0))</f>
        <v>3046</v>
      </c>
      <c r="BH20" s="16">
        <f ca="1">IF($BE20&lt;=0,ROUND(BL20*0.5,0), ROUND($BE20*T20*AB20*K20*AZ20*0.8*[1]ステータス!$C$2,0))</f>
        <v>1872</v>
      </c>
      <c r="BI20" s="16">
        <f ca="1">IF($BE20&lt;=0,ROUND(BM20*0.5,0), ROUND($BE20*U20*AC20*L20*BA20*0.8*[1]ステータス!$D$2,0))</f>
        <v>0</v>
      </c>
      <c r="BJ20" s="16">
        <f ca="1">IF($BE20&lt;=0,ROUND(BN20*0.5,0), ROUND($BE20*V20*AD20*M20*BB20*0.8*[1]ステータス!$E$2,0))</f>
        <v>1476</v>
      </c>
      <c r="BK20" s="11">
        <f ca="1">ROUND(BD20*S20*AA20*J20*AY20*[1]ステータス!$B$2,0)</f>
        <v>6091</v>
      </c>
      <c r="BL20" s="11">
        <f ca="1">ROUND(BD20*T20*AB20*K20*AZ20*[1]ステータス!$C$2,0)</f>
        <v>3744</v>
      </c>
      <c r="BM20" s="11">
        <f ca="1">ROUND(BD20*U20*AC20*L20*BA20*[1]ステータス!$D$2,0)</f>
        <v>0</v>
      </c>
      <c r="BN20" s="11">
        <f ca="1">ROUND(BD20*V20*AD20*M20*BB20*[1]ステータス!$E$2,0)</f>
        <v>2951</v>
      </c>
      <c r="BO20" s="10">
        <v>0</v>
      </c>
      <c r="BP20" s="10">
        <v>1</v>
      </c>
      <c r="BQ20" s="39" t="s">
        <v>53</v>
      </c>
    </row>
    <row r="21" spans="1:69" ht="21" customHeight="1" x14ac:dyDescent="0.15">
      <c r="A21" s="12">
        <v>821</v>
      </c>
      <c r="B21" s="59" t="str">
        <f ca="1">VLOOKUP($A21,OFFSET([1]characters!$A$1,0,0,COUNTA([1]characters!$A:$A),MATCH(B$1,[1]characters!$1:$1,0)-MATCH($A$1,[1]characters!$1:$1,0)+1),MATCH(B$1,[1]characters!$1:$1,0)-MATCH($A$1,[1]characters!$1:$1,0)+1,FALSE)</f>
        <v>急蹴の硬機脚 ブートレグ・ペロー</v>
      </c>
      <c r="C21" s="59" t="str">
        <f ca="1">VLOOKUP($A21,OFFSET([1]characters!$A$1,0,0,COUNTA([1]characters!$A:$A),MATCH(C$1,[1]characters!$1:$1,0)-MATCH($A$1,[1]characters!$1:$1,0)+1),MATCH(C$1,[1]characters!$1:$1,0)-MATCH($A$1,[1]characters!$1:$1,0)+1,FALSE)</f>
        <v>各属性相性良3・黄・R439</v>
      </c>
      <c r="D21" s="59" t="str">
        <f ca="1">VLOOKUP($A21,OFFSET([1]characters!$A$1,0,0,COUNTA([1]characters!$A:$A),MATCH(D$1,[1]characters!$1:$1,0)-MATCH($A$1,[1]characters!$1:$1,0)+1),MATCH(D$1,[1]characters!$1:$1,0)-MATCH($A$1,[1]characters!$1:$1,0)+1,FALSE)</f>
        <v>執行者</v>
      </c>
      <c r="E21" s="59" t="str">
        <f ca="1">VLOOKUP($A21,OFFSET([1]characters!$A$1,0,0,COUNTA([1]characters!$A:$A),MATCH(E$1,[1]characters!$1:$1,0)-MATCH($A$1,[1]characters!$1:$1,0)+1),MATCH(E$1,[1]characters!$1:$1,0)-MATCH($A$1,[1]characters!$1:$1,0)+1,FALSE)</f>
        <v>格好いい</v>
      </c>
      <c r="F21" s="59" t="str">
        <f ca="1">VLOOKUP($A21,OFFSET([1]characters!$A$1,0,0,COUNTA([1]characters!$A:$A),MATCH(F$1,[1]characters!$1:$1,0)-MATCH($A$1,[1]characters!$1:$1,0)+1),MATCH(F$1,[1]characters!$1:$1,0)-MATCH($A$1,[1]characters!$1:$1,0)+1,FALSE)</f>
        <v>男性</v>
      </c>
      <c r="G21" s="59">
        <f ca="1">VLOOKUP($A21,OFFSET([1]characters!$A$1,0,0,COUNTA([1]characters!$A:$A),MATCH(G$1,[1]characters!$1:$1,0)-MATCH($A$1,[1]characters!$1:$1,0)+1),MATCH(G$1,[1]characters!$1:$1,0)-MATCH($A$1,[1]characters!$1:$1,0)+1,FALSE)</f>
        <v>6</v>
      </c>
      <c r="H21" s="59" t="str">
        <f ca="1">VLOOKUP($A21,OFFSET([1]characters!$A$1,0,0,COUNTA([1]characters!$A:$A),MATCH(H$1,[1]characters!$1:$1,0)-MATCH($A$1,[1]characters!$1:$1,0)+1),MATCH(H$1,[1]characters!$1:$1,0)-MATCH($A$1,[1]characters!$1:$1,0)+1,FALSE)</f>
        <v>PremiumSS</v>
      </c>
      <c r="I21" s="59" t="str">
        <f ca="1">VLOOKUP($A21,OFFSET([1]characters!$A$1,0,0,COUNTA([1]characters!$A:$A),MATCH(I$1,[1]characters!$1:$1,0)-MATCH($A$1,[1]characters!$1:$1,0)+1),MATCH(I$1,[1]characters!$1:$1,0)-MATCH($A$1,[1]characters!$1:$1,0)+1,FALSE)</f>
        <v>red</v>
      </c>
      <c r="J21" s="11">
        <f ca="1">VLOOKUP(I21,[1]属性!$A:$E,2,FALSE)</f>
        <v>1</v>
      </c>
      <c r="K21" s="11">
        <f ca="1">VLOOKUP(I21,[1]属性!$A:$E,3,FALSE)</f>
        <v>1.02</v>
      </c>
      <c r="L21" s="11">
        <f ca="1">VLOOKUP(I21,[1]属性!$A:$E,4,FALSE)</f>
        <v>1</v>
      </c>
      <c r="M21" s="11">
        <f ca="1">VLOOKUP(I21,[1]属性!$A:$E,5,FALSE)</f>
        <v>0.98</v>
      </c>
      <c r="N21" s="11">
        <f ca="1">INDEX(コスト!$A$1:$I$20,MATCH(H21,コスト!$A$1:$A$20,FALSE),MATCH(G21,コスト!$A$1:$I$1,FALSE))</f>
        <v>50</v>
      </c>
      <c r="O21" s="11">
        <f ca="1">INDEX(レベル!$A$1:$I$21,MATCH(H21,レベル!$A$1:$A$21,FALSE),MATCH(G21,レベル!$A$1:$I$1,FALSE))</f>
        <v>99</v>
      </c>
      <c r="P21" s="49">
        <f t="shared" ca="1" si="0"/>
        <v>99</v>
      </c>
      <c r="Q21" s="59" t="str">
        <f ca="1">VLOOKUP($A21,OFFSET([1]characters!$A$1,0,0,COUNTA([1]characters!$A:$A),MATCH(Q$1,[1]characters!$1:$1,0)-MATCH($A$1,[1]characters!$1:$1,0)+1),MATCH(Q$1,[1]characters!$1:$1,0)-MATCH($A$1,[1]characters!$1:$1,0)+1,FALSE)</f>
        <v>hp</v>
      </c>
      <c r="R21" s="5" t="str">
        <f ca="1">VLOOKUP(Q21,[1]character_type_i18n!$A:$H,3,FALSE)</f>
        <v>体力タイプ</v>
      </c>
      <c r="S21" s="11">
        <f ca="1">VLOOKUP(Q21,[1]character_type_i18n!$A:$H,4,FALSE)</f>
        <v>1.45</v>
      </c>
      <c r="T21" s="11">
        <f ca="1">VLOOKUP(Q21,[1]character_type_i18n!$A:$H,5,FALSE)</f>
        <v>0.85</v>
      </c>
      <c r="U21" s="11">
        <f ca="1">VLOOKUP(Q21,[1]character_type_i18n!$A:$H,6,FALSE)</f>
        <v>1</v>
      </c>
      <c r="V21" s="11">
        <f ca="1">VLOOKUP(Q21,[1]character_type_i18n!$A:$H,7,FALSE)</f>
        <v>0.7</v>
      </c>
      <c r="W21" s="59" t="str">
        <f ca="1">VLOOKUP($A21,OFFSET([1]characters!$A$1,0,0,COUNTA([1]characters!$A:$A),MATCH(W$1,[1]characters!$1:$1,0)-MATCH($A$1,[1]characters!$1:$1,0)+1),MATCH(W$1,[1]characters!$1:$1,0)-MATCH($A$1,[1]characters!$1:$1,0)+1,FALSE)</f>
        <v>animal</v>
      </c>
      <c r="X21" s="5" t="str">
        <f ca="1">VLOOKUP(W21,[1]character_tribe_i18n!$A:$H,3,FALSE)</f>
        <v>アニマル</v>
      </c>
      <c r="Y21" s="59" t="str">
        <f ca="1">VLOOKUP($A21,OFFSET([1]characters!$A$1,0,0,COUNTA([1]characters!$A:$A),MATCH(Y$1,[1]characters!$1:$1,0)-MATCH($A$1,[1]characters!$1:$1,0)+1),MATCH(Y$1,[1]characters!$1:$1,0)-MATCH($A$1,[1]characters!$1:$1,0)+1,FALSE)</f>
        <v>machine</v>
      </c>
      <c r="Z21" s="5" t="str">
        <f ca="1">VLOOKUP(Y21,[1]character_tribe_i18n!$A:$H,3,FALSE)</f>
        <v>マシン</v>
      </c>
      <c r="AA21" s="11">
        <f ca="1">VLOOKUP(W21,[1]character_tribe_i18n!$A:$H,4,FALSE)</f>
        <v>1</v>
      </c>
      <c r="AB21" s="11">
        <f ca="1">VLOOKUP(W21,[1]character_tribe_i18n!$A:$H,5,FALSE)</f>
        <v>1.1000000000000001</v>
      </c>
      <c r="AC21" s="11">
        <f ca="1">VLOOKUP(W21,[1]character_tribe_i18n!$A:$H,6,FALSE)</f>
        <v>1</v>
      </c>
      <c r="AD21" s="11">
        <f ca="1">VLOOKUP(W21,[1]character_tribe_i18n!$A:$H,7,FALSE)</f>
        <v>0.9</v>
      </c>
      <c r="AE21" s="9" t="s">
        <v>189</v>
      </c>
      <c r="AF21" s="64" t="str">
        <f ca="1">IF(AE21="NULL","",VLOOKUP($AE21,OFFSET([1]characters!$A$1,0,0,COUNTA([1]characters!$A:$A),MATCH(AF$1,[1]characters!$1:$1,0)-MATCH($A$1,[1]characters!$1:$1,0)+1),MATCH(AF$1,[1]characters!$1:$1,0)-MATCH($A$1,[1]characters!$1:$1,0)+1,FALSE))</f>
        <v/>
      </c>
      <c r="AG21" s="5">
        <f t="shared" ca="1" si="15"/>
        <v>821</v>
      </c>
      <c r="AH21" s="64" t="str">
        <f ca="1">VLOOKUP($AG21,OFFSET([1]characters!$A$1,0,0,COUNTA([1]characters!$A:$A),MATCH(AH$1,[1]characters!$1:$1,0)-MATCH($A$1,[1]characters!$1:$1,0)+1),MATCH(AH$1,[1]characters!$1:$1,0)-MATCH($A$1,[1]characters!$1:$1,0)+1,FALSE)</f>
        <v>急蹴の硬機脚 ブートレグ・ペロー</v>
      </c>
      <c r="AI21" s="11" t="str">
        <f>IF(AE21="NULL","NULL",VLOOKUP(G21,ビット!$A$2:$B$7,2))</f>
        <v>NULL</v>
      </c>
      <c r="AJ21" s="6">
        <v>2</v>
      </c>
      <c r="AK21" s="7" t="str">
        <f t="shared" si="16"/>
        <v>普通</v>
      </c>
      <c r="AL21" s="11" t="str">
        <f ca="1">INDEX(経験値!$A$1:$I$20,MATCH(H21,経験値!$A$1:$A$20,FALSE),MATCH(G21,経験値!$A$1:$I$1,FALSE))</f>
        <v>required_exp_250</v>
      </c>
      <c r="AM21" s="8">
        <f ca="1">VLOOKUP(G21,経験値!$A$27:$B$31,2)</f>
        <v>6400</v>
      </c>
      <c r="AN21" s="17">
        <f ca="1">VLOOKUP(G21,ビット!$G$2:$H$7,2)</f>
        <v>900</v>
      </c>
      <c r="AO21" s="46"/>
      <c r="AP21" s="69">
        <f t="shared" si="17"/>
        <v>821</v>
      </c>
      <c r="AQ21" s="59" t="e">
        <f ca="1">VLOOKUP($AP21,OFFSET(unit_skills!$A$1,0,0,COUNTA(unit_skills!$A:$A),MATCH(AQ$1,unit_skills!$1:$1,0)-MATCH($AP$1,unit_skills!$1:$1,0)+1),MATCH(AQ$1,unit_skills!$1:$1,0)-MATCH($AP$1,unit_skills!$1:$1,0)+1,FALSE)</f>
        <v>#N/A</v>
      </c>
      <c r="AR21" s="59" t="e">
        <f ca="1">VLOOKUP($AP21,OFFSET(unit_skills!$A$1,0,0,COUNTA(unit_skills!$A:$A),MATCH(AR$1,unit_skills!$1:$1,0)-MATCH($AP$1,unit_skills!$1:$1,0)+1),MATCH(AR$1,unit_skills!$1:$1,0)-MATCH($AP$1,unit_skills!$1:$1,0)+1,FALSE)</f>
        <v>#N/A</v>
      </c>
      <c r="AS21" s="59" t="e">
        <f ca="1">VLOOKUP($AP21,OFFSET(unit_skills!$A$1,0,0,COUNTA(unit_skills!$A:$A),MATCH(AS$1,unit_skills!$1:$1,0)-MATCH($AP$1,unit_skills!$1:$1,0)+1),MATCH(AS$1,unit_skills!$1:$1,0)-MATCH($AP$1,unit_skills!$1:$1,0)+1,FALSE)</f>
        <v>#N/A</v>
      </c>
      <c r="AT21" s="42">
        <f t="shared" si="18"/>
        <v>821</v>
      </c>
      <c r="AU21" s="59" t="e">
        <f ca="1">VLOOKUP($AT21,OFFSET(crash_skills!$A$1,0,0,COUNTA(crash_skills!$A:$A),MATCH(AU$1,crash_skills!$1:$1,0)-MATCH($AT$1,crash_skills!$1:$1,0)+1),MATCH(AU$1,crash_skills!$1:$1,0)-MATCH($AT$1,crash_skills!$1:$1,0)+1,FALSE)</f>
        <v>#N/A</v>
      </c>
      <c r="AV21" s="59" t="e">
        <f ca="1">VLOOKUP($AT21,OFFSET(crash_skills!$A$1,0,0,COUNTA(crash_skills!$A:$A),MATCH(AV$1,crash_skills!$1:$1,0)-MATCH($AT$1,crash_skills!$1:$1,0)+1),MATCH(AV$1,crash_skills!$1:$1,0)-MATCH($AT$1,crash_skills!$1:$1,0)+1,FALSE)</f>
        <v>#N/A</v>
      </c>
      <c r="AW21" s="59" t="e">
        <f ca="1">VLOOKUP($AT21,OFFSET(crash_skills!$A$1,0,0,COUNTA(crash_skills!$A:$A),MATCH(AW$1,crash_skills!$1:$1,0)-MATCH($AT$1,crash_skills!$1:$1,0)+1),MATCH(AW$1,crash_skills!$1:$1,0)-MATCH($AT$1,crash_skills!$1:$1,0)+1,FALSE)</f>
        <v>#N/A</v>
      </c>
      <c r="AX21" s="60">
        <f ca="1">VLOOKUP($A21,OFFSET([1]characters!$A$1,0,0,COUNTA([1]characters!$A:$A),MATCH(AX$1,[1]characters!$1:$1,0)-MATCH($A$1,[1]characters!$1:$1,0)+1),MATCH(AX$1,[1]characters!$1:$1,0)-MATCH($A$1,[1]characters!$1:$1,0)+1,FALSE)</f>
        <v>3</v>
      </c>
      <c r="AY21" s="70">
        <v>1.08</v>
      </c>
      <c r="AZ21" s="70">
        <v>1.054</v>
      </c>
      <c r="BA21" s="70">
        <v>0</v>
      </c>
      <c r="BB21" s="70">
        <v>0.93799999999999994</v>
      </c>
      <c r="BC21" s="11">
        <f ca="1">INDEX('RC6SV'!$A$1:$G$20,MATCH(H21,'RC6SV'!$A$1:$A$20,FALSE),MATCH(G21,'RC6SV'!$A$1:$G$1,FALSE))</f>
        <v>13000</v>
      </c>
      <c r="BD21" s="49">
        <f t="shared" ca="1" si="19"/>
        <v>13000</v>
      </c>
      <c r="BE21" s="11">
        <f t="shared" ca="1" si="5"/>
        <v>0</v>
      </c>
      <c r="BF21" s="11">
        <f t="shared" ca="1" si="6"/>
        <v>1</v>
      </c>
      <c r="BG21" s="16">
        <f ca="1">IF($BE21&lt;=0,ROUND(BK21*0.5,0), ROUND($BE21*S21*AA21*J21*AY21*0.8*[1]ステータス!$B$2,0))</f>
        <v>5090</v>
      </c>
      <c r="BH21" s="16">
        <f ca="1">IF($BE21&lt;=0,ROUND(BL21*0.5,0), ROUND($BE21*T21*AB21*K21*AZ21*0.8*[1]ステータス!$C$2,0))</f>
        <v>1960</v>
      </c>
      <c r="BI21" s="16">
        <f ca="1">IF($BE21&lt;=0,ROUND(BM21*0.5,0), ROUND($BE21*U21*AC21*L21*BA21*0.8*[1]ステータス!$D$2,0))</f>
        <v>0</v>
      </c>
      <c r="BJ21" s="16">
        <f ca="1">IF($BE21&lt;=0,ROUND(BN21*0.5,0), ROUND($BE21*V21*AD21*M21*BB21*0.8*[1]ステータス!$E$2,0))</f>
        <v>941</v>
      </c>
      <c r="BK21" s="11">
        <f ca="1">ROUND(BD21*S21*AA21*J21*AY21*[1]ステータス!$B$2,0)</f>
        <v>10179</v>
      </c>
      <c r="BL21" s="11">
        <f ca="1">ROUND(BD21*T21*AB21*K21*AZ21*[1]ステータス!$C$2,0)</f>
        <v>3920</v>
      </c>
      <c r="BM21" s="11">
        <f ca="1">ROUND(BD21*U21*AC21*L21*BA21*[1]ステータス!$D$2,0)</f>
        <v>0</v>
      </c>
      <c r="BN21" s="11">
        <f ca="1">ROUND(BD21*V21*AD21*M21*BB21*[1]ステータス!$E$2,0)</f>
        <v>1882</v>
      </c>
      <c r="BO21" s="10">
        <v>0</v>
      </c>
      <c r="BP21" s="10">
        <v>1</v>
      </c>
      <c r="BQ21" s="39" t="s">
        <v>53</v>
      </c>
    </row>
    <row r="22" spans="1:69" ht="21" customHeight="1" x14ac:dyDescent="0.15">
      <c r="A22" s="12">
        <v>822</v>
      </c>
      <c r="B22" s="59" t="str">
        <f ca="1">VLOOKUP($A22,OFFSET([1]characters!$A$1,0,0,COUNTA([1]characters!$A:$A),MATCH(B$1,[1]characters!$1:$1,0)-MATCH($A$1,[1]characters!$1:$1,0)+1),MATCH(B$1,[1]characters!$1:$1,0)-MATCH($A$1,[1]characters!$1:$1,0)+1,FALSE)</f>
        <v>操魂の蒐集家 グリム</v>
      </c>
      <c r="C22" s="59" t="str">
        <f ca="1">VLOOKUP($A22,OFFSET([1]characters!$A$1,0,0,COUNTA([1]characters!$A:$A),MATCH(C$1,[1]characters!$1:$1,0)-MATCH($A$1,[1]characters!$1:$1,0)+1),MATCH(C$1,[1]characters!$1:$1,0)-MATCH($A$1,[1]characters!$1:$1,0)+1,FALSE)</f>
        <v>各属性相性良3・黄・R440</v>
      </c>
      <c r="D22" s="59" t="str">
        <f ca="1">VLOOKUP($A22,OFFSET([1]characters!$A$1,0,0,COUNTA([1]characters!$A:$A),MATCH(D$1,[1]characters!$1:$1,0)-MATCH($A$1,[1]characters!$1:$1,0)+1),MATCH(D$1,[1]characters!$1:$1,0)-MATCH($A$1,[1]characters!$1:$1,0)+1,FALSE)</f>
        <v>執行者</v>
      </c>
      <c r="E22" s="59" t="str">
        <f ca="1">VLOOKUP($A22,OFFSET([1]characters!$A$1,0,0,COUNTA([1]characters!$A:$A),MATCH(E$1,[1]characters!$1:$1,0)-MATCH($A$1,[1]characters!$1:$1,0)+1),MATCH(E$1,[1]characters!$1:$1,0)-MATCH($A$1,[1]characters!$1:$1,0)+1,FALSE)</f>
        <v>格好いい</v>
      </c>
      <c r="F22" s="59" t="str">
        <f ca="1">VLOOKUP($A22,OFFSET([1]characters!$A$1,0,0,COUNTA([1]characters!$A:$A),MATCH(F$1,[1]characters!$1:$1,0)-MATCH($A$1,[1]characters!$1:$1,0)+1),MATCH(F$1,[1]characters!$1:$1,0)-MATCH($A$1,[1]characters!$1:$1,0)+1,FALSE)</f>
        <v>男性</v>
      </c>
      <c r="G22" s="59">
        <f ca="1">VLOOKUP($A22,OFFSET([1]characters!$A$1,0,0,COUNTA([1]characters!$A:$A),MATCH(G$1,[1]characters!$1:$1,0)-MATCH($A$1,[1]characters!$1:$1,0)+1),MATCH(G$1,[1]characters!$1:$1,0)-MATCH($A$1,[1]characters!$1:$1,0)+1,FALSE)</f>
        <v>6</v>
      </c>
      <c r="H22" s="59" t="str">
        <f ca="1">VLOOKUP($A22,OFFSET([1]characters!$A$1,0,0,COUNTA([1]characters!$A:$A),MATCH(H$1,[1]characters!$1:$1,0)-MATCH($A$1,[1]characters!$1:$1,0)+1),MATCH(H$1,[1]characters!$1:$1,0)-MATCH($A$1,[1]characters!$1:$1,0)+1,FALSE)</f>
        <v>DropWizS</v>
      </c>
      <c r="I22" s="59" t="str">
        <f ca="1">VLOOKUP($A22,OFFSET([1]characters!$A$1,0,0,COUNTA([1]characters!$A:$A),MATCH(I$1,[1]characters!$1:$1,0)-MATCH($A$1,[1]characters!$1:$1,0)+1),MATCH(I$1,[1]characters!$1:$1,0)-MATCH($A$1,[1]characters!$1:$1,0)+1,FALSE)</f>
        <v>green</v>
      </c>
      <c r="J22" s="11">
        <f ca="1">VLOOKUP(I22,[1]属性!$A:$E,2,FALSE)</f>
        <v>1.02</v>
      </c>
      <c r="K22" s="11">
        <f ca="1">VLOOKUP(I22,[1]属性!$A:$E,3,FALSE)</f>
        <v>0.98</v>
      </c>
      <c r="L22" s="11">
        <f ca="1">VLOOKUP(I22,[1]属性!$A:$E,4,FALSE)</f>
        <v>1</v>
      </c>
      <c r="M22" s="11">
        <f ca="1">VLOOKUP(I22,[1]属性!$A:$E,5,FALSE)</f>
        <v>1</v>
      </c>
      <c r="N22" s="11">
        <f ca="1">INDEX(コスト!$A$1:$I$20,MATCH(H22,コスト!$A$1:$A$20,FALSE),MATCH(G22,コスト!$A$1:$I$1,FALSE))</f>
        <v>45</v>
      </c>
      <c r="O22" s="11">
        <f ca="1">INDEX(レベル!$A$1:$I$21,MATCH(H22,レベル!$A$1:$A$21,FALSE),MATCH(G22,レベル!$A$1:$I$1,FALSE))</f>
        <v>99</v>
      </c>
      <c r="P22" s="49">
        <f t="shared" ca="1" si="0"/>
        <v>99</v>
      </c>
      <c r="Q22" s="59" t="str">
        <f ca="1">VLOOKUP($A22,OFFSET([1]characters!$A$1,0,0,COUNTA([1]characters!$A:$A),MATCH(Q$1,[1]characters!$1:$1,0)-MATCH($A$1,[1]characters!$1:$1,0)+1),MATCH(Q$1,[1]characters!$1:$1,0)-MATCH($A$1,[1]characters!$1:$1,0)+1,FALSE)</f>
        <v>balance</v>
      </c>
      <c r="R22" s="5" t="str">
        <f ca="1">VLOOKUP(Q22,[1]character_type_i18n!$A:$H,3,FALSE)</f>
        <v>バランスタイプ</v>
      </c>
      <c r="S22" s="11">
        <f ca="1">VLOOKUP(Q22,[1]character_type_i18n!$A:$H,4,FALSE)</f>
        <v>1</v>
      </c>
      <c r="T22" s="11">
        <f ca="1">VLOOKUP(Q22,[1]character_type_i18n!$A:$H,5,FALSE)</f>
        <v>1</v>
      </c>
      <c r="U22" s="11">
        <f ca="1">VLOOKUP(Q22,[1]character_type_i18n!$A:$H,6,FALSE)</f>
        <v>1</v>
      </c>
      <c r="V22" s="11">
        <f ca="1">VLOOKUP(Q22,[1]character_type_i18n!$A:$H,7,FALSE)</f>
        <v>1</v>
      </c>
      <c r="W22" s="59" t="str">
        <f ca="1">VLOOKUP($A22,OFFSET([1]characters!$A$1,0,0,COUNTA([1]characters!$A:$A),MATCH(W$1,[1]characters!$1:$1,0)-MATCH($A$1,[1]characters!$1:$1,0)+1),MATCH(W$1,[1]characters!$1:$1,0)-MATCH($A$1,[1]characters!$1:$1,0)+1,FALSE)</f>
        <v>human</v>
      </c>
      <c r="X22" s="5" t="str">
        <f ca="1">VLOOKUP(W22,[1]character_tribe_i18n!$A:$H,3,FALSE)</f>
        <v>ヒューマン</v>
      </c>
      <c r="Y22" s="59" t="str">
        <f ca="1">VLOOKUP($A22,OFFSET([1]characters!$A$1,0,0,COUNTA([1]characters!$A:$A),MATCH(Y$1,[1]characters!$1:$1,0)-MATCH($A$1,[1]characters!$1:$1,0)+1),MATCH(Y$1,[1]characters!$1:$1,0)-MATCH($A$1,[1]characters!$1:$1,0)+1,FALSE)</f>
        <v>unknown</v>
      </c>
      <c r="Z22" s="5" t="str">
        <f ca="1">VLOOKUP(Y22,[1]character_tribe_i18n!$A:$H,3,FALSE)</f>
        <v>Unknown</v>
      </c>
      <c r="AA22" s="11">
        <f ca="1">VLOOKUP(W22,[1]character_tribe_i18n!$A:$H,4,FALSE)</f>
        <v>0.94</v>
      </c>
      <c r="AB22" s="11">
        <f ca="1">VLOOKUP(W22,[1]character_tribe_i18n!$A:$H,5,FALSE)</f>
        <v>0.99</v>
      </c>
      <c r="AC22" s="11">
        <f ca="1">VLOOKUP(W22,[1]character_tribe_i18n!$A:$H,6,FALSE)</f>
        <v>1</v>
      </c>
      <c r="AD22" s="11">
        <f ca="1">VLOOKUP(W22,[1]character_tribe_i18n!$A:$H,7,FALSE)</f>
        <v>1.07</v>
      </c>
      <c r="AE22" s="9" t="s">
        <v>189</v>
      </c>
      <c r="AF22" s="64" t="str">
        <f ca="1">IF(AE22="NULL","",VLOOKUP($AE22,OFFSET([1]characters!$A$1,0,0,COUNTA([1]characters!$A:$A),MATCH(AF$1,[1]characters!$1:$1,0)-MATCH($A$1,[1]characters!$1:$1,0)+1),MATCH(AF$1,[1]characters!$1:$1,0)-MATCH($A$1,[1]characters!$1:$1,0)+1,FALSE))</f>
        <v/>
      </c>
      <c r="AG22" s="5">
        <f t="shared" ca="1" si="15"/>
        <v>822</v>
      </c>
      <c r="AH22" s="64" t="str">
        <f ca="1">VLOOKUP($AG22,OFFSET([1]characters!$A$1,0,0,COUNTA([1]characters!$A:$A),MATCH(AH$1,[1]characters!$1:$1,0)-MATCH($A$1,[1]characters!$1:$1,0)+1),MATCH(AH$1,[1]characters!$1:$1,0)-MATCH($A$1,[1]characters!$1:$1,0)+1,FALSE)</f>
        <v>操魂の蒐集家 グリム</v>
      </c>
      <c r="AI22" s="11" t="str">
        <f>IF(AE22="NULL","NULL",VLOOKUP(G22,ビット!$A$2:$B$7,2))</f>
        <v>NULL</v>
      </c>
      <c r="AJ22" s="6">
        <v>2</v>
      </c>
      <c r="AK22" s="7" t="str">
        <f t="shared" si="16"/>
        <v>普通</v>
      </c>
      <c r="AL22" s="11" t="str">
        <f ca="1">INDEX(経験値!$A$1:$I$20,MATCH(H22,経験値!$A$1:$A$20,FALSE),MATCH(G22,経験値!$A$1:$I$1,FALSE))</f>
        <v>required_exp_250</v>
      </c>
      <c r="AM22" s="8">
        <f ca="1">VLOOKUP(G22,経験値!$A$27:$B$31,2)</f>
        <v>6400</v>
      </c>
      <c r="AN22" s="17">
        <f ca="1">VLOOKUP(G22,ビット!$G$2:$H$7,2)</f>
        <v>900</v>
      </c>
      <c r="AO22" s="46"/>
      <c r="AP22" s="69">
        <f t="shared" si="17"/>
        <v>822</v>
      </c>
      <c r="AQ22" s="59" t="e">
        <f ca="1">VLOOKUP($AP22,OFFSET(unit_skills!$A$1,0,0,COUNTA(unit_skills!$A:$A),MATCH(AQ$1,unit_skills!$1:$1,0)-MATCH($AP$1,unit_skills!$1:$1,0)+1),MATCH(AQ$1,unit_skills!$1:$1,0)-MATCH($AP$1,unit_skills!$1:$1,0)+1,FALSE)</f>
        <v>#N/A</v>
      </c>
      <c r="AR22" s="59" t="e">
        <f ca="1">VLOOKUP($AP22,OFFSET(unit_skills!$A$1,0,0,COUNTA(unit_skills!$A:$A),MATCH(AR$1,unit_skills!$1:$1,0)-MATCH($AP$1,unit_skills!$1:$1,0)+1),MATCH(AR$1,unit_skills!$1:$1,0)-MATCH($AP$1,unit_skills!$1:$1,0)+1,FALSE)</f>
        <v>#N/A</v>
      </c>
      <c r="AS22" s="59" t="e">
        <f ca="1">VLOOKUP($AP22,OFFSET(unit_skills!$A$1,0,0,COUNTA(unit_skills!$A:$A),MATCH(AS$1,unit_skills!$1:$1,0)-MATCH($AP$1,unit_skills!$1:$1,0)+1),MATCH(AS$1,unit_skills!$1:$1,0)-MATCH($AP$1,unit_skills!$1:$1,0)+1,FALSE)</f>
        <v>#N/A</v>
      </c>
      <c r="AT22" s="42">
        <f t="shared" si="18"/>
        <v>822</v>
      </c>
      <c r="AU22" s="59" t="e">
        <f ca="1">VLOOKUP($AT22,OFFSET(crash_skills!$A$1,0,0,COUNTA(crash_skills!$A:$A),MATCH(AU$1,crash_skills!$1:$1,0)-MATCH($AT$1,crash_skills!$1:$1,0)+1),MATCH(AU$1,crash_skills!$1:$1,0)-MATCH($AT$1,crash_skills!$1:$1,0)+1,FALSE)</f>
        <v>#N/A</v>
      </c>
      <c r="AV22" s="59" t="e">
        <f ca="1">VLOOKUP($AT22,OFFSET(crash_skills!$A$1,0,0,COUNTA(crash_skills!$A:$A),MATCH(AV$1,crash_skills!$1:$1,0)-MATCH($AT$1,crash_skills!$1:$1,0)+1),MATCH(AV$1,crash_skills!$1:$1,0)-MATCH($AT$1,crash_skills!$1:$1,0)+1,FALSE)</f>
        <v>#N/A</v>
      </c>
      <c r="AW22" s="59" t="e">
        <f ca="1">VLOOKUP($AT22,OFFSET(crash_skills!$A$1,0,0,COUNTA(crash_skills!$A:$A),MATCH(AW$1,crash_skills!$1:$1,0)-MATCH($AT$1,crash_skills!$1:$1,0)+1),MATCH(AW$1,crash_skills!$1:$1,0)-MATCH($AT$1,crash_skills!$1:$1,0)+1,FALSE)</f>
        <v>#N/A</v>
      </c>
      <c r="AX22" s="60">
        <f ca="1">VLOOKUP($A22,OFFSET([1]characters!$A$1,0,0,COUNTA([1]characters!$A:$A),MATCH(AX$1,[1]characters!$1:$1,0)-MATCH($A$1,[1]characters!$1:$1,0)+1),MATCH(AX$1,[1]characters!$1:$1,0)-MATCH($A$1,[1]characters!$1:$1,0)+1,FALSE)</f>
        <v>3</v>
      </c>
      <c r="AY22" s="70">
        <v>1.08</v>
      </c>
      <c r="AZ22" s="70">
        <v>1.03</v>
      </c>
      <c r="BA22" s="70">
        <v>0</v>
      </c>
      <c r="BB22" s="70">
        <v>0.93799999999999994</v>
      </c>
      <c r="BC22" s="11">
        <f ca="1">INDEX('RC6SV'!$A$1:$G$20,MATCH(H22,'RC6SV'!$A$1:$A$20,FALSE),MATCH(G22,'RC6SV'!$A$1:$G$1,FALSE))</f>
        <v>12000</v>
      </c>
      <c r="BD22" s="49">
        <f t="shared" ca="1" si="19"/>
        <v>12000</v>
      </c>
      <c r="BE22" s="11">
        <f t="shared" ca="1" si="5"/>
        <v>0</v>
      </c>
      <c r="BF22" s="11">
        <f t="shared" ca="1" si="6"/>
        <v>1</v>
      </c>
      <c r="BG22" s="16">
        <f ca="1">IF($BE22&lt;=0,ROUND(BK22*0.5,0), ROUND($BE22*S22*AA22*J22*AY22*0.8*[1]ステータス!$B$2,0))</f>
        <v>3107</v>
      </c>
      <c r="BH22" s="16">
        <f ca="1">IF($BE22&lt;=0,ROUND(BL22*0.5,0), ROUND($BE22*T22*AB22*K22*AZ22*0.8*[1]ステータス!$C$2,0))</f>
        <v>1799</v>
      </c>
      <c r="BI22" s="16">
        <f ca="1">IF($BE22&lt;=0,ROUND(BM22*0.5,0), ROUND($BE22*U22*AC22*L22*BA22*0.8*[1]ステータス!$D$2,0))</f>
        <v>0</v>
      </c>
      <c r="BJ22" s="16">
        <f ca="1">IF($BE22&lt;=0,ROUND(BN22*0.5,0), ROUND($BE22*V22*AD22*M22*BB22*0.8*[1]ステータス!$E$2,0))</f>
        <v>1506</v>
      </c>
      <c r="BK22" s="11">
        <f ca="1">ROUND(BD22*S22*AA22*J22*AY22*[1]ステータス!$B$2,0)</f>
        <v>6213</v>
      </c>
      <c r="BL22" s="11">
        <f ca="1">ROUND(BD22*T22*AB22*K22*AZ22*[1]ステータス!$C$2,0)</f>
        <v>3598</v>
      </c>
      <c r="BM22" s="11">
        <f ca="1">ROUND(BD22*U22*AC22*L22*BA22*[1]ステータス!$D$2,0)</f>
        <v>0</v>
      </c>
      <c r="BN22" s="11">
        <f ca="1">ROUND(BD22*V22*AD22*M22*BB22*[1]ステータス!$E$2,0)</f>
        <v>3011</v>
      </c>
      <c r="BO22" s="10">
        <v>0</v>
      </c>
      <c r="BP22" s="10">
        <v>1</v>
      </c>
      <c r="BQ22" s="39" t="s">
        <v>53</v>
      </c>
    </row>
    <row r="23" spans="1:69" ht="21" customHeight="1" x14ac:dyDescent="0.15">
      <c r="A23" s="12">
        <v>823</v>
      </c>
      <c r="B23" s="59" t="str">
        <f ca="1">VLOOKUP($A23,OFFSET([1]characters!$A$1,0,0,COUNTA([1]characters!$A:$A),MATCH(B$1,[1]characters!$1:$1,0)-MATCH($A$1,[1]characters!$1:$1,0)+1),MATCH(B$1,[1]characters!$1:$1,0)-MATCH($A$1,[1]characters!$1:$1,0)+1,FALSE)</f>
        <v>跳鼠の睡奏楽 ハーメルン</v>
      </c>
      <c r="C23" s="59" t="str">
        <f ca="1">VLOOKUP($A23,OFFSET([1]characters!$A$1,0,0,COUNTA([1]characters!$A:$A),MATCH(C$1,[1]characters!$1:$1,0)-MATCH($A$1,[1]characters!$1:$1,0)+1),MATCH(C$1,[1]characters!$1:$1,0)-MATCH($A$1,[1]characters!$1:$1,0)+1,FALSE)</f>
        <v>各属性相性良3・黄・R441</v>
      </c>
      <c r="D23" s="59" t="str">
        <f ca="1">VLOOKUP($A23,OFFSET([1]characters!$A$1,0,0,COUNTA([1]characters!$A:$A),MATCH(D$1,[1]characters!$1:$1,0)-MATCH($A$1,[1]characters!$1:$1,0)+1),MATCH(D$1,[1]characters!$1:$1,0)-MATCH($A$1,[1]characters!$1:$1,0)+1,FALSE)</f>
        <v>執行者</v>
      </c>
      <c r="E23" s="59" t="str">
        <f ca="1">VLOOKUP($A23,OFFSET([1]characters!$A$1,0,0,COUNTA([1]characters!$A:$A),MATCH(E$1,[1]characters!$1:$1,0)-MATCH($A$1,[1]characters!$1:$1,0)+1),MATCH(E$1,[1]characters!$1:$1,0)-MATCH($A$1,[1]characters!$1:$1,0)+1,FALSE)</f>
        <v>格好いい</v>
      </c>
      <c r="F23" s="59" t="str">
        <f ca="1">VLOOKUP($A23,OFFSET([1]characters!$A$1,0,0,COUNTA([1]characters!$A:$A),MATCH(F$1,[1]characters!$1:$1,0)-MATCH($A$1,[1]characters!$1:$1,0)+1),MATCH(F$1,[1]characters!$1:$1,0)-MATCH($A$1,[1]characters!$1:$1,0)+1,FALSE)</f>
        <v>男性</v>
      </c>
      <c r="G23" s="59">
        <f ca="1">VLOOKUP($A23,OFFSET([1]characters!$A$1,0,0,COUNTA([1]characters!$A:$A),MATCH(G$1,[1]characters!$1:$1,0)-MATCH($A$1,[1]characters!$1:$1,0)+1),MATCH(G$1,[1]characters!$1:$1,0)-MATCH($A$1,[1]characters!$1:$1,0)+1,FALSE)</f>
        <v>6</v>
      </c>
      <c r="H23" s="59" t="str">
        <f ca="1">VLOOKUP($A23,OFFSET([1]characters!$A$1,0,0,COUNTA([1]characters!$A:$A),MATCH(H$1,[1]characters!$1:$1,0)-MATCH($A$1,[1]characters!$1:$1,0)+1),MATCH(H$1,[1]characters!$1:$1,0)-MATCH($A$1,[1]characters!$1:$1,0)+1,FALSE)</f>
        <v>PremiumSS</v>
      </c>
      <c r="I23" s="59" t="str">
        <f ca="1">VLOOKUP($A23,OFFSET([1]characters!$A$1,0,0,COUNTA([1]characters!$A:$A),MATCH(I$1,[1]characters!$1:$1,0)-MATCH($A$1,[1]characters!$1:$1,0)+1),MATCH(I$1,[1]characters!$1:$1,0)-MATCH($A$1,[1]characters!$1:$1,0)+1,FALSE)</f>
        <v>green</v>
      </c>
      <c r="J23" s="11">
        <f ca="1">VLOOKUP(I23,[1]属性!$A:$E,2,FALSE)</f>
        <v>1.02</v>
      </c>
      <c r="K23" s="11">
        <f ca="1">VLOOKUP(I23,[1]属性!$A:$E,3,FALSE)</f>
        <v>0.98</v>
      </c>
      <c r="L23" s="11">
        <f ca="1">VLOOKUP(I23,[1]属性!$A:$E,4,FALSE)</f>
        <v>1</v>
      </c>
      <c r="M23" s="11">
        <f ca="1">VLOOKUP(I23,[1]属性!$A:$E,5,FALSE)</f>
        <v>1</v>
      </c>
      <c r="N23" s="11">
        <f ca="1">INDEX(コスト!$A$1:$I$20,MATCH(H23,コスト!$A$1:$A$20,FALSE),MATCH(G23,コスト!$A$1:$I$1,FALSE))</f>
        <v>50</v>
      </c>
      <c r="O23" s="11">
        <f ca="1">INDEX(レベル!$A$1:$I$21,MATCH(H23,レベル!$A$1:$A$21,FALSE),MATCH(G23,レベル!$A$1:$I$1,FALSE))</f>
        <v>99</v>
      </c>
      <c r="P23" s="49">
        <f t="shared" ca="1" si="0"/>
        <v>99</v>
      </c>
      <c r="Q23" s="59" t="str">
        <f ca="1">VLOOKUP($A23,OFFSET([1]characters!$A$1,0,0,COUNTA([1]characters!$A:$A),MATCH(Q$1,[1]characters!$1:$1,0)-MATCH($A$1,[1]characters!$1:$1,0)+1),MATCH(Q$1,[1]characters!$1:$1,0)-MATCH($A$1,[1]characters!$1:$1,0)+1,FALSE)</f>
        <v>technical</v>
      </c>
      <c r="R23" s="5" t="str">
        <f ca="1">VLOOKUP(Q23,[1]character_type_i18n!$A:$H,3,FALSE)</f>
        <v>テクニカルタイプ</v>
      </c>
      <c r="S23" s="11">
        <f ca="1">VLOOKUP(Q23,[1]character_type_i18n!$A:$H,4,FALSE)</f>
        <v>0.9</v>
      </c>
      <c r="T23" s="11">
        <f ca="1">VLOOKUP(Q23,[1]character_type_i18n!$A:$H,5,FALSE)</f>
        <v>0.9</v>
      </c>
      <c r="U23" s="11">
        <f ca="1">VLOOKUP(Q23,[1]character_type_i18n!$A:$H,6,FALSE)</f>
        <v>1</v>
      </c>
      <c r="V23" s="11">
        <f ca="1">VLOOKUP(Q23,[1]character_type_i18n!$A:$H,7,FALSE)</f>
        <v>0.9</v>
      </c>
      <c r="W23" s="59" t="str">
        <f ca="1">VLOOKUP($A23,OFFSET([1]characters!$A$1,0,0,COUNTA([1]characters!$A:$A),MATCH(W$1,[1]characters!$1:$1,0)-MATCH($A$1,[1]characters!$1:$1,0)+1),MATCH(W$1,[1]characters!$1:$1,0)-MATCH($A$1,[1]characters!$1:$1,0)+1,FALSE)</f>
        <v>human</v>
      </c>
      <c r="X23" s="5" t="str">
        <f ca="1">VLOOKUP(W23,[1]character_tribe_i18n!$A:$H,3,FALSE)</f>
        <v>ヒューマン</v>
      </c>
      <c r="Y23" s="59" t="str">
        <f ca="1">VLOOKUP($A23,OFFSET([1]characters!$A$1,0,0,COUNTA([1]characters!$A:$A),MATCH(Y$1,[1]characters!$1:$1,0)-MATCH($A$1,[1]characters!$1:$1,0)+1),MATCH(Y$1,[1]characters!$1:$1,0)-MATCH($A$1,[1]characters!$1:$1,0)+1,FALSE)</f>
        <v>none</v>
      </c>
      <c r="Z23" s="5" t="str">
        <f ca="1">VLOOKUP(Y23,[1]character_tribe_i18n!$A:$H,3,FALSE)</f>
        <v>種族なし</v>
      </c>
      <c r="AA23" s="11">
        <f ca="1">VLOOKUP(W23,[1]character_tribe_i18n!$A:$H,4,FALSE)</f>
        <v>0.94</v>
      </c>
      <c r="AB23" s="11">
        <f ca="1">VLOOKUP(W23,[1]character_tribe_i18n!$A:$H,5,FALSE)</f>
        <v>0.99</v>
      </c>
      <c r="AC23" s="11">
        <f ca="1">VLOOKUP(W23,[1]character_tribe_i18n!$A:$H,6,FALSE)</f>
        <v>1</v>
      </c>
      <c r="AD23" s="11">
        <f ca="1">VLOOKUP(W23,[1]character_tribe_i18n!$A:$H,7,FALSE)</f>
        <v>1.07</v>
      </c>
      <c r="AE23" s="9" t="s">
        <v>189</v>
      </c>
      <c r="AF23" s="64" t="str">
        <f ca="1">IF(AE23="NULL","",VLOOKUP($AE23,OFFSET([1]characters!$A$1,0,0,COUNTA([1]characters!$A:$A),MATCH(AF$1,[1]characters!$1:$1,0)-MATCH($A$1,[1]characters!$1:$1,0)+1),MATCH(AF$1,[1]characters!$1:$1,0)-MATCH($A$1,[1]characters!$1:$1,0)+1,FALSE))</f>
        <v/>
      </c>
      <c r="AG23" s="5">
        <f t="shared" ca="1" si="15"/>
        <v>823</v>
      </c>
      <c r="AH23" s="64" t="str">
        <f ca="1">VLOOKUP($AG23,OFFSET([1]characters!$A$1,0,0,COUNTA([1]characters!$A:$A),MATCH(AH$1,[1]characters!$1:$1,0)-MATCH($A$1,[1]characters!$1:$1,0)+1),MATCH(AH$1,[1]characters!$1:$1,0)-MATCH($A$1,[1]characters!$1:$1,0)+1,FALSE)</f>
        <v>跳鼠の睡奏楽 ハーメルン</v>
      </c>
      <c r="AI23" s="11" t="str">
        <f>IF(AE23="NULL","NULL",VLOOKUP(G23,ビット!$A$2:$B$7,2))</f>
        <v>NULL</v>
      </c>
      <c r="AJ23" s="6">
        <v>2</v>
      </c>
      <c r="AK23" s="7" t="str">
        <f t="shared" si="16"/>
        <v>普通</v>
      </c>
      <c r="AL23" s="11" t="str">
        <f ca="1">INDEX(経験値!$A$1:$I$20,MATCH(H23,経験値!$A$1:$A$20,FALSE),MATCH(G23,経験値!$A$1:$I$1,FALSE))</f>
        <v>required_exp_250</v>
      </c>
      <c r="AM23" s="8">
        <f ca="1">VLOOKUP(G23,経験値!$A$27:$B$31,2)</f>
        <v>6400</v>
      </c>
      <c r="AN23" s="17">
        <f ca="1">VLOOKUP(G23,ビット!$G$2:$H$7,2)</f>
        <v>900</v>
      </c>
      <c r="AO23" s="46"/>
      <c r="AP23" s="69">
        <f t="shared" si="17"/>
        <v>823</v>
      </c>
      <c r="AQ23" s="59" t="e">
        <f ca="1">VLOOKUP($AP23,OFFSET(unit_skills!$A$1,0,0,COUNTA(unit_skills!$A:$A),MATCH(AQ$1,unit_skills!$1:$1,0)-MATCH($AP$1,unit_skills!$1:$1,0)+1),MATCH(AQ$1,unit_skills!$1:$1,0)-MATCH($AP$1,unit_skills!$1:$1,0)+1,FALSE)</f>
        <v>#N/A</v>
      </c>
      <c r="AR23" s="59" t="e">
        <f ca="1">VLOOKUP($AP23,OFFSET(unit_skills!$A$1,0,0,COUNTA(unit_skills!$A:$A),MATCH(AR$1,unit_skills!$1:$1,0)-MATCH($AP$1,unit_skills!$1:$1,0)+1),MATCH(AR$1,unit_skills!$1:$1,0)-MATCH($AP$1,unit_skills!$1:$1,0)+1,FALSE)</f>
        <v>#N/A</v>
      </c>
      <c r="AS23" s="59" t="e">
        <f ca="1">VLOOKUP($AP23,OFFSET(unit_skills!$A$1,0,0,COUNTA(unit_skills!$A:$A),MATCH(AS$1,unit_skills!$1:$1,0)-MATCH($AP$1,unit_skills!$1:$1,0)+1),MATCH(AS$1,unit_skills!$1:$1,0)-MATCH($AP$1,unit_skills!$1:$1,0)+1,FALSE)</f>
        <v>#N/A</v>
      </c>
      <c r="AT23" s="42">
        <f t="shared" si="18"/>
        <v>823</v>
      </c>
      <c r="AU23" s="59" t="e">
        <f ca="1">VLOOKUP($AT23,OFFSET(crash_skills!$A$1,0,0,COUNTA(crash_skills!$A:$A),MATCH(AU$1,crash_skills!$1:$1,0)-MATCH($AT$1,crash_skills!$1:$1,0)+1),MATCH(AU$1,crash_skills!$1:$1,0)-MATCH($AT$1,crash_skills!$1:$1,0)+1,FALSE)</f>
        <v>#N/A</v>
      </c>
      <c r="AV23" s="59" t="e">
        <f ca="1">VLOOKUP($AT23,OFFSET(crash_skills!$A$1,0,0,COUNTA(crash_skills!$A:$A),MATCH(AV$1,crash_skills!$1:$1,0)-MATCH($AT$1,crash_skills!$1:$1,0)+1),MATCH(AV$1,crash_skills!$1:$1,0)-MATCH($AT$1,crash_skills!$1:$1,0)+1,FALSE)</f>
        <v>#N/A</v>
      </c>
      <c r="AW23" s="59" t="e">
        <f ca="1">VLOOKUP($AT23,OFFSET(crash_skills!$A$1,0,0,COUNTA(crash_skills!$A:$A),MATCH(AW$1,crash_skills!$1:$1,0)-MATCH($AT$1,crash_skills!$1:$1,0)+1),MATCH(AW$1,crash_skills!$1:$1,0)-MATCH($AT$1,crash_skills!$1:$1,0)+1,FALSE)</f>
        <v>#N/A</v>
      </c>
      <c r="AX23" s="60">
        <f ca="1">VLOOKUP($A23,OFFSET([1]characters!$A$1,0,0,COUNTA([1]characters!$A:$A),MATCH(AX$1,[1]characters!$1:$1,0)-MATCH($A$1,[1]characters!$1:$1,0)+1),MATCH(AX$1,[1]characters!$1:$1,0)-MATCH($A$1,[1]characters!$1:$1,0)+1,FALSE)</f>
        <v>3</v>
      </c>
      <c r="AY23" s="70">
        <v>1.1399999999999999</v>
      </c>
      <c r="AZ23" s="70">
        <v>1.2649999999999999</v>
      </c>
      <c r="BA23" s="70">
        <v>0</v>
      </c>
      <c r="BB23" s="70">
        <v>0.93799999999999994</v>
      </c>
      <c r="BC23" s="11">
        <f ca="1">INDEX('RC6SV'!$A$1:$G$20,MATCH(H23,'RC6SV'!$A$1:$A$20,FALSE),MATCH(G23,'RC6SV'!$A$1:$G$1,FALSE))</f>
        <v>13000</v>
      </c>
      <c r="BD23" s="49">
        <f t="shared" ca="1" si="19"/>
        <v>13000</v>
      </c>
      <c r="BE23" s="11">
        <f t="shared" ca="1" si="5"/>
        <v>0</v>
      </c>
      <c r="BF23" s="11">
        <f t="shared" ca="1" si="6"/>
        <v>1</v>
      </c>
      <c r="BG23" s="16">
        <f ca="1">IF($BE23&lt;=0,ROUND(BK23*0.5,0), ROUND($BE23*S23*AA23*J23*AY23*0.8*[1]ステータス!$B$2,0))</f>
        <v>3197</v>
      </c>
      <c r="BH23" s="16">
        <f ca="1">IF($BE23&lt;=0,ROUND(BL23*0.5,0), ROUND($BE23*T23*AB23*K23*AZ23*0.8*[1]ステータス!$C$2,0))</f>
        <v>2154</v>
      </c>
      <c r="BI23" s="16">
        <f ca="1">IF($BE23&lt;=0,ROUND(BM23*0.5,0), ROUND($BE23*U23*AC23*L23*BA23*0.8*[1]ステータス!$D$2,0))</f>
        <v>0</v>
      </c>
      <c r="BJ23" s="16">
        <f ca="1">IF($BE23&lt;=0,ROUND(BN23*0.5,0), ROUND($BE23*V23*AD23*M23*BB23*0.8*[1]ステータス!$E$2,0))</f>
        <v>1468</v>
      </c>
      <c r="BK23" s="11">
        <f ca="1">ROUND(BD23*S23*AA23*J23*AY23*[1]ステータス!$B$2,0)</f>
        <v>6394</v>
      </c>
      <c r="BL23" s="11">
        <f ca="1">ROUND(BD23*T23*AB23*K23*AZ23*[1]ステータス!$C$2,0)</f>
        <v>4308</v>
      </c>
      <c r="BM23" s="11">
        <f ca="1">ROUND(BD23*U23*AC23*L23*BA23*[1]ステータス!$D$2,0)</f>
        <v>0</v>
      </c>
      <c r="BN23" s="11">
        <f ca="1">ROUND(BD23*V23*AD23*M23*BB23*[1]ステータス!$E$2,0)</f>
        <v>2936</v>
      </c>
      <c r="BO23" s="10">
        <v>0</v>
      </c>
      <c r="BP23" s="10">
        <v>1</v>
      </c>
      <c r="BQ23" s="39" t="s">
        <v>53</v>
      </c>
    </row>
  </sheetData>
  <autoFilter ref="A1:BQ1"/>
  <phoneticPr fontId="10"/>
  <conditionalFormatting sqref="BO1">
    <cfRule type="cellIs" dxfId="30" priority="120" stopIfTrue="1" operator="equal">
      <formula>1</formula>
    </cfRule>
  </conditionalFormatting>
  <conditionalFormatting sqref="BQ1">
    <cfRule type="cellIs" dxfId="29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6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2" sqref="A2:XFD2"/>
    </sheetView>
  </sheetViews>
  <sheetFormatPr baseColWidth="12" defaultColWidth="13" defaultRowHeight="21" customHeight="1" outlineLevelCol="1" x14ac:dyDescent="0.15"/>
  <cols>
    <col min="1" max="1" width="16.1640625" style="136" bestFit="1" customWidth="1"/>
    <col min="2" max="2" width="13" style="136" bestFit="1" customWidth="1"/>
    <col min="3" max="3" width="21.83203125" style="136" customWidth="1"/>
    <col min="4" max="4" width="41.83203125" style="136" customWidth="1"/>
    <col min="5" max="5" width="9" style="136" customWidth="1"/>
    <col min="6" max="6" width="7.83203125" style="136" bestFit="1" customWidth="1"/>
    <col min="7" max="7" width="8.1640625" style="136" bestFit="1" customWidth="1"/>
    <col min="8" max="8" width="13.6640625" style="136" bestFit="1" customWidth="1"/>
    <col min="9" max="10" width="51.6640625" style="136" customWidth="1"/>
    <col min="11" max="11" width="10.83203125" style="136" customWidth="1" outlineLevel="1"/>
    <col min="12" max="17" width="9.5" style="135" customWidth="1" outlineLevel="1"/>
    <col min="18" max="18" width="20.33203125" style="136" customWidth="1" outlineLevel="1"/>
    <col min="19" max="19" width="10.33203125" style="136" bestFit="1" customWidth="1"/>
    <col min="20" max="16384" width="13" style="136"/>
  </cols>
  <sheetData>
    <row r="1" spans="1:19" s="135" customFormat="1" ht="21" customHeight="1" x14ac:dyDescent="0.15">
      <c r="A1" s="124" t="s">
        <v>20</v>
      </c>
      <c r="B1" s="125" t="s">
        <v>140</v>
      </c>
      <c r="C1" s="126" t="s">
        <v>46</v>
      </c>
      <c r="D1" s="127" t="s">
        <v>169</v>
      </c>
      <c r="E1" s="127" t="s">
        <v>170</v>
      </c>
      <c r="F1" s="124" t="s">
        <v>152</v>
      </c>
      <c r="G1" s="128" t="s">
        <v>2</v>
      </c>
      <c r="H1" s="128" t="s">
        <v>171</v>
      </c>
      <c r="I1" s="128" t="s">
        <v>172</v>
      </c>
      <c r="J1" s="129" t="s">
        <v>190</v>
      </c>
      <c r="K1" s="128" t="s">
        <v>4</v>
      </c>
      <c r="L1" s="130" t="s">
        <v>173</v>
      </c>
      <c r="M1" s="131" t="s">
        <v>174</v>
      </c>
      <c r="N1" s="131" t="s">
        <v>175</v>
      </c>
      <c r="O1" s="131" t="s">
        <v>176</v>
      </c>
      <c r="P1" s="131" t="s">
        <v>177</v>
      </c>
      <c r="Q1" s="132" t="s">
        <v>178</v>
      </c>
      <c r="R1" s="133" t="s">
        <v>179</v>
      </c>
      <c r="S1" s="134" t="s">
        <v>180</v>
      </c>
    </row>
    <row r="2" spans="1:19" ht="21" customHeight="1" x14ac:dyDescent="0.15">
      <c r="A2" s="12">
        <v>783</v>
      </c>
      <c r="B2" s="138" t="s">
        <v>191</v>
      </c>
      <c r="C2" s="139" t="str">
        <f t="shared" ref="C2:C4" ca="1" si="0">J2&amp;"の技"</f>
        <v>モールスの技</v>
      </c>
      <c r="D2" s="139" t="s">
        <v>261</v>
      </c>
      <c r="E2" s="140">
        <f t="shared" ref="E2:E4" si="1">LEN(D2)</f>
        <v>17</v>
      </c>
      <c r="F2" s="123">
        <v>12</v>
      </c>
      <c r="G2" s="123">
        <v>5</v>
      </c>
      <c r="H2" s="141">
        <f>2001</f>
        <v>2001</v>
      </c>
      <c r="I2" s="141" t="s">
        <v>264</v>
      </c>
      <c r="J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モールス</v>
      </c>
      <c r="K2" s="142">
        <v>1</v>
      </c>
      <c r="L2" s="143"/>
      <c r="M2" s="144"/>
      <c r="N2" s="144"/>
      <c r="O2" s="144"/>
      <c r="P2" s="144"/>
      <c r="Q2" s="144"/>
      <c r="R2" s="139"/>
      <c r="S2" s="145"/>
    </row>
    <row r="3" spans="1:19" ht="21" customHeight="1" x14ac:dyDescent="0.15">
      <c r="A3" s="12">
        <v>784</v>
      </c>
      <c r="B3" s="138" t="s">
        <v>191</v>
      </c>
      <c r="C3" s="139" t="str">
        <f t="shared" ca="1" si="0"/>
        <v>想心の恋鎖 モールスの技</v>
      </c>
      <c r="D3" s="139" t="s">
        <v>262</v>
      </c>
      <c r="E3" s="140">
        <f t="shared" si="1"/>
        <v>44</v>
      </c>
      <c r="F3" s="123">
        <v>12</v>
      </c>
      <c r="G3" s="123">
        <v>5</v>
      </c>
      <c r="H3" s="141">
        <f>2001</f>
        <v>2001</v>
      </c>
      <c r="I3" s="150" t="s">
        <v>266</v>
      </c>
      <c r="J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想心の恋鎖 モールス</v>
      </c>
      <c r="K3" s="142">
        <v>1</v>
      </c>
      <c r="L3" s="143"/>
      <c r="M3" s="144"/>
      <c r="N3" s="144"/>
      <c r="O3" s="144"/>
      <c r="P3" s="144"/>
      <c r="Q3" s="144"/>
      <c r="R3" s="139"/>
      <c r="S3" s="145"/>
    </row>
    <row r="4" spans="1:19" ht="21" customHeight="1" x14ac:dyDescent="0.15">
      <c r="A4" s="12">
        <v>785</v>
      </c>
      <c r="B4" s="138" t="s">
        <v>191</v>
      </c>
      <c r="C4" s="139" t="str">
        <f t="shared" ca="1" si="0"/>
        <v>あけおめダック2017の技</v>
      </c>
      <c r="D4" s="139" t="s">
        <v>263</v>
      </c>
      <c r="E4" s="140">
        <f t="shared" si="1"/>
        <v>17</v>
      </c>
      <c r="F4" s="123">
        <v>12</v>
      </c>
      <c r="G4" s="123">
        <v>5</v>
      </c>
      <c r="H4" s="141">
        <f>2001</f>
        <v>2001</v>
      </c>
      <c r="I4" s="141" t="s">
        <v>265</v>
      </c>
      <c r="J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あけおめダック2017</v>
      </c>
      <c r="K4" s="142">
        <v>1</v>
      </c>
      <c r="L4" s="143"/>
      <c r="M4" s="144"/>
      <c r="N4" s="144"/>
      <c r="O4" s="144"/>
      <c r="P4" s="144"/>
      <c r="Q4" s="144"/>
      <c r="R4" s="139"/>
      <c r="S4" s="145"/>
    </row>
    <row r="5" spans="1:19" ht="21" customHeight="1" x14ac:dyDescent="0.15">
      <c r="A5" s="12">
        <v>805</v>
      </c>
      <c r="B5" s="138" t="s">
        <v>191</v>
      </c>
      <c r="C5" s="184" t="s">
        <v>289</v>
      </c>
      <c r="D5" s="139" t="s">
        <v>329</v>
      </c>
      <c r="E5" s="140">
        <f>LEN(D5)</f>
        <v>38</v>
      </c>
      <c r="F5" s="123">
        <v>14</v>
      </c>
      <c r="G5" s="123">
        <v>5</v>
      </c>
      <c r="H5" s="141">
        <f>2001</f>
        <v>2001</v>
      </c>
      <c r="I5" s="150" t="s">
        <v>334</v>
      </c>
      <c r="J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熱環の大逆聖 ベリアル</v>
      </c>
      <c r="K5" s="142">
        <v>3</v>
      </c>
      <c r="L5" s="143"/>
      <c r="M5" s="144"/>
      <c r="N5" s="144"/>
      <c r="O5" s="144"/>
      <c r="P5" s="144"/>
      <c r="Q5" s="144"/>
      <c r="R5" s="139"/>
      <c r="S5" s="145"/>
    </row>
    <row r="6" spans="1:19" ht="21" customHeight="1" x14ac:dyDescent="0.15">
      <c r="A6" s="12">
        <v>806</v>
      </c>
      <c r="B6" s="138" t="s">
        <v>191</v>
      </c>
      <c r="C6" s="185" t="s">
        <v>290</v>
      </c>
      <c r="D6" s="139" t="s">
        <v>331</v>
      </c>
      <c r="E6" s="140">
        <f t="shared" ref="E6" si="2">LEN(D6)</f>
        <v>21</v>
      </c>
      <c r="F6" s="123">
        <v>10</v>
      </c>
      <c r="G6" s="123">
        <v>5</v>
      </c>
      <c r="H6" s="141">
        <f>2001</f>
        <v>2001</v>
      </c>
      <c r="I6" s="141" t="s">
        <v>233</v>
      </c>
      <c r="J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全解の預智聖 オセ</v>
      </c>
      <c r="K6" s="142">
        <v>3</v>
      </c>
      <c r="L6" s="143"/>
      <c r="M6" s="144"/>
      <c r="N6" s="144"/>
      <c r="O6" s="144"/>
      <c r="P6" s="144"/>
      <c r="Q6" s="144"/>
      <c r="R6" s="139"/>
      <c r="S6" s="145"/>
    </row>
    <row r="7" spans="1:19" ht="21" customHeight="1" x14ac:dyDescent="0.15">
      <c r="A7" s="12">
        <v>807</v>
      </c>
      <c r="B7" s="138" t="s">
        <v>191</v>
      </c>
      <c r="C7" s="184" t="s">
        <v>291</v>
      </c>
      <c r="D7" s="139" t="s">
        <v>330</v>
      </c>
      <c r="E7" s="140">
        <f t="shared" ref="E7:E8" si="3">LEN(D7)</f>
        <v>33</v>
      </c>
      <c r="F7" s="123">
        <v>13</v>
      </c>
      <c r="G7" s="123">
        <v>5</v>
      </c>
      <c r="H7" s="141">
        <f>2001</f>
        <v>2001</v>
      </c>
      <c r="I7" s="141" t="s">
        <v>335</v>
      </c>
      <c r="J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襲愛の真公爵 フォルネウス</v>
      </c>
      <c r="K7" s="142">
        <v>3</v>
      </c>
      <c r="L7" s="143"/>
      <c r="M7" s="144"/>
      <c r="N7" s="144"/>
      <c r="O7" s="144"/>
      <c r="P7" s="144"/>
      <c r="Q7" s="144"/>
      <c r="R7" s="139"/>
      <c r="S7" s="145"/>
    </row>
    <row r="8" spans="1:19" ht="21" customHeight="1" x14ac:dyDescent="0.15">
      <c r="A8" s="12">
        <v>808</v>
      </c>
      <c r="B8" s="138" t="s">
        <v>191</v>
      </c>
      <c r="C8" s="184" t="s">
        <v>292</v>
      </c>
      <c r="D8" s="139" t="s">
        <v>332</v>
      </c>
      <c r="E8" s="140">
        <f t="shared" si="3"/>
        <v>20</v>
      </c>
      <c r="F8" s="123">
        <v>11</v>
      </c>
      <c r="G8" s="123">
        <v>5</v>
      </c>
      <c r="H8" s="141">
        <f>2001</f>
        <v>2001</v>
      </c>
      <c r="I8" s="141" t="s">
        <v>249</v>
      </c>
      <c r="J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天地万物の烈神母 イザナミ</v>
      </c>
      <c r="K8" s="142">
        <v>3</v>
      </c>
      <c r="L8" s="143"/>
      <c r="M8" s="144"/>
      <c r="N8" s="144"/>
      <c r="O8" s="144"/>
      <c r="P8" s="144"/>
      <c r="Q8" s="144"/>
      <c r="R8" s="139"/>
      <c r="S8" s="145"/>
    </row>
    <row r="9" spans="1:19" ht="21" customHeight="1" x14ac:dyDescent="0.15">
      <c r="A9" s="12">
        <v>809</v>
      </c>
      <c r="B9" s="138" t="s">
        <v>191</v>
      </c>
      <c r="C9" s="139" t="str">
        <f t="shared" ref="C9:C13" ca="1" si="4">J9&amp;"の技"</f>
        <v>天然理心の激凛 沖田総司の技</v>
      </c>
      <c r="D9" s="139" t="s">
        <v>285</v>
      </c>
      <c r="E9" s="140">
        <f t="shared" ref="E9:E13" si="5">LEN(D9)</f>
        <v>27</v>
      </c>
      <c r="F9" s="123">
        <v>14</v>
      </c>
      <c r="G9" s="123">
        <v>5</v>
      </c>
      <c r="H9" s="141">
        <f>2001</f>
        <v>2001</v>
      </c>
      <c r="I9" s="179" t="s">
        <v>286</v>
      </c>
      <c r="J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天然理心の激凛 沖田総司</v>
      </c>
      <c r="K9" s="142">
        <v>1</v>
      </c>
      <c r="L9" s="143"/>
      <c r="M9" s="144"/>
      <c r="N9" s="144"/>
      <c r="O9" s="144"/>
      <c r="P9" s="144"/>
      <c r="Q9" s="144"/>
      <c r="R9" s="139"/>
      <c r="S9" s="145"/>
    </row>
    <row r="10" spans="1:19" ht="21" customHeight="1" x14ac:dyDescent="0.15">
      <c r="A10" s="12">
        <v>810</v>
      </c>
      <c r="B10" s="138" t="s">
        <v>191</v>
      </c>
      <c r="C10" s="139" t="str">
        <f t="shared" ca="1" si="4"/>
        <v>君臨大御神 アマテラスの技</v>
      </c>
      <c r="D10" s="139" t="s">
        <v>342</v>
      </c>
      <c r="E10" s="140">
        <f t="shared" si="5"/>
        <v>34</v>
      </c>
      <c r="F10" s="123">
        <v>14</v>
      </c>
      <c r="G10" s="123">
        <v>5</v>
      </c>
      <c r="H10" s="141">
        <f>2001</f>
        <v>2001</v>
      </c>
      <c r="I10" s="150" t="s">
        <v>272</v>
      </c>
      <c r="J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君臨大御神 アマテラス</v>
      </c>
      <c r="K10" s="142">
        <v>1</v>
      </c>
      <c r="L10" s="143"/>
      <c r="M10" s="144"/>
      <c r="N10" s="144"/>
      <c r="O10" s="144"/>
      <c r="P10" s="144"/>
      <c r="Q10" s="144"/>
      <c r="R10" s="139"/>
      <c r="S10" s="145"/>
    </row>
    <row r="11" spans="1:19" ht="21" customHeight="1" x14ac:dyDescent="0.15">
      <c r="A11" s="12">
        <v>811</v>
      </c>
      <c r="B11" s="138" t="s">
        <v>191</v>
      </c>
      <c r="C11" s="139" t="str">
        <f t="shared" ca="1" si="4"/>
        <v>咲き誇る旅航者 親指姫の技</v>
      </c>
      <c r="D11" s="139" t="s">
        <v>338</v>
      </c>
      <c r="E11" s="140">
        <f t="shared" si="5"/>
        <v>21</v>
      </c>
      <c r="F11" s="123">
        <v>14</v>
      </c>
      <c r="G11" s="123">
        <v>5</v>
      </c>
      <c r="H11" s="141">
        <f>2001</f>
        <v>2001</v>
      </c>
      <c r="I11" s="150" t="s">
        <v>271</v>
      </c>
      <c r="J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咲き誇る旅航者 親指姫</v>
      </c>
      <c r="K11" s="142">
        <v>1</v>
      </c>
      <c r="L11" s="143"/>
      <c r="M11" s="144"/>
      <c r="N11" s="144"/>
      <c r="O11" s="144"/>
      <c r="P11" s="144"/>
      <c r="Q11" s="144"/>
      <c r="R11" s="139"/>
      <c r="S11" s="145"/>
    </row>
    <row r="12" spans="1:19" ht="21" customHeight="1" x14ac:dyDescent="0.15">
      <c r="A12" s="12">
        <v>812</v>
      </c>
      <c r="B12" s="138" t="s">
        <v>191</v>
      </c>
      <c r="C12" s="139" t="str">
        <f t="shared" ca="1" si="4"/>
        <v>凶膨なる殲滅 アザゼルの技</v>
      </c>
      <c r="D12" s="139" t="s">
        <v>339</v>
      </c>
      <c r="E12" s="140">
        <f t="shared" si="5"/>
        <v>41</v>
      </c>
      <c r="F12" s="123">
        <v>14</v>
      </c>
      <c r="G12" s="123">
        <v>5</v>
      </c>
      <c r="H12" s="141">
        <f>2001</f>
        <v>2001</v>
      </c>
      <c r="I12" s="150" t="s">
        <v>270</v>
      </c>
      <c r="J12" s="59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凶膨なる殲滅 アザゼル</v>
      </c>
      <c r="K12" s="142">
        <v>1</v>
      </c>
      <c r="L12" s="143"/>
      <c r="M12" s="144"/>
      <c r="N12" s="144"/>
      <c r="O12" s="144"/>
      <c r="P12" s="144"/>
      <c r="Q12" s="144"/>
      <c r="R12" s="139"/>
      <c r="S12" s="145"/>
    </row>
    <row r="13" spans="1:19" ht="21" customHeight="1" x14ac:dyDescent="0.15">
      <c r="A13" s="12">
        <v>813</v>
      </c>
      <c r="B13" s="138" t="s">
        <v>191</v>
      </c>
      <c r="C13" s="139" t="str">
        <f t="shared" ca="1" si="4"/>
        <v>絆の大冒険 ヘンゼル＆グレーテルの技</v>
      </c>
      <c r="D13" s="139" t="s">
        <v>267</v>
      </c>
      <c r="E13" s="140">
        <f t="shared" si="5"/>
        <v>46</v>
      </c>
      <c r="F13" s="123">
        <v>12</v>
      </c>
      <c r="G13" s="123">
        <v>5</v>
      </c>
      <c r="H13" s="141">
        <f>2001</f>
        <v>2001</v>
      </c>
      <c r="I13" s="150" t="s">
        <v>340</v>
      </c>
      <c r="J13" s="59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絆の大冒険 ヘンゼル＆グレーテル</v>
      </c>
      <c r="K13" s="142">
        <v>1</v>
      </c>
      <c r="L13" s="143"/>
      <c r="M13" s="144"/>
      <c r="N13" s="144"/>
      <c r="O13" s="144"/>
      <c r="P13" s="144"/>
      <c r="Q13" s="144"/>
      <c r="R13" s="139"/>
      <c r="S13" s="145"/>
    </row>
    <row r="14" spans="1:19" ht="21" customHeight="1" x14ac:dyDescent="0.15">
      <c r="A14" s="12">
        <v>814</v>
      </c>
      <c r="B14" s="138" t="s">
        <v>191</v>
      </c>
      <c r="C14" s="139" t="str">
        <f t="shared" ref="C14:C16" ca="1" si="6">J14&amp;"の技"</f>
        <v>戦場疾駆の鋼蹄 ジャンヌの技</v>
      </c>
      <c r="D14" s="139" t="s">
        <v>337</v>
      </c>
      <c r="E14" s="140">
        <f>LEN(D14)</f>
        <v>50</v>
      </c>
      <c r="F14" s="123">
        <v>14</v>
      </c>
      <c r="G14" s="123">
        <v>5</v>
      </c>
      <c r="H14" s="141">
        <f>2001</f>
        <v>2001</v>
      </c>
      <c r="I14" s="150" t="s">
        <v>341</v>
      </c>
      <c r="J14" s="59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戦場疾駆の鋼蹄 ジャンヌ</v>
      </c>
      <c r="K14" s="142">
        <v>1</v>
      </c>
      <c r="L14" s="143"/>
      <c r="M14" s="144"/>
      <c r="N14" s="144"/>
      <c r="O14" s="144"/>
      <c r="P14" s="144"/>
      <c r="Q14" s="144"/>
      <c r="R14" s="139"/>
      <c r="S14" s="145"/>
    </row>
    <row r="15" spans="1:19" ht="21" customHeight="1" x14ac:dyDescent="0.15">
      <c r="A15" s="12">
        <v>815</v>
      </c>
      <c r="B15" s="138" t="s">
        <v>191</v>
      </c>
      <c r="C15" s="139" t="str">
        <f t="shared" ca="1" si="6"/>
        <v>解砲の鴉眼 八咫烏の技</v>
      </c>
      <c r="D15" s="139" t="s">
        <v>343</v>
      </c>
      <c r="E15" s="140">
        <f t="shared" ref="E15:E16" si="7">LEN(D15)</f>
        <v>60</v>
      </c>
      <c r="F15" s="123">
        <v>16</v>
      </c>
      <c r="G15" s="123">
        <v>5</v>
      </c>
      <c r="H15" s="141">
        <f>2001</f>
        <v>2001</v>
      </c>
      <c r="I15" s="150" t="s">
        <v>346</v>
      </c>
      <c r="J15" s="59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解砲の鴉眼 八咫烏</v>
      </c>
      <c r="K15" s="142">
        <v>1</v>
      </c>
      <c r="L15" s="143"/>
      <c r="M15" s="144"/>
      <c r="N15" s="144"/>
      <c r="O15" s="144"/>
      <c r="P15" s="144"/>
      <c r="Q15" s="144"/>
      <c r="R15" s="139"/>
      <c r="S15" s="145"/>
    </row>
    <row r="16" spans="1:19" ht="21" customHeight="1" x14ac:dyDescent="0.15">
      <c r="A16" s="12">
        <v>816</v>
      </c>
      <c r="B16" s="138" t="s">
        <v>191</v>
      </c>
      <c r="C16" s="139" t="str">
        <f t="shared" ca="1" si="6"/>
        <v>極・二天一流 宮本武蔵の技</v>
      </c>
      <c r="D16" s="139" t="s">
        <v>268</v>
      </c>
      <c r="E16" s="140">
        <f t="shared" si="7"/>
        <v>38</v>
      </c>
      <c r="F16" s="123">
        <v>14</v>
      </c>
      <c r="G16" s="123">
        <v>5</v>
      </c>
      <c r="H16" s="141">
        <f>2001</f>
        <v>2001</v>
      </c>
      <c r="I16" s="150" t="s">
        <v>269</v>
      </c>
      <c r="J16" s="59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極・二天一流 宮本武蔵</v>
      </c>
      <c r="K16" s="142">
        <v>1</v>
      </c>
      <c r="L16" s="143"/>
      <c r="M16" s="144"/>
      <c r="N16" s="144"/>
      <c r="O16" s="144"/>
      <c r="P16" s="144"/>
      <c r="Q16" s="144"/>
      <c r="R16" s="139"/>
      <c r="S16" s="145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7:E1048576">
    <cfRule type="cellIs" dxfId="28" priority="8" operator="greaterThan">
      <formula>41</formula>
    </cfRule>
  </conditionalFormatting>
  <conditionalFormatting sqref="E6 E8 E10 E12 E2 E4 E14 E16">
    <cfRule type="cellIs" dxfId="27" priority="2" operator="greaterThan">
      <formula>41</formula>
    </cfRule>
  </conditionalFormatting>
  <conditionalFormatting sqref="E5 E7 E9 E11 E13 E3 E15">
    <cfRule type="cellIs" dxfId="26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6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A2" sqref="A2:XFD2"/>
    </sheetView>
  </sheetViews>
  <sheetFormatPr baseColWidth="12" defaultColWidth="13" defaultRowHeight="21" customHeight="1" x14ac:dyDescent="0.15"/>
  <cols>
    <col min="1" max="2" width="12.1640625" style="136" customWidth="1"/>
    <col min="3" max="3" width="48.83203125" style="137" customWidth="1"/>
    <col min="4" max="4" width="23.83203125" style="137" customWidth="1"/>
    <col min="5" max="5" width="10.5" style="137" customWidth="1"/>
    <col min="6" max="7" width="59.1640625" style="137" customWidth="1"/>
    <col min="8" max="8" width="6.83203125" style="136" bestFit="1" customWidth="1"/>
    <col min="9" max="9" width="20.33203125" style="136" customWidth="1"/>
    <col min="10" max="10" width="5" style="136" bestFit="1" customWidth="1"/>
    <col min="11" max="16384" width="13" style="136"/>
  </cols>
  <sheetData>
    <row r="1" spans="1:19" ht="21" customHeight="1" x14ac:dyDescent="0.15">
      <c r="A1" s="124" t="s">
        <v>188</v>
      </c>
      <c r="B1" s="125" t="s">
        <v>187</v>
      </c>
      <c r="C1" s="126" t="s">
        <v>186</v>
      </c>
      <c r="D1" s="127" t="s">
        <v>185</v>
      </c>
      <c r="E1" s="127" t="s">
        <v>184</v>
      </c>
      <c r="F1" s="128" t="s">
        <v>183</v>
      </c>
      <c r="G1" s="129" t="s">
        <v>190</v>
      </c>
      <c r="H1" s="128" t="s">
        <v>182</v>
      </c>
      <c r="I1" s="129" t="s">
        <v>181</v>
      </c>
      <c r="J1" s="133" t="s">
        <v>180</v>
      </c>
    </row>
    <row r="2" spans="1:19" ht="21" customHeight="1" x14ac:dyDescent="0.15">
      <c r="A2" s="12">
        <v>783</v>
      </c>
      <c r="B2" s="138" t="s">
        <v>192</v>
      </c>
      <c r="C2" s="139" t="str">
        <f t="shared" ref="C2:C4" ca="1" si="0">G2&amp;"の技"</f>
        <v>モールスの技</v>
      </c>
      <c r="D2" s="139" t="s">
        <v>235</v>
      </c>
      <c r="E2" s="140">
        <f t="shared" ref="E2:E4" si="1">LEN(D2)</f>
        <v>9</v>
      </c>
      <c r="F2" s="123" t="s">
        <v>236</v>
      </c>
      <c r="G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モールス</v>
      </c>
      <c r="H2" s="141">
        <v>1</v>
      </c>
      <c r="I2" s="141"/>
      <c r="J2" s="146"/>
      <c r="K2" s="142">
        <v>-2</v>
      </c>
      <c r="L2" s="143"/>
      <c r="M2" s="144"/>
      <c r="N2" s="144"/>
      <c r="O2" s="144"/>
      <c r="P2" s="144"/>
      <c r="Q2" s="144"/>
      <c r="R2" s="139"/>
      <c r="S2" s="145"/>
    </row>
    <row r="3" spans="1:19" ht="21" customHeight="1" x14ac:dyDescent="0.15">
      <c r="A3" s="12">
        <v>784</v>
      </c>
      <c r="B3" s="138" t="s">
        <v>192</v>
      </c>
      <c r="C3" s="139" t="str">
        <f t="shared" ca="1" si="0"/>
        <v>想心の恋鎖 モールスの技</v>
      </c>
      <c r="D3" s="139" t="s">
        <v>235</v>
      </c>
      <c r="E3" s="140">
        <f t="shared" si="1"/>
        <v>9</v>
      </c>
      <c r="F3" s="123" t="s">
        <v>239</v>
      </c>
      <c r="G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想心の恋鎖 モールス</v>
      </c>
      <c r="H3" s="141">
        <v>1</v>
      </c>
      <c r="I3" s="141"/>
      <c r="J3" s="146"/>
      <c r="K3" s="142">
        <v>-1</v>
      </c>
      <c r="L3" s="143"/>
      <c r="M3" s="144"/>
      <c r="N3" s="144"/>
      <c r="O3" s="144"/>
      <c r="P3" s="144"/>
      <c r="Q3" s="144"/>
      <c r="R3" s="139"/>
      <c r="S3" s="145"/>
    </row>
    <row r="4" spans="1:19" ht="21" customHeight="1" x14ac:dyDescent="0.15">
      <c r="A4" s="12">
        <v>785</v>
      </c>
      <c r="B4" s="138" t="s">
        <v>192</v>
      </c>
      <c r="C4" s="139" t="str">
        <f t="shared" ca="1" si="0"/>
        <v>あけおめダック2017の技</v>
      </c>
      <c r="D4" s="139" t="s">
        <v>235</v>
      </c>
      <c r="E4" s="140">
        <f t="shared" si="1"/>
        <v>9</v>
      </c>
      <c r="F4" s="123" t="s">
        <v>240</v>
      </c>
      <c r="G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あけおめダック2017</v>
      </c>
      <c r="H4" s="141">
        <v>1</v>
      </c>
      <c r="I4" s="141"/>
      <c r="J4" s="146"/>
      <c r="K4" s="142">
        <v>0</v>
      </c>
      <c r="L4" s="143"/>
      <c r="M4" s="144"/>
      <c r="N4" s="144"/>
      <c r="O4" s="144"/>
      <c r="P4" s="144"/>
      <c r="Q4" s="144"/>
      <c r="R4" s="139"/>
      <c r="S4" s="145"/>
    </row>
    <row r="5" spans="1:19" ht="21" customHeight="1" x14ac:dyDescent="0.15">
      <c r="A5" s="12">
        <v>805</v>
      </c>
      <c r="B5" s="138" t="s">
        <v>192</v>
      </c>
      <c r="C5" s="184" t="s">
        <v>293</v>
      </c>
      <c r="D5" s="139" t="s">
        <v>235</v>
      </c>
      <c r="E5" s="140">
        <f t="shared" ref="E5:E6" si="2">LEN(D5)</f>
        <v>9</v>
      </c>
      <c r="F5" s="123" t="s">
        <v>234</v>
      </c>
      <c r="G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熱環の大逆聖 ベリアル</v>
      </c>
      <c r="H5" s="141">
        <v>3</v>
      </c>
      <c r="I5" s="141"/>
      <c r="J5" s="146"/>
      <c r="K5" s="142">
        <v>1</v>
      </c>
      <c r="L5" s="143"/>
      <c r="M5" s="144"/>
      <c r="N5" s="144"/>
      <c r="O5" s="144"/>
      <c r="P5" s="144"/>
      <c r="Q5" s="144"/>
      <c r="R5" s="139"/>
      <c r="S5" s="145"/>
    </row>
    <row r="6" spans="1:19" ht="21" customHeight="1" x14ac:dyDescent="0.15">
      <c r="A6" s="12">
        <v>806</v>
      </c>
      <c r="B6" s="138" t="s">
        <v>192</v>
      </c>
      <c r="C6" s="184" t="s">
        <v>294</v>
      </c>
      <c r="D6" s="139" t="s">
        <v>237</v>
      </c>
      <c r="E6" s="140">
        <f t="shared" si="2"/>
        <v>9</v>
      </c>
      <c r="F6" s="123" t="s">
        <v>236</v>
      </c>
      <c r="G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全解の預智聖 オセ</v>
      </c>
      <c r="H6" s="141">
        <v>3</v>
      </c>
      <c r="I6" s="141"/>
      <c r="J6" s="146"/>
      <c r="K6" s="142">
        <v>1</v>
      </c>
      <c r="L6" s="143"/>
      <c r="M6" s="144"/>
      <c r="N6" s="144"/>
      <c r="O6" s="144"/>
      <c r="P6" s="144"/>
      <c r="Q6" s="144"/>
      <c r="R6" s="139"/>
      <c r="S6" s="145"/>
    </row>
    <row r="7" spans="1:19" ht="21" customHeight="1" x14ac:dyDescent="0.15">
      <c r="A7" s="12">
        <v>807</v>
      </c>
      <c r="B7" s="138" t="s">
        <v>192</v>
      </c>
      <c r="C7" s="184" t="s">
        <v>295</v>
      </c>
      <c r="D7" s="139" t="s">
        <v>238</v>
      </c>
      <c r="E7" s="140">
        <f t="shared" ref="E7:E8" si="3">LEN(D7)</f>
        <v>9</v>
      </c>
      <c r="F7" s="123" t="s">
        <v>333</v>
      </c>
      <c r="G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襲愛の真公爵 フォルネウス</v>
      </c>
      <c r="H7" s="141">
        <v>3</v>
      </c>
      <c r="I7" s="141"/>
      <c r="J7" s="146"/>
      <c r="K7" s="142">
        <v>1</v>
      </c>
      <c r="L7" s="143"/>
      <c r="M7" s="144"/>
      <c r="N7" s="144"/>
      <c r="O7" s="144"/>
      <c r="P7" s="144"/>
      <c r="Q7" s="144"/>
      <c r="R7" s="139"/>
      <c r="S7" s="145"/>
    </row>
    <row r="8" spans="1:19" ht="21" customHeight="1" x14ac:dyDescent="0.15">
      <c r="A8" s="12">
        <v>808</v>
      </c>
      <c r="B8" s="138" t="s">
        <v>192</v>
      </c>
      <c r="C8" s="184" t="s">
        <v>296</v>
      </c>
      <c r="D8" s="139" t="s">
        <v>237</v>
      </c>
      <c r="E8" s="140">
        <f t="shared" si="3"/>
        <v>9</v>
      </c>
      <c r="F8" s="123" t="s">
        <v>336</v>
      </c>
      <c r="G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天地万物の烈神母 イザナミ</v>
      </c>
      <c r="H8" s="141">
        <v>3</v>
      </c>
      <c r="I8" s="141"/>
      <c r="J8" s="146"/>
      <c r="K8" s="142">
        <v>1</v>
      </c>
      <c r="L8" s="143"/>
      <c r="M8" s="144"/>
      <c r="N8" s="144"/>
      <c r="O8" s="144"/>
      <c r="P8" s="144"/>
      <c r="Q8" s="144"/>
      <c r="R8" s="139"/>
      <c r="S8" s="145"/>
    </row>
    <row r="9" spans="1:19" ht="21" customHeight="1" x14ac:dyDescent="0.15">
      <c r="A9" s="12">
        <v>809</v>
      </c>
      <c r="B9" s="138" t="s">
        <v>192</v>
      </c>
      <c r="C9" s="139" t="str">
        <f t="shared" ref="C9:C13" ca="1" si="4">G9&amp;"の技"</f>
        <v>天然理心の激凛 沖田総司の技</v>
      </c>
      <c r="D9" s="183" t="s">
        <v>273</v>
      </c>
      <c r="E9" s="140">
        <f t="shared" ref="E9:E13" si="5">LEN(D9)</f>
        <v>22</v>
      </c>
      <c r="F9" s="180" t="s">
        <v>274</v>
      </c>
      <c r="G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天然理心の激凛 沖田総司</v>
      </c>
      <c r="H9" s="141">
        <v>1</v>
      </c>
      <c r="I9" s="141"/>
      <c r="J9" s="146"/>
      <c r="K9" s="142">
        <v>1</v>
      </c>
      <c r="L9" s="143"/>
      <c r="M9" s="144"/>
      <c r="N9" s="144"/>
      <c r="O9" s="144"/>
      <c r="P9" s="144"/>
      <c r="Q9" s="144"/>
      <c r="R9" s="139"/>
      <c r="S9" s="145"/>
    </row>
    <row r="10" spans="1:19" ht="21" customHeight="1" x14ac:dyDescent="0.15">
      <c r="A10" s="12">
        <v>810</v>
      </c>
      <c r="B10" s="138" t="s">
        <v>192</v>
      </c>
      <c r="C10" s="139" t="str">
        <f t="shared" ca="1" si="4"/>
        <v>君臨大御神 アマテラスの技</v>
      </c>
      <c r="D10" s="183" t="s">
        <v>275</v>
      </c>
      <c r="E10" s="140">
        <f t="shared" si="5"/>
        <v>17</v>
      </c>
      <c r="F10" s="181" t="s">
        <v>276</v>
      </c>
      <c r="G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君臨大御神 アマテラス</v>
      </c>
      <c r="H10" s="141">
        <v>1</v>
      </c>
      <c r="I10" s="141"/>
      <c r="J10" s="146"/>
      <c r="K10" s="142">
        <v>1</v>
      </c>
      <c r="L10" s="143"/>
      <c r="M10" s="144"/>
      <c r="N10" s="144"/>
      <c r="O10" s="144"/>
      <c r="P10" s="144"/>
      <c r="Q10" s="144"/>
      <c r="R10" s="139"/>
      <c r="S10" s="145"/>
    </row>
    <row r="11" spans="1:19" ht="21" customHeight="1" x14ac:dyDescent="0.15">
      <c r="A11" s="12">
        <v>811</v>
      </c>
      <c r="B11" s="138" t="s">
        <v>192</v>
      </c>
      <c r="C11" s="139" t="str">
        <f t="shared" ca="1" si="4"/>
        <v>咲き誇る旅航者 親指姫の技</v>
      </c>
      <c r="D11" s="183" t="s">
        <v>277</v>
      </c>
      <c r="E11" s="140">
        <f t="shared" si="5"/>
        <v>16</v>
      </c>
      <c r="F11" s="180" t="s">
        <v>278</v>
      </c>
      <c r="G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咲き誇る旅航者 親指姫</v>
      </c>
      <c r="H11" s="141">
        <v>1</v>
      </c>
      <c r="I11" s="141"/>
      <c r="J11" s="146"/>
      <c r="K11" s="142">
        <v>1</v>
      </c>
      <c r="L11" s="143"/>
      <c r="M11" s="144"/>
      <c r="N11" s="144"/>
      <c r="O11" s="144"/>
      <c r="P11" s="144"/>
      <c r="Q11" s="144"/>
      <c r="R11" s="139"/>
      <c r="S11" s="145"/>
    </row>
    <row r="12" spans="1:19" ht="21" customHeight="1" x14ac:dyDescent="0.15">
      <c r="A12" s="12">
        <v>812</v>
      </c>
      <c r="B12" s="138" t="s">
        <v>192</v>
      </c>
      <c r="C12" s="139" t="str">
        <f t="shared" ca="1" si="4"/>
        <v>凶膨なる殲滅 アザゼルの技</v>
      </c>
      <c r="D12" s="183" t="s">
        <v>287</v>
      </c>
      <c r="E12" s="140">
        <f t="shared" si="5"/>
        <v>25</v>
      </c>
      <c r="F12" s="180" t="s">
        <v>288</v>
      </c>
      <c r="G12" s="59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凶膨なる殲滅 アザゼル</v>
      </c>
      <c r="H12" s="141">
        <v>1</v>
      </c>
      <c r="I12" s="141"/>
      <c r="J12" s="146"/>
      <c r="K12" s="142">
        <v>1</v>
      </c>
      <c r="L12" s="143"/>
      <c r="M12" s="144"/>
      <c r="N12" s="144"/>
      <c r="O12" s="144"/>
      <c r="P12" s="144"/>
      <c r="Q12" s="144"/>
      <c r="R12" s="139"/>
      <c r="S12" s="145"/>
    </row>
    <row r="13" spans="1:19" ht="21" customHeight="1" x14ac:dyDescent="0.15">
      <c r="A13" s="12">
        <v>813</v>
      </c>
      <c r="B13" s="138" t="s">
        <v>192</v>
      </c>
      <c r="C13" s="139" t="str">
        <f t="shared" ca="1" si="4"/>
        <v>絆の大冒険 ヘンゼル＆グレーテルの技</v>
      </c>
      <c r="D13" s="183" t="s">
        <v>345</v>
      </c>
      <c r="E13" s="140">
        <f t="shared" si="5"/>
        <v>22</v>
      </c>
      <c r="F13" s="181" t="s">
        <v>344</v>
      </c>
      <c r="G13" s="59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絆の大冒険 ヘンゼル＆グレーテル</v>
      </c>
      <c r="H13" s="141">
        <v>1</v>
      </c>
      <c r="I13" s="141"/>
      <c r="J13" s="146"/>
      <c r="K13" s="142">
        <v>1</v>
      </c>
      <c r="L13" s="143"/>
      <c r="M13" s="144"/>
      <c r="N13" s="144"/>
      <c r="O13" s="144"/>
      <c r="P13" s="144"/>
      <c r="Q13" s="144"/>
      <c r="R13" s="139"/>
      <c r="S13" s="145"/>
    </row>
    <row r="14" spans="1:19" ht="21" customHeight="1" x14ac:dyDescent="0.15">
      <c r="A14" s="12">
        <v>814</v>
      </c>
      <c r="B14" s="138" t="s">
        <v>191</v>
      </c>
      <c r="C14" s="139" t="str">
        <f t="shared" ref="C14:C16" ca="1" si="6">G14&amp;"の技"</f>
        <v>戦場疾駆の鋼蹄 ジャンヌの技</v>
      </c>
      <c r="D14" s="183" t="s">
        <v>280</v>
      </c>
      <c r="E14" s="140">
        <f t="shared" ref="E14:E16" si="7">LEN(D14)</f>
        <v>16</v>
      </c>
      <c r="F14" s="180" t="s">
        <v>281</v>
      </c>
      <c r="G14" s="59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戦場疾駆の鋼蹄 ジャンヌ</v>
      </c>
      <c r="H14" s="141">
        <v>1</v>
      </c>
      <c r="I14" s="141"/>
      <c r="J14" s="146"/>
      <c r="K14" s="142">
        <v>1</v>
      </c>
      <c r="L14" s="143"/>
      <c r="M14" s="144"/>
      <c r="N14" s="144"/>
      <c r="O14" s="144"/>
      <c r="P14" s="144"/>
      <c r="Q14" s="144"/>
      <c r="R14" s="139"/>
      <c r="S14" s="145"/>
    </row>
    <row r="15" spans="1:19" ht="21" customHeight="1" x14ac:dyDescent="0.15">
      <c r="A15" s="12">
        <v>815</v>
      </c>
      <c r="B15" s="138" t="s">
        <v>191</v>
      </c>
      <c r="C15" s="139" t="str">
        <f t="shared" ca="1" si="6"/>
        <v>解砲の鴉眼 八咫烏の技</v>
      </c>
      <c r="D15" s="183" t="s">
        <v>279</v>
      </c>
      <c r="E15" s="140">
        <f t="shared" si="7"/>
        <v>10</v>
      </c>
      <c r="F15" s="182" t="s">
        <v>282</v>
      </c>
      <c r="G15" s="59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解砲の鴉眼 八咫烏</v>
      </c>
      <c r="H15" s="141">
        <v>1</v>
      </c>
      <c r="I15" s="141"/>
      <c r="J15" s="146"/>
      <c r="K15" s="142">
        <v>1</v>
      </c>
      <c r="L15" s="143"/>
      <c r="M15" s="144"/>
      <c r="N15" s="144"/>
      <c r="O15" s="144"/>
      <c r="P15" s="144"/>
      <c r="Q15" s="144"/>
      <c r="R15" s="139"/>
      <c r="S15" s="145"/>
    </row>
    <row r="16" spans="1:19" ht="21" customHeight="1" x14ac:dyDescent="0.15">
      <c r="A16" s="12">
        <v>816</v>
      </c>
      <c r="B16" s="138" t="s">
        <v>191</v>
      </c>
      <c r="C16" s="139" t="str">
        <f t="shared" ca="1" si="6"/>
        <v>極・二天一流 宮本武蔵の技</v>
      </c>
      <c r="D16" s="183" t="s">
        <v>283</v>
      </c>
      <c r="E16" s="140">
        <f t="shared" si="7"/>
        <v>35</v>
      </c>
      <c r="F16" s="180" t="s">
        <v>284</v>
      </c>
      <c r="G16" s="59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極・二天一流 宮本武蔵</v>
      </c>
      <c r="H16" s="141">
        <v>1</v>
      </c>
      <c r="I16" s="141"/>
      <c r="J16" s="146"/>
      <c r="K16" s="142">
        <v>1</v>
      </c>
      <c r="L16" s="143"/>
      <c r="M16" s="144"/>
      <c r="N16" s="144"/>
      <c r="O16" s="144"/>
      <c r="P16" s="144"/>
      <c r="Q16" s="144"/>
      <c r="R16" s="139"/>
      <c r="S16" s="145"/>
    </row>
  </sheetData>
  <sheetProtection selectLockedCells="1" selectUnlockedCells="1"/>
  <autoFilter ref="A1:J1"/>
  <phoneticPr fontId="22"/>
  <conditionalFormatting sqref="E8 E10 E12 E14 E16 E2:E6">
    <cfRule type="cellIs" dxfId="25" priority="2" operator="greaterThan">
      <formula>41</formula>
    </cfRule>
  </conditionalFormatting>
  <conditionalFormatting sqref="E7 E9 E11 E13 E15">
    <cfRule type="cellIs" dxfId="24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3"/>
  <sheetViews>
    <sheetView workbookViewId="0">
      <selection activeCell="G29" sqref="G29"/>
    </sheetView>
  </sheetViews>
  <sheetFormatPr baseColWidth="12" defaultRowHeight="15" outlineLevelCol="1" x14ac:dyDescent="0.15"/>
  <cols>
    <col min="2" max="2" width="12.83203125" style="148"/>
    <col min="4" max="4" width="12.83203125" style="148" customWidth="1" outlineLevel="1"/>
    <col min="5" max="5" width="12.83203125" style="148"/>
    <col min="8" max="8" width="35" customWidth="1"/>
  </cols>
  <sheetData>
    <row r="1" spans="1:8" x14ac:dyDescent="0.15">
      <c r="A1" s="120" t="s">
        <v>193</v>
      </c>
      <c r="B1" s="147" t="s">
        <v>194</v>
      </c>
      <c r="C1" s="120" t="s">
        <v>195</v>
      </c>
      <c r="D1" s="147" t="s">
        <v>197</v>
      </c>
      <c r="E1" s="147" t="s">
        <v>198</v>
      </c>
      <c r="F1" s="117" t="s">
        <v>199</v>
      </c>
      <c r="G1" s="120" t="s">
        <v>196</v>
      </c>
      <c r="H1" s="117" t="s">
        <v>200</v>
      </c>
    </row>
    <row r="2" spans="1:8" x14ac:dyDescent="0.15">
      <c r="A2" s="113">
        <v>805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熱環の大逆聖 ベリアル</v>
      </c>
      <c r="C2" s="113" t="s">
        <v>297</v>
      </c>
      <c r="D2" s="147"/>
      <c r="E2" s="147" t="str">
        <f>A2&amp;+(COUNTIF(A$2:A2,A2)-1)</f>
        <v>8050</v>
      </c>
      <c r="F2" s="113" t="s">
        <v>191</v>
      </c>
      <c r="G2" s="141" t="s">
        <v>307</v>
      </c>
      <c r="H2" s="186" t="s">
        <v>320</v>
      </c>
    </row>
    <row r="3" spans="1:8" x14ac:dyDescent="0.15">
      <c r="A3" s="113">
        <v>805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熱環の大逆聖 ベリアル</v>
      </c>
      <c r="C3" s="113" t="s">
        <v>298</v>
      </c>
      <c r="D3" s="147"/>
      <c r="E3" s="147" t="str">
        <f>A3&amp;+(COUNTIF(A$2:A3,A3)-1)</f>
        <v>8051</v>
      </c>
      <c r="F3" s="113" t="s">
        <v>302</v>
      </c>
      <c r="G3" s="141" t="s">
        <v>307</v>
      </c>
      <c r="H3" s="141" t="s">
        <v>304</v>
      </c>
    </row>
    <row r="4" spans="1:8" x14ac:dyDescent="0.15">
      <c r="A4" s="113">
        <v>805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熱環の大逆聖 ベリアル</v>
      </c>
      <c r="C4" s="113" t="s">
        <v>299</v>
      </c>
      <c r="D4" s="147"/>
      <c r="E4" s="147" t="str">
        <f>A4&amp;+(COUNTIF(A$2:A4,A4)-1)</f>
        <v>8052</v>
      </c>
      <c r="F4" s="113" t="s">
        <v>303</v>
      </c>
      <c r="G4" s="141" t="s">
        <v>307</v>
      </c>
      <c r="H4" s="141" t="s">
        <v>305</v>
      </c>
    </row>
    <row r="5" spans="1:8" x14ac:dyDescent="0.15">
      <c r="A5" s="113">
        <v>805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熱環の大逆聖 ベリアル</v>
      </c>
      <c r="C5" s="113" t="s">
        <v>300</v>
      </c>
      <c r="D5" s="147"/>
      <c r="E5" s="147" t="str">
        <f>A5&amp;+(COUNTIF(A$2:A5,A5)-1)</f>
        <v>8053</v>
      </c>
      <c r="F5" s="113" t="s">
        <v>191</v>
      </c>
      <c r="G5" s="141" t="s">
        <v>307</v>
      </c>
      <c r="H5" s="141" t="s">
        <v>306</v>
      </c>
    </row>
    <row r="6" spans="1:8" x14ac:dyDescent="0.15">
      <c r="A6" s="113">
        <v>805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熱環の大逆聖 ベリアル</v>
      </c>
      <c r="C6" s="113" t="s">
        <v>301</v>
      </c>
      <c r="D6" s="147"/>
      <c r="E6" s="147" t="str">
        <f>A6&amp;+(COUNTIF(A$2:A6,A6)-1)</f>
        <v>8054</v>
      </c>
      <c r="F6" s="113" t="s">
        <v>191</v>
      </c>
      <c r="G6" s="187" t="s">
        <v>321</v>
      </c>
      <c r="H6" s="187" t="s">
        <v>322</v>
      </c>
    </row>
    <row r="7" spans="1:8" x14ac:dyDescent="0.15">
      <c r="A7" s="113">
        <v>806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全解の預智聖 オセ</v>
      </c>
      <c r="C7" s="113" t="s">
        <v>297</v>
      </c>
      <c r="D7" s="147"/>
      <c r="E7" s="147" t="str">
        <f>A7&amp;+(COUNTIF(A$2:A7,A7)-1)</f>
        <v>8060</v>
      </c>
      <c r="F7" s="113" t="s">
        <v>191</v>
      </c>
      <c r="G7" s="187" t="s">
        <v>314</v>
      </c>
      <c r="H7" s="187" t="s">
        <v>323</v>
      </c>
    </row>
    <row r="8" spans="1:8" x14ac:dyDescent="0.15">
      <c r="A8" s="113">
        <f>A7</f>
        <v>806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全解の預智聖 オセ</v>
      </c>
      <c r="C8" s="113" t="s">
        <v>298</v>
      </c>
      <c r="D8" s="147"/>
      <c r="E8" s="147" t="str">
        <f>A8&amp;+(COUNTIF(A$2:A8,A8)-1)</f>
        <v>8061</v>
      </c>
      <c r="F8" s="113" t="s">
        <v>302</v>
      </c>
      <c r="G8" s="141" t="s">
        <v>308</v>
      </c>
      <c r="H8" s="141" t="s">
        <v>309</v>
      </c>
    </row>
    <row r="9" spans="1:8" x14ac:dyDescent="0.15">
      <c r="A9" s="113">
        <f>A7</f>
        <v>806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全解の預智聖 オセ</v>
      </c>
      <c r="C9" s="113" t="s">
        <v>299</v>
      </c>
      <c r="D9" s="147"/>
      <c r="E9" s="147" t="str">
        <f>A9&amp;+(COUNTIF(A$2:A9,A9)-1)</f>
        <v>8062</v>
      </c>
      <c r="F9" s="113" t="s">
        <v>303</v>
      </c>
      <c r="G9" s="141" t="s">
        <v>308</v>
      </c>
      <c r="H9" s="141" t="s">
        <v>310</v>
      </c>
    </row>
    <row r="10" spans="1:8" x14ac:dyDescent="0.15">
      <c r="A10" s="113">
        <f>A7</f>
        <v>806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全解の預智聖 オセ</v>
      </c>
      <c r="C10" s="113" t="s">
        <v>300</v>
      </c>
      <c r="D10" s="147"/>
      <c r="E10" s="147" t="str">
        <f>A10&amp;+(COUNTIF(A$2:A10,A10)-1)</f>
        <v>8063</v>
      </c>
      <c r="F10" s="113" t="s">
        <v>191</v>
      </c>
      <c r="G10" s="141" t="s">
        <v>308</v>
      </c>
      <c r="H10" s="141" t="s">
        <v>311</v>
      </c>
    </row>
    <row r="11" spans="1:8" x14ac:dyDescent="0.15">
      <c r="A11" s="113">
        <f>A7</f>
        <v>806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全解の預智聖 オセ</v>
      </c>
      <c r="C11" s="113" t="s">
        <v>301</v>
      </c>
      <c r="D11" s="147"/>
      <c r="E11" s="147" t="str">
        <f>A11&amp;+(COUNTIF(A$2:A11,A11)-1)</f>
        <v>8064</v>
      </c>
      <c r="F11" s="113" t="s">
        <v>191</v>
      </c>
      <c r="G11" s="187" t="s">
        <v>314</v>
      </c>
      <c r="H11" s="187" t="s">
        <v>324</v>
      </c>
    </row>
    <row r="12" spans="1:8" x14ac:dyDescent="0.15">
      <c r="A12" s="113">
        <v>807</v>
      </c>
      <c r="B12" s="59" t="str">
        <f ca="1">VLOOKUP($A12,OFFSET([1]characters!$A$1,0,0,COUNTA([1]characters!$A:$A),MATCH(B$1,[1]characters!$1:$1,0)-MATCH($A$1,[1]characters!$1:$1,0)+1),MATCH(B$1,[1]characters!$1:$1,0)-MATCH($A$1,[1]characters!$1:$1,0)+1,FALSE)</f>
        <v>襲愛の真公爵 フォルネウス</v>
      </c>
      <c r="C12" s="113" t="s">
        <v>297</v>
      </c>
      <c r="D12" s="147"/>
      <c r="E12" s="147" t="str">
        <f>A12&amp;+(COUNTIF(A$2:A12,A12)-1)</f>
        <v>8070</v>
      </c>
      <c r="F12" s="113" t="s">
        <v>191</v>
      </c>
      <c r="G12" s="187" t="s">
        <v>314</v>
      </c>
      <c r="H12" s="187" t="s">
        <v>326</v>
      </c>
    </row>
    <row r="13" spans="1:8" x14ac:dyDescent="0.15">
      <c r="A13" s="113">
        <f>A12</f>
        <v>807</v>
      </c>
      <c r="B13" s="59" t="str">
        <f ca="1">VLOOKUP($A13,OFFSET([1]characters!$A$1,0,0,COUNTA([1]characters!$A:$A),MATCH(B$1,[1]characters!$1:$1,0)-MATCH($A$1,[1]characters!$1:$1,0)+1),MATCH(B$1,[1]characters!$1:$1,0)-MATCH($A$1,[1]characters!$1:$1,0)+1,FALSE)</f>
        <v>襲愛の真公爵 フォルネウス</v>
      </c>
      <c r="C13" s="113" t="s">
        <v>298</v>
      </c>
      <c r="D13" s="147"/>
      <c r="E13" s="147" t="str">
        <f>A13&amp;+(COUNTIF(A$2:A13,A13)-1)</f>
        <v>8071</v>
      </c>
      <c r="F13" s="113" t="s">
        <v>302</v>
      </c>
      <c r="G13" s="141" t="s">
        <v>308</v>
      </c>
      <c r="H13" s="141" t="s">
        <v>312</v>
      </c>
    </row>
    <row r="14" spans="1:8" x14ac:dyDescent="0.15">
      <c r="A14" s="113">
        <f>A12</f>
        <v>807</v>
      </c>
      <c r="B14" s="59" t="str">
        <f ca="1">VLOOKUP($A14,OFFSET([1]characters!$A$1,0,0,COUNTA([1]characters!$A:$A),MATCH(B$1,[1]characters!$1:$1,0)-MATCH($A$1,[1]characters!$1:$1,0)+1),MATCH(B$1,[1]characters!$1:$1,0)-MATCH($A$1,[1]characters!$1:$1,0)+1,FALSE)</f>
        <v>襲愛の真公爵 フォルネウス</v>
      </c>
      <c r="C14" s="113" t="s">
        <v>299</v>
      </c>
      <c r="D14" s="147"/>
      <c r="E14" s="147" t="str">
        <f>A14&amp;+(COUNTIF(A$2:A14,A14)-1)</f>
        <v>8072</v>
      </c>
      <c r="F14" s="113" t="s">
        <v>303</v>
      </c>
      <c r="G14" s="141" t="s">
        <v>308</v>
      </c>
      <c r="H14" s="141" t="s">
        <v>313</v>
      </c>
    </row>
    <row r="15" spans="1:8" x14ac:dyDescent="0.15">
      <c r="A15" s="113">
        <f>A12</f>
        <v>807</v>
      </c>
      <c r="B15" s="59" t="str">
        <f ca="1">VLOOKUP($A15,OFFSET([1]characters!$A$1,0,0,COUNTA([1]characters!$A:$A),MATCH(B$1,[1]characters!$1:$1,0)-MATCH($A$1,[1]characters!$1:$1,0)+1),MATCH(B$1,[1]characters!$1:$1,0)-MATCH($A$1,[1]characters!$1:$1,0)+1,FALSE)</f>
        <v>襲愛の真公爵 フォルネウス</v>
      </c>
      <c r="C15" s="113" t="s">
        <v>300</v>
      </c>
      <c r="D15" s="147"/>
      <c r="E15" s="147" t="str">
        <f>A15&amp;+(COUNTIF(A$2:A15,A15)-1)</f>
        <v>8073</v>
      </c>
      <c r="F15" s="113" t="s">
        <v>191</v>
      </c>
      <c r="G15" s="141" t="s">
        <v>314</v>
      </c>
      <c r="H15" s="141" t="s">
        <v>315</v>
      </c>
    </row>
    <row r="16" spans="1:8" x14ac:dyDescent="0.15">
      <c r="A16" s="113">
        <f>A12</f>
        <v>807</v>
      </c>
      <c r="B16" s="59" t="str">
        <f ca="1">VLOOKUP($A16,OFFSET([1]characters!$A$1,0,0,COUNTA([1]characters!$A:$A),MATCH(B$1,[1]characters!$1:$1,0)-MATCH($A$1,[1]characters!$1:$1,0)+1),MATCH(B$1,[1]characters!$1:$1,0)-MATCH($A$1,[1]characters!$1:$1,0)+1,FALSE)</f>
        <v>襲愛の真公爵 フォルネウス</v>
      </c>
      <c r="C16" s="113" t="s">
        <v>301</v>
      </c>
      <c r="D16" s="147"/>
      <c r="E16" s="147" t="str">
        <f>A16&amp;+(COUNTIF(A$2:A16,A16)-1)</f>
        <v>8074</v>
      </c>
      <c r="F16" s="113" t="s">
        <v>191</v>
      </c>
      <c r="G16" s="187" t="s">
        <v>314</v>
      </c>
      <c r="H16" s="187" t="s">
        <v>325</v>
      </c>
    </row>
    <row r="17" spans="1:8" x14ac:dyDescent="0.15">
      <c r="A17" s="113">
        <v>808</v>
      </c>
      <c r="B17" s="59" t="str">
        <f ca="1">VLOOKUP($A17,OFFSET([1]characters!$A$1,0,0,COUNTA([1]characters!$A:$A),MATCH(B$1,[1]characters!$1:$1,0)-MATCH($A$1,[1]characters!$1:$1,0)+1),MATCH(B$1,[1]characters!$1:$1,0)-MATCH($A$1,[1]characters!$1:$1,0)+1,FALSE)</f>
        <v>天地万物の烈神母 イザナミ</v>
      </c>
      <c r="C17" s="113" t="s">
        <v>297</v>
      </c>
      <c r="D17" s="147"/>
      <c r="E17" s="147" t="str">
        <f>A17&amp;+(COUNTIF(A$2:A17,A17)-1)</f>
        <v>8080</v>
      </c>
      <c r="F17" s="113" t="s">
        <v>191</v>
      </c>
      <c r="G17" s="187" t="s">
        <v>314</v>
      </c>
      <c r="H17" s="187" t="s">
        <v>327</v>
      </c>
    </row>
    <row r="18" spans="1:8" x14ac:dyDescent="0.15">
      <c r="A18" s="113">
        <f>A17</f>
        <v>808</v>
      </c>
      <c r="B18" s="59" t="str">
        <f ca="1">VLOOKUP($A18,OFFSET([1]characters!$A$1,0,0,COUNTA([1]characters!$A:$A),MATCH(B$1,[1]characters!$1:$1,0)-MATCH($A$1,[1]characters!$1:$1,0)+1),MATCH(B$1,[1]characters!$1:$1,0)-MATCH($A$1,[1]characters!$1:$1,0)+1,FALSE)</f>
        <v>天地万物の烈神母 イザナミ</v>
      </c>
      <c r="C18" s="113" t="s">
        <v>298</v>
      </c>
      <c r="D18" s="147"/>
      <c r="E18" s="147" t="str">
        <f>A18&amp;+(COUNTIF(A$2:A18,A18)-1)</f>
        <v>8081</v>
      </c>
      <c r="F18" s="113" t="s">
        <v>302</v>
      </c>
      <c r="G18" s="188" t="s">
        <v>316</v>
      </c>
      <c r="H18" s="188" t="s">
        <v>317</v>
      </c>
    </row>
    <row r="19" spans="1:8" x14ac:dyDescent="0.15">
      <c r="A19" s="113">
        <f>A17</f>
        <v>808</v>
      </c>
      <c r="B19" s="59" t="str">
        <f ca="1">VLOOKUP($A19,OFFSET([1]characters!$A$1,0,0,COUNTA([1]characters!$A:$A),MATCH(B$1,[1]characters!$1:$1,0)-MATCH($A$1,[1]characters!$1:$1,0)+1),MATCH(B$1,[1]characters!$1:$1,0)-MATCH($A$1,[1]characters!$1:$1,0)+1,FALSE)</f>
        <v>天地万物の烈神母 イザナミ</v>
      </c>
      <c r="C19" s="113" t="s">
        <v>299</v>
      </c>
      <c r="D19" s="147"/>
      <c r="E19" s="147" t="str">
        <f>A19&amp;+(COUNTIF(A$2:A19,A19)-1)</f>
        <v>8082</v>
      </c>
      <c r="F19" s="113" t="s">
        <v>303</v>
      </c>
      <c r="G19" s="188" t="s">
        <v>316</v>
      </c>
      <c r="H19" s="188" t="s">
        <v>318</v>
      </c>
    </row>
    <row r="20" spans="1:8" x14ac:dyDescent="0.15">
      <c r="A20" s="113">
        <f>A17</f>
        <v>808</v>
      </c>
      <c r="B20" s="59" t="str">
        <f ca="1">VLOOKUP($A20,OFFSET([1]characters!$A$1,0,0,COUNTA([1]characters!$A:$A),MATCH(B$1,[1]characters!$1:$1,0)-MATCH($A$1,[1]characters!$1:$1,0)+1),MATCH(B$1,[1]characters!$1:$1,0)-MATCH($A$1,[1]characters!$1:$1,0)+1,FALSE)</f>
        <v>天地万物の烈神母 イザナミ</v>
      </c>
      <c r="C20" s="113" t="s">
        <v>300</v>
      </c>
      <c r="D20" s="147"/>
      <c r="E20" s="147" t="str">
        <f>A20&amp;+(COUNTIF(A$2:A20,A20)-1)</f>
        <v>8083</v>
      </c>
      <c r="F20" s="113" t="s">
        <v>191</v>
      </c>
      <c r="G20" s="188" t="s">
        <v>307</v>
      </c>
      <c r="H20" s="188" t="s">
        <v>319</v>
      </c>
    </row>
    <row r="21" spans="1:8" x14ac:dyDescent="0.15">
      <c r="A21" s="113">
        <f>A17</f>
        <v>808</v>
      </c>
      <c r="B21" s="59" t="str">
        <f ca="1">VLOOKUP($A21,OFFSET([1]characters!$A$1,0,0,COUNTA([1]characters!$A:$A),MATCH(B$1,[1]characters!$1:$1,0)-MATCH($A$1,[1]characters!$1:$1,0)+1),MATCH(B$1,[1]characters!$1:$1,0)-MATCH($A$1,[1]characters!$1:$1,0)+1,FALSE)</f>
        <v>天地万物の烈神母 イザナミ</v>
      </c>
      <c r="C21" s="113" t="s">
        <v>301</v>
      </c>
      <c r="D21" s="147"/>
      <c r="E21" s="147" t="str">
        <f>A21&amp;+(COUNTIF(A$2:A21,A21)-1)</f>
        <v>8084</v>
      </c>
      <c r="F21" s="113" t="s">
        <v>191</v>
      </c>
      <c r="G21" s="187" t="s">
        <v>308</v>
      </c>
      <c r="H21" s="187" t="s">
        <v>328</v>
      </c>
    </row>
    <row r="22" spans="1:8" x14ac:dyDescent="0.15">
      <c r="A22" s="113"/>
      <c r="B22" s="147"/>
      <c r="C22" s="113"/>
      <c r="D22" s="147"/>
      <c r="E22" s="147"/>
      <c r="F22" s="113"/>
      <c r="G22" s="116"/>
      <c r="H22" s="116"/>
    </row>
    <row r="23" spans="1:8" x14ac:dyDescent="0.15">
      <c r="A23" s="113"/>
      <c r="B23" s="147"/>
      <c r="C23" s="113"/>
      <c r="D23" s="147"/>
      <c r="E23" s="147"/>
      <c r="F23" s="113"/>
      <c r="G23" s="113"/>
      <c r="H23" s="113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7"/>
  <sheetViews>
    <sheetView showGridLines="0" workbookViewId="0">
      <pane ySplit="1" topLeftCell="A2" activePane="bottomLeft" state="frozen"/>
      <selection pane="bottomLeft" activeCell="F13" sqref="F13"/>
    </sheetView>
  </sheetViews>
  <sheetFormatPr baseColWidth="12" defaultColWidth="13" defaultRowHeight="15" x14ac:dyDescent="0.15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7" t="s">
        <v>105</v>
      </c>
      <c r="B1" s="43" t="s">
        <v>44</v>
      </c>
      <c r="C1" s="20" t="s">
        <v>46</v>
      </c>
      <c r="D1" s="20" t="s">
        <v>48</v>
      </c>
      <c r="E1" s="20" t="s">
        <v>49</v>
      </c>
      <c r="F1" s="44" t="s">
        <v>42</v>
      </c>
      <c r="G1" s="20" t="s">
        <v>47</v>
      </c>
      <c r="H1" s="19" t="s">
        <v>43</v>
      </c>
      <c r="I1" s="118" t="s">
        <v>133</v>
      </c>
    </row>
    <row r="2" spans="1:9" ht="21" customHeight="1" x14ac:dyDescent="0.15">
      <c r="A2" s="67" t="str">
        <f t="shared" ref="A2:A17" si="0">B2&amp;"_"&amp;F2</f>
        <v>168_837</v>
      </c>
      <c r="B2" s="45">
        <v>168</v>
      </c>
      <c r="C2" s="21" t="e">
        <f ca="1">VLOOKUP($B2,OFFSET(units!$A$1,0,0,COUNTA(units!$A:$A),MATCH(C$1,units!$1:$1,0)-COLUMN(INDIRECT("character_id"))+1),MATCH(C$1,units!$1:$1,0)-COLUMN(INDIRECT("character_id"))+1,FALSE)</f>
        <v>#N/A</v>
      </c>
      <c r="D2" s="21" t="e">
        <f ca="1">VLOOKUP($B2,OFFSET(units!$A$1,0,0,COUNTA(units!$A:$A),MATCH(D$1,units!$1:$1,0)-COLUMN(INDIRECT("character_id"))+1),MATCH(D$1,units!$1:$1,0)-COLUMN(INDIRECT("character_id"))+1,FALSE)</f>
        <v>#N/A</v>
      </c>
      <c r="E2" s="21" t="e">
        <f ca="1">VLOOKUP($B2,OFFSET(units!$A$1,0,0,COUNTA(units!$A:$A),MATCH(E$1,units!$1:$1,0)-COLUMN(INDIRECT("character_id"))+1),MATCH(E$1,units!$1:$1,0)-COLUMN(INDIRECT("character_id"))+1,FALSE)</f>
        <v>#N/A</v>
      </c>
      <c r="F2" s="45">
        <v>837</v>
      </c>
      <c r="G2" s="21" t="str">
        <f>VLOOKUP(F2,[1]characters!$A:$C,3,FALSE)</f>
        <v>リトルハンプティ</v>
      </c>
      <c r="H2" s="18">
        <v>1</v>
      </c>
      <c r="I2" s="119">
        <v>1</v>
      </c>
    </row>
    <row r="3" spans="1:9" ht="21" customHeight="1" x14ac:dyDescent="0.15">
      <c r="A3" s="67" t="str">
        <f t="shared" ref="A3" si="1">B3&amp;"_"&amp;F3</f>
        <v>168_104</v>
      </c>
      <c r="B3" s="45">
        <v>168</v>
      </c>
      <c r="C3" s="21" t="e">
        <f ca="1">VLOOKUP($B3,OFFSET(units!$A$1,0,0,COUNTA(units!$A:$A),MATCH(C$1,units!$1:$1,0)-COLUMN(INDIRECT("character_id"))+1),MATCH(C$1,units!$1:$1,0)-COLUMN(INDIRECT("character_id"))+1,FALSE)</f>
        <v>#N/A</v>
      </c>
      <c r="D3" s="21" t="e">
        <f ca="1">VLOOKUP($B3,OFFSET(units!$A$1,0,0,COUNTA(units!$A:$A),MATCH(D$1,units!$1:$1,0)-COLUMN(INDIRECT("character_id"))+1),MATCH(D$1,units!$1:$1,0)-COLUMN(INDIRECT("character_id"))+1,FALSE)</f>
        <v>#N/A</v>
      </c>
      <c r="E3" s="21" t="e">
        <f ca="1">VLOOKUP($B3,OFFSET(units!$A$1,0,0,COUNTA(units!$A:$A),MATCH(E$1,units!$1:$1,0)-COLUMN(INDIRECT("character_id"))+1),MATCH(E$1,units!$1:$1,0)-COLUMN(INDIRECT("character_id"))+1,FALSE)</f>
        <v>#N/A</v>
      </c>
      <c r="F3" s="45">
        <v>104</v>
      </c>
      <c r="G3" s="21" t="str">
        <f>VLOOKUP(F3,[1]characters!$A:$C,3,FALSE)</f>
        <v>炎のマッドハッター</v>
      </c>
      <c r="H3" s="18">
        <v>1</v>
      </c>
      <c r="I3" s="119">
        <v>1</v>
      </c>
    </row>
    <row r="4" spans="1:9" ht="21" customHeight="1" x14ac:dyDescent="0.15">
      <c r="A4" s="67" t="str">
        <f t="shared" si="0"/>
        <v>168_103</v>
      </c>
      <c r="B4" s="45">
        <v>168</v>
      </c>
      <c r="C4" s="21" t="e">
        <f ca="1">VLOOKUP($B4,OFFSET(units!$A$1,0,0,COUNTA(units!$A:$A),MATCH(C$1,units!$1:$1,0)-COLUMN(INDIRECT("character_id"))+1),MATCH(C$1,units!$1:$1,0)-COLUMN(INDIRECT("character_id"))+1,FALSE)</f>
        <v>#N/A</v>
      </c>
      <c r="D4" s="21" t="e">
        <f ca="1">VLOOKUP($B4,OFFSET(units!$A$1,0,0,COUNTA(units!$A:$A),MATCH(D$1,units!$1:$1,0)-COLUMN(INDIRECT("character_id"))+1),MATCH(D$1,units!$1:$1,0)-COLUMN(INDIRECT("character_id"))+1,FALSE)</f>
        <v>#N/A</v>
      </c>
      <c r="E4" s="21" t="e">
        <f ca="1">VLOOKUP($B4,OFFSET(units!$A$1,0,0,COUNTA(units!$A:$A),MATCH(E$1,units!$1:$1,0)-COLUMN(INDIRECT("character_id"))+1),MATCH(E$1,units!$1:$1,0)-COLUMN(INDIRECT("character_id"))+1,FALSE)</f>
        <v>#N/A</v>
      </c>
      <c r="F4" s="45">
        <v>103</v>
      </c>
      <c r="G4" s="21" t="str">
        <f>VLOOKUP(F4,[1]characters!$A:$C,3,FALSE)</f>
        <v>レッドキャタップ</v>
      </c>
      <c r="H4" s="18">
        <v>1</v>
      </c>
      <c r="I4" s="119">
        <v>1</v>
      </c>
    </row>
    <row r="5" spans="1:9" ht="21" customHeight="1" x14ac:dyDescent="0.15">
      <c r="A5" s="67" t="str">
        <f t="shared" si="0"/>
        <v>168_102</v>
      </c>
      <c r="B5" s="45">
        <v>168</v>
      </c>
      <c r="C5" s="21" t="e">
        <f ca="1">VLOOKUP($B5,OFFSET(units!$A$1,0,0,COUNTA(units!$A:$A),MATCH(C$1,units!$1:$1,0)-COLUMN(INDIRECT("character_id"))+1),MATCH(C$1,units!$1:$1,0)-COLUMN(INDIRECT("character_id"))+1,FALSE)</f>
        <v>#N/A</v>
      </c>
      <c r="D5" s="21" t="e">
        <f ca="1">VLOOKUP($B5,OFFSET(units!$A$1,0,0,COUNTA(units!$A:$A),MATCH(D$1,units!$1:$1,0)-COLUMN(INDIRECT("character_id"))+1),MATCH(D$1,units!$1:$1,0)-COLUMN(INDIRECT("character_id"))+1,FALSE)</f>
        <v>#N/A</v>
      </c>
      <c r="E5" s="21" t="e">
        <f ca="1">VLOOKUP($B5,OFFSET(units!$A$1,0,0,COUNTA(units!$A:$A),MATCH(E$1,units!$1:$1,0)-COLUMN(INDIRECT("character_id"))+1),MATCH(E$1,units!$1:$1,0)-COLUMN(INDIRECT("character_id"))+1,FALSE)</f>
        <v>#N/A</v>
      </c>
      <c r="F5" s="45">
        <v>102</v>
      </c>
      <c r="G5" s="21" t="str">
        <f>VLOOKUP(F5,[1]characters!$A:$C,3,FALSE)</f>
        <v>レッドラビット</v>
      </c>
      <c r="H5" s="18">
        <v>1</v>
      </c>
      <c r="I5" s="119">
        <v>1</v>
      </c>
    </row>
    <row r="6" spans="1:9" ht="21" customHeight="1" x14ac:dyDescent="0.15">
      <c r="A6" s="67" t="str">
        <f t="shared" si="0"/>
        <v>171_837</v>
      </c>
      <c r="B6" s="45">
        <v>171</v>
      </c>
      <c r="C6" s="21" t="e">
        <f ca="1">VLOOKUP($B6,OFFSET(units!$A$1,0,0,COUNTA(units!$A:$A),MATCH(C$1,units!$1:$1,0)-COLUMN(INDIRECT("character_id"))+1),MATCH(C$1,units!$1:$1,0)-COLUMN(INDIRECT("character_id"))+1,FALSE)</f>
        <v>#N/A</v>
      </c>
      <c r="D6" s="21" t="e">
        <f ca="1">VLOOKUP($B6,OFFSET(units!$A$1,0,0,COUNTA(units!$A:$A),MATCH(D$1,units!$1:$1,0)-COLUMN(INDIRECT("character_id"))+1),MATCH(D$1,units!$1:$1,0)-COLUMN(INDIRECT("character_id"))+1,FALSE)</f>
        <v>#N/A</v>
      </c>
      <c r="E6" s="21" t="e">
        <f ca="1">VLOOKUP($B6,OFFSET(units!$A$1,0,0,COUNTA(units!$A:$A),MATCH(E$1,units!$1:$1,0)-COLUMN(INDIRECT("character_id"))+1),MATCH(E$1,units!$1:$1,0)-COLUMN(INDIRECT("character_id"))+1,FALSE)</f>
        <v>#N/A</v>
      </c>
      <c r="F6" s="45">
        <v>837</v>
      </c>
      <c r="G6" s="21" t="str">
        <f>VLOOKUP(F6,[1]characters!$A:$C,3,FALSE)</f>
        <v>リトルハンプティ</v>
      </c>
      <c r="H6" s="18">
        <v>1</v>
      </c>
      <c r="I6" s="119">
        <v>1</v>
      </c>
    </row>
    <row r="7" spans="1:9" ht="21" customHeight="1" x14ac:dyDescent="0.15">
      <c r="A7" s="67" t="str">
        <f t="shared" ref="A7" si="2">B7&amp;"_"&amp;F7</f>
        <v>171_108</v>
      </c>
      <c r="B7" s="45">
        <v>171</v>
      </c>
      <c r="C7" s="21" t="e">
        <f ca="1">VLOOKUP($B7,OFFSET(units!$A$1,0,0,COUNTA(units!$A:$A),MATCH(C$1,units!$1:$1,0)-COLUMN(INDIRECT("character_id"))+1),MATCH(C$1,units!$1:$1,0)-COLUMN(INDIRECT("character_id"))+1,FALSE)</f>
        <v>#N/A</v>
      </c>
      <c r="D7" s="21" t="e">
        <f ca="1">VLOOKUP($B7,OFFSET(units!$A$1,0,0,COUNTA(units!$A:$A),MATCH(D$1,units!$1:$1,0)-COLUMN(INDIRECT("character_id"))+1),MATCH(D$1,units!$1:$1,0)-COLUMN(INDIRECT("character_id"))+1,FALSE)</f>
        <v>#N/A</v>
      </c>
      <c r="E7" s="21" t="e">
        <f ca="1">VLOOKUP($B7,OFFSET(units!$A$1,0,0,COUNTA(units!$A:$A),MATCH(E$1,units!$1:$1,0)-COLUMN(INDIRECT("character_id"))+1),MATCH(E$1,units!$1:$1,0)-COLUMN(INDIRECT("character_id"))+1,FALSE)</f>
        <v>#N/A</v>
      </c>
      <c r="F7" s="45">
        <v>108</v>
      </c>
      <c r="G7" s="21" t="str">
        <f>VLOOKUP(F7,[1]characters!$A:$C,3,FALSE)</f>
        <v>森のマッドハッター</v>
      </c>
      <c r="H7" s="18">
        <v>1</v>
      </c>
      <c r="I7" s="119">
        <v>1</v>
      </c>
    </row>
    <row r="8" spans="1:9" ht="21" customHeight="1" x14ac:dyDescent="0.15">
      <c r="A8" s="67" t="str">
        <f t="shared" si="0"/>
        <v>171_107</v>
      </c>
      <c r="B8" s="45">
        <v>171</v>
      </c>
      <c r="C8" s="21" t="e">
        <f ca="1">VLOOKUP($B8,OFFSET(units!$A$1,0,0,COUNTA(units!$A:$A),MATCH(C$1,units!$1:$1,0)-COLUMN(INDIRECT("character_id"))+1),MATCH(C$1,units!$1:$1,0)-COLUMN(INDIRECT("character_id"))+1,FALSE)</f>
        <v>#N/A</v>
      </c>
      <c r="D8" s="21" t="e">
        <f ca="1">VLOOKUP($B8,OFFSET(units!$A$1,0,0,COUNTA(units!$A:$A),MATCH(D$1,units!$1:$1,0)-COLUMN(INDIRECT("character_id"))+1),MATCH(D$1,units!$1:$1,0)-COLUMN(INDIRECT("character_id"))+1,FALSE)</f>
        <v>#N/A</v>
      </c>
      <c r="E8" s="21" t="e">
        <f ca="1">VLOOKUP($B8,OFFSET(units!$A$1,0,0,COUNTA(units!$A:$A),MATCH(E$1,units!$1:$1,0)-COLUMN(INDIRECT("character_id"))+1),MATCH(E$1,units!$1:$1,0)-COLUMN(INDIRECT("character_id"))+1,FALSE)</f>
        <v>#N/A</v>
      </c>
      <c r="F8" s="45">
        <v>107</v>
      </c>
      <c r="G8" s="21" t="str">
        <f>VLOOKUP(F8,[1]characters!$A:$C,3,FALSE)</f>
        <v>グリーンキャタップ</v>
      </c>
      <c r="H8" s="18">
        <v>1</v>
      </c>
      <c r="I8" s="119">
        <v>1</v>
      </c>
    </row>
    <row r="9" spans="1:9" ht="21" customHeight="1" x14ac:dyDescent="0.15">
      <c r="A9" s="67" t="str">
        <f t="shared" si="0"/>
        <v>171_106</v>
      </c>
      <c r="B9" s="45">
        <v>171</v>
      </c>
      <c r="C9" s="21" t="e">
        <f ca="1">VLOOKUP($B9,OFFSET(units!$A$1,0,0,COUNTA(units!$A:$A),MATCH(C$1,units!$1:$1,0)-COLUMN(INDIRECT("character_id"))+1),MATCH(C$1,units!$1:$1,0)-COLUMN(INDIRECT("character_id"))+1,FALSE)</f>
        <v>#N/A</v>
      </c>
      <c r="D9" s="21" t="e">
        <f ca="1">VLOOKUP($B9,OFFSET(units!$A$1,0,0,COUNTA(units!$A:$A),MATCH(D$1,units!$1:$1,0)-COLUMN(INDIRECT("character_id"))+1),MATCH(D$1,units!$1:$1,0)-COLUMN(INDIRECT("character_id"))+1,FALSE)</f>
        <v>#N/A</v>
      </c>
      <c r="E9" s="21" t="e">
        <f ca="1">VLOOKUP($B9,OFFSET(units!$A$1,0,0,COUNTA(units!$A:$A),MATCH(E$1,units!$1:$1,0)-COLUMN(INDIRECT("character_id"))+1),MATCH(E$1,units!$1:$1,0)-COLUMN(INDIRECT("character_id"))+1,FALSE)</f>
        <v>#N/A</v>
      </c>
      <c r="F9" s="45">
        <v>106</v>
      </c>
      <c r="G9" s="21" t="str">
        <f>VLOOKUP(F9,[1]characters!$A:$C,3,FALSE)</f>
        <v>グリーンラビット</v>
      </c>
      <c r="H9" s="18">
        <v>1</v>
      </c>
      <c r="I9" s="119">
        <v>1</v>
      </c>
    </row>
    <row r="10" spans="1:9" ht="21" customHeight="1" x14ac:dyDescent="0.15">
      <c r="A10" s="67" t="str">
        <f t="shared" si="0"/>
        <v>174_837</v>
      </c>
      <c r="B10" s="45">
        <v>174</v>
      </c>
      <c r="C10" s="21" t="e">
        <f ca="1">VLOOKUP($B10,OFFSET(units!$A$1,0,0,COUNTA(units!$A:$A),MATCH(C$1,units!$1:$1,0)-COLUMN(INDIRECT("character_id"))+1),MATCH(C$1,units!$1:$1,0)-COLUMN(INDIRECT("character_id"))+1,FALSE)</f>
        <v>#N/A</v>
      </c>
      <c r="D10" s="21" t="e">
        <f ca="1">VLOOKUP($B10,OFFSET(units!$A$1,0,0,COUNTA(units!$A:$A),MATCH(D$1,units!$1:$1,0)-COLUMN(INDIRECT("character_id"))+1),MATCH(D$1,units!$1:$1,0)-COLUMN(INDIRECT("character_id"))+1,FALSE)</f>
        <v>#N/A</v>
      </c>
      <c r="E10" s="21" t="e">
        <f ca="1">VLOOKUP($B10,OFFSET(units!$A$1,0,0,COUNTA(units!$A:$A),MATCH(E$1,units!$1:$1,0)-COLUMN(INDIRECT("character_id"))+1),MATCH(E$1,units!$1:$1,0)-COLUMN(INDIRECT("character_id"))+1,FALSE)</f>
        <v>#N/A</v>
      </c>
      <c r="F10" s="45">
        <v>837</v>
      </c>
      <c r="G10" s="21" t="str">
        <f>VLOOKUP(F10,[1]characters!$A:$C,3,FALSE)</f>
        <v>リトルハンプティ</v>
      </c>
      <c r="H10" s="18">
        <v>1</v>
      </c>
      <c r="I10" s="119">
        <v>1</v>
      </c>
    </row>
    <row r="11" spans="1:9" ht="21" customHeight="1" x14ac:dyDescent="0.15">
      <c r="A11" s="67" t="str">
        <f t="shared" ref="A11" si="3">B11&amp;"_"&amp;F11</f>
        <v>174_112</v>
      </c>
      <c r="B11" s="45">
        <v>174</v>
      </c>
      <c r="C11" s="21" t="e">
        <f ca="1">VLOOKUP($B11,OFFSET(units!$A$1,0,0,COUNTA(units!$A:$A),MATCH(C$1,units!$1:$1,0)-COLUMN(INDIRECT("character_id"))+1),MATCH(C$1,units!$1:$1,0)-COLUMN(INDIRECT("character_id"))+1,FALSE)</f>
        <v>#N/A</v>
      </c>
      <c r="D11" s="21" t="e">
        <f ca="1">VLOOKUP($B11,OFFSET(units!$A$1,0,0,COUNTA(units!$A:$A),MATCH(D$1,units!$1:$1,0)-COLUMN(INDIRECT("character_id"))+1),MATCH(D$1,units!$1:$1,0)-COLUMN(INDIRECT("character_id"))+1,FALSE)</f>
        <v>#N/A</v>
      </c>
      <c r="E11" s="21" t="e">
        <f ca="1">VLOOKUP($B11,OFFSET(units!$A$1,0,0,COUNTA(units!$A:$A),MATCH(E$1,units!$1:$1,0)-COLUMN(INDIRECT("character_id"))+1),MATCH(E$1,units!$1:$1,0)-COLUMN(INDIRECT("character_id"))+1,FALSE)</f>
        <v>#N/A</v>
      </c>
      <c r="F11" s="45">
        <v>112</v>
      </c>
      <c r="G11" s="21" t="str">
        <f>VLOOKUP(F11,[1]characters!$A:$C,3,FALSE)</f>
        <v>水のマッドハッター</v>
      </c>
      <c r="H11" s="18">
        <v>1</v>
      </c>
      <c r="I11" s="119">
        <v>1</v>
      </c>
    </row>
    <row r="12" spans="1:9" ht="21" customHeight="1" x14ac:dyDescent="0.15">
      <c r="A12" s="67" t="str">
        <f t="shared" si="0"/>
        <v>174_111</v>
      </c>
      <c r="B12" s="45">
        <v>174</v>
      </c>
      <c r="C12" s="21" t="e">
        <f ca="1">VLOOKUP($B12,OFFSET(units!$A$1,0,0,COUNTA(units!$A:$A),MATCH(C$1,units!$1:$1,0)-COLUMN(INDIRECT("character_id"))+1),MATCH(C$1,units!$1:$1,0)-COLUMN(INDIRECT("character_id"))+1,FALSE)</f>
        <v>#N/A</v>
      </c>
      <c r="D12" s="21" t="e">
        <f ca="1">VLOOKUP($B12,OFFSET(units!$A$1,0,0,COUNTA(units!$A:$A),MATCH(D$1,units!$1:$1,0)-COLUMN(INDIRECT("character_id"))+1),MATCH(D$1,units!$1:$1,0)-COLUMN(INDIRECT("character_id"))+1,FALSE)</f>
        <v>#N/A</v>
      </c>
      <c r="E12" s="21" t="e">
        <f ca="1">VLOOKUP($B12,OFFSET(units!$A$1,0,0,COUNTA(units!$A:$A),MATCH(E$1,units!$1:$1,0)-COLUMN(INDIRECT("character_id"))+1),MATCH(E$1,units!$1:$1,0)-COLUMN(INDIRECT("character_id"))+1,FALSE)</f>
        <v>#N/A</v>
      </c>
      <c r="F12" s="45">
        <v>111</v>
      </c>
      <c r="G12" s="21" t="str">
        <f>VLOOKUP(F12,[1]characters!$A:$C,3,FALSE)</f>
        <v>ブルーキャタップ</v>
      </c>
      <c r="H12" s="18">
        <v>1</v>
      </c>
      <c r="I12" s="119">
        <v>1</v>
      </c>
    </row>
    <row r="13" spans="1:9" ht="21" customHeight="1" x14ac:dyDescent="0.15">
      <c r="A13" s="67" t="str">
        <f t="shared" si="0"/>
        <v>174_110</v>
      </c>
      <c r="B13" s="45">
        <v>174</v>
      </c>
      <c r="C13" s="21" t="e">
        <f ca="1">VLOOKUP($B13,OFFSET(units!$A$1,0,0,COUNTA(units!$A:$A),MATCH(C$1,units!$1:$1,0)-COLUMN(INDIRECT("character_id"))+1),MATCH(C$1,units!$1:$1,0)-COLUMN(INDIRECT("character_id"))+1,FALSE)</f>
        <v>#N/A</v>
      </c>
      <c r="D13" s="21" t="e">
        <f ca="1">VLOOKUP($B13,OFFSET(units!$A$1,0,0,COUNTA(units!$A:$A),MATCH(D$1,units!$1:$1,0)-COLUMN(INDIRECT("character_id"))+1),MATCH(D$1,units!$1:$1,0)-COLUMN(INDIRECT("character_id"))+1,FALSE)</f>
        <v>#N/A</v>
      </c>
      <c r="E13" s="21" t="e">
        <f ca="1">VLOOKUP($B13,OFFSET(units!$A$1,0,0,COUNTA(units!$A:$A),MATCH(E$1,units!$1:$1,0)-COLUMN(INDIRECT("character_id"))+1),MATCH(E$1,units!$1:$1,0)-COLUMN(INDIRECT("character_id"))+1,FALSE)</f>
        <v>#N/A</v>
      </c>
      <c r="F13" s="45">
        <v>110</v>
      </c>
      <c r="G13" s="21" t="str">
        <f>VLOOKUP(F13,[1]characters!$A:$C,3,FALSE)</f>
        <v>ブルーラビット</v>
      </c>
      <c r="H13" s="18">
        <v>1</v>
      </c>
      <c r="I13" s="119">
        <v>1</v>
      </c>
    </row>
    <row r="14" spans="1:9" ht="21" customHeight="1" x14ac:dyDescent="0.15">
      <c r="A14" s="67" t="str">
        <f t="shared" si="0"/>
        <v>237_837</v>
      </c>
      <c r="B14" s="45">
        <v>237</v>
      </c>
      <c r="C14" s="21" t="e">
        <f ca="1">VLOOKUP($B14,OFFSET(units!$A$1,0,0,COUNTA(units!$A:$A),MATCH(C$1,units!$1:$1,0)-COLUMN(INDIRECT("character_id"))+1),MATCH(C$1,units!$1:$1,0)-COLUMN(INDIRECT("character_id"))+1,FALSE)</f>
        <v>#N/A</v>
      </c>
      <c r="D14" s="21" t="e">
        <f ca="1">VLOOKUP($B14,OFFSET(units!$A$1,0,0,COUNTA(units!$A:$A),MATCH(D$1,units!$1:$1,0)-COLUMN(INDIRECT("character_id"))+1),MATCH(D$1,units!$1:$1,0)-COLUMN(INDIRECT("character_id"))+1,FALSE)</f>
        <v>#N/A</v>
      </c>
      <c r="E14" s="21" t="e">
        <f ca="1">VLOOKUP($B14,OFFSET(units!$A$1,0,0,COUNTA(units!$A:$A),MATCH(E$1,units!$1:$1,0)-COLUMN(INDIRECT("character_id"))+1),MATCH(E$1,units!$1:$1,0)-COLUMN(INDIRECT("character_id"))+1,FALSE)</f>
        <v>#N/A</v>
      </c>
      <c r="F14" s="45">
        <v>837</v>
      </c>
      <c r="G14" s="21" t="str">
        <f>VLOOKUP(F14,[1]characters!$A:$C,3,FALSE)</f>
        <v>リトルハンプティ</v>
      </c>
      <c r="H14" s="18">
        <v>1</v>
      </c>
      <c r="I14" s="119">
        <v>1</v>
      </c>
    </row>
    <row r="15" spans="1:9" ht="21" customHeight="1" x14ac:dyDescent="0.15">
      <c r="A15" s="67" t="str">
        <f t="shared" ref="A15" si="4">B15&amp;"_"&amp;F15</f>
        <v>237_116</v>
      </c>
      <c r="B15" s="45">
        <v>237</v>
      </c>
      <c r="C15" s="21" t="e">
        <f ca="1">VLOOKUP($B15,OFFSET(units!$A$1,0,0,COUNTA(units!$A:$A),MATCH(C$1,units!$1:$1,0)-COLUMN(INDIRECT("character_id"))+1),MATCH(C$1,units!$1:$1,0)-COLUMN(INDIRECT("character_id"))+1,FALSE)</f>
        <v>#N/A</v>
      </c>
      <c r="D15" s="21" t="e">
        <f ca="1">VLOOKUP($B15,OFFSET(units!$A$1,0,0,COUNTA(units!$A:$A),MATCH(D$1,units!$1:$1,0)-COLUMN(INDIRECT("character_id"))+1),MATCH(D$1,units!$1:$1,0)-COLUMN(INDIRECT("character_id"))+1,FALSE)</f>
        <v>#N/A</v>
      </c>
      <c r="E15" s="21" t="e">
        <f ca="1">VLOOKUP($B15,OFFSET(units!$A$1,0,0,COUNTA(units!$A:$A),MATCH(E$1,units!$1:$1,0)-COLUMN(INDIRECT("character_id"))+1),MATCH(E$1,units!$1:$1,0)-COLUMN(INDIRECT("character_id"))+1,FALSE)</f>
        <v>#N/A</v>
      </c>
      <c r="F15" s="45">
        <v>116</v>
      </c>
      <c r="G15" s="21" t="str">
        <f>VLOOKUP(F15,[1]characters!$A:$C,3,FALSE)</f>
        <v>雷のマッドハッター</v>
      </c>
      <c r="H15" s="18">
        <v>1</v>
      </c>
      <c r="I15" s="119">
        <v>1</v>
      </c>
    </row>
    <row r="16" spans="1:9" ht="21" customHeight="1" x14ac:dyDescent="0.15">
      <c r="A16" s="67" t="str">
        <f t="shared" si="0"/>
        <v>237_115</v>
      </c>
      <c r="B16" s="45">
        <v>237</v>
      </c>
      <c r="C16" s="21" t="e">
        <f ca="1">VLOOKUP($B16,OFFSET(units!$A$1,0,0,COUNTA(units!$A:$A),MATCH(C$1,units!$1:$1,0)-COLUMN(INDIRECT("character_id"))+1),MATCH(C$1,units!$1:$1,0)-COLUMN(INDIRECT("character_id"))+1,FALSE)</f>
        <v>#N/A</v>
      </c>
      <c r="D16" s="21" t="e">
        <f ca="1">VLOOKUP($B16,OFFSET(units!$A$1,0,0,COUNTA(units!$A:$A),MATCH(D$1,units!$1:$1,0)-COLUMN(INDIRECT("character_id"))+1),MATCH(D$1,units!$1:$1,0)-COLUMN(INDIRECT("character_id"))+1,FALSE)</f>
        <v>#N/A</v>
      </c>
      <c r="E16" s="21" t="e">
        <f ca="1">VLOOKUP($B16,OFFSET(units!$A$1,0,0,COUNTA(units!$A:$A),MATCH(E$1,units!$1:$1,0)-COLUMN(INDIRECT("character_id"))+1),MATCH(E$1,units!$1:$1,0)-COLUMN(INDIRECT("character_id"))+1,FALSE)</f>
        <v>#N/A</v>
      </c>
      <c r="F16" s="45">
        <v>115</v>
      </c>
      <c r="G16" s="21" t="str">
        <f>VLOOKUP(F16,[1]characters!$A:$C,3,FALSE)</f>
        <v>イエローキャタップ</v>
      </c>
      <c r="H16" s="18">
        <v>1</v>
      </c>
      <c r="I16" s="119">
        <v>1</v>
      </c>
    </row>
    <row r="17" spans="1:9" ht="21" customHeight="1" x14ac:dyDescent="0.15">
      <c r="A17" s="67" t="str">
        <f t="shared" si="0"/>
        <v>237_114</v>
      </c>
      <c r="B17" s="45">
        <v>237</v>
      </c>
      <c r="C17" s="21" t="e">
        <f ca="1">VLOOKUP($B17,OFFSET(units!$A$1,0,0,COUNTA(units!$A:$A),MATCH(C$1,units!$1:$1,0)-COLUMN(INDIRECT("character_id"))+1),MATCH(C$1,units!$1:$1,0)-COLUMN(INDIRECT("character_id"))+1,FALSE)</f>
        <v>#N/A</v>
      </c>
      <c r="D17" s="21" t="e">
        <f ca="1">VLOOKUP($B17,OFFSET(units!$A$1,0,0,COUNTA(units!$A:$A),MATCH(D$1,units!$1:$1,0)-COLUMN(INDIRECT("character_id"))+1),MATCH(D$1,units!$1:$1,0)-COLUMN(INDIRECT("character_id"))+1,FALSE)</f>
        <v>#N/A</v>
      </c>
      <c r="E17" s="21" t="e">
        <f ca="1">VLOOKUP($B17,OFFSET(units!$A$1,0,0,COUNTA(units!$A:$A),MATCH(E$1,units!$1:$1,0)-COLUMN(INDIRECT("character_id"))+1),MATCH(E$1,units!$1:$1,0)-COLUMN(INDIRECT("character_id"))+1,FALSE)</f>
        <v>#N/A</v>
      </c>
      <c r="F17" s="45">
        <v>114</v>
      </c>
      <c r="G17" s="21" t="str">
        <f>VLOOKUP(F17,[1]characters!$A:$C,3,FALSE)</f>
        <v>イエローラビット</v>
      </c>
      <c r="H17" s="18">
        <v>1</v>
      </c>
      <c r="I17" s="119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B20" sqref="B20: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53" t="s">
        <v>250</v>
      </c>
      <c r="B2" s="154"/>
      <c r="C2" s="155"/>
      <c r="D2" s="156" t="s">
        <v>251</v>
      </c>
      <c r="E2" s="156">
        <v>30</v>
      </c>
      <c r="F2" s="156">
        <v>40</v>
      </c>
      <c r="G2" s="156">
        <f>15+F2</f>
        <v>55</v>
      </c>
      <c r="H2" s="155"/>
      <c r="I2" s="155"/>
    </row>
    <row r="3" spans="1:9" s="4" customFormat="1" ht="21" customHeight="1" x14ac:dyDescent="0.15">
      <c r="A3" s="153" t="s">
        <v>252</v>
      </c>
      <c r="B3" s="157"/>
      <c r="C3" s="158"/>
      <c r="D3" s="159" t="s">
        <v>253</v>
      </c>
      <c r="E3" s="159">
        <v>25</v>
      </c>
      <c r="F3" s="159">
        <v>35</v>
      </c>
      <c r="G3" s="156">
        <f t="shared" ref="G3:G4" si="0">15+F3</f>
        <v>50</v>
      </c>
      <c r="H3" s="158"/>
      <c r="I3" s="158"/>
    </row>
    <row r="4" spans="1:9" s="4" customFormat="1" ht="21" customHeight="1" x14ac:dyDescent="0.15">
      <c r="A4" s="153" t="s">
        <v>254</v>
      </c>
      <c r="B4" s="160"/>
      <c r="C4" s="161"/>
      <c r="D4" s="162">
        <v>10</v>
      </c>
      <c r="E4" s="162">
        <v>20</v>
      </c>
      <c r="F4" s="162">
        <v>30</v>
      </c>
      <c r="G4" s="162">
        <f t="shared" si="0"/>
        <v>45</v>
      </c>
      <c r="H4" s="161"/>
      <c r="I4" s="161"/>
    </row>
    <row r="5" spans="1:9" s="4" customFormat="1" ht="21" customHeight="1" x14ac:dyDescent="0.15">
      <c r="A5" s="163" t="s">
        <v>255</v>
      </c>
      <c r="B5" s="164"/>
      <c r="C5" s="165"/>
      <c r="D5" s="29">
        <v>9</v>
      </c>
      <c r="E5" s="29">
        <v>18</v>
      </c>
      <c r="F5" s="29">
        <v>28</v>
      </c>
      <c r="G5" s="40">
        <v>38</v>
      </c>
      <c r="H5" s="165"/>
      <c r="I5" s="165"/>
    </row>
    <row r="6" spans="1:9" s="4" customFormat="1" ht="21" customHeight="1" x14ac:dyDescent="0.15">
      <c r="A6" s="163" t="s">
        <v>256</v>
      </c>
      <c r="B6" s="164"/>
      <c r="C6" s="165"/>
      <c r="D6" s="29">
        <v>7</v>
      </c>
      <c r="E6" s="29">
        <v>16</v>
      </c>
      <c r="F6" s="71" t="s">
        <v>11</v>
      </c>
      <c r="G6" s="71" t="s">
        <v>11</v>
      </c>
      <c r="H6" s="165"/>
      <c r="I6" s="165"/>
    </row>
    <row r="7" spans="1:9" ht="21" customHeight="1" x14ac:dyDescent="0.15">
      <c r="A7" s="80" t="s">
        <v>211</v>
      </c>
      <c r="B7" s="48" t="s">
        <v>11</v>
      </c>
      <c r="C7" s="48" t="s">
        <v>11</v>
      </c>
      <c r="D7" s="40" t="s">
        <v>115</v>
      </c>
      <c r="E7" s="40" t="s">
        <v>212</v>
      </c>
      <c r="F7" s="40" t="s">
        <v>212</v>
      </c>
      <c r="G7" s="40" t="s">
        <v>212</v>
      </c>
      <c r="H7" s="40" t="s">
        <v>212</v>
      </c>
      <c r="I7" s="40" t="s">
        <v>212</v>
      </c>
    </row>
    <row r="8" spans="1:9" ht="21" customHeight="1" x14ac:dyDescent="0.15">
      <c r="A8" s="81" t="s">
        <v>205</v>
      </c>
      <c r="B8" s="48" t="s">
        <v>11</v>
      </c>
      <c r="C8" s="48" t="s">
        <v>11</v>
      </c>
      <c r="D8" s="40" t="s">
        <v>115</v>
      </c>
      <c r="E8" s="40">
        <v>30</v>
      </c>
      <c r="F8" s="40">
        <v>40</v>
      </c>
      <c r="G8" s="40">
        <f>15+F8</f>
        <v>55</v>
      </c>
      <c r="H8" s="40" t="s">
        <v>115</v>
      </c>
      <c r="I8" s="40" t="s">
        <v>115</v>
      </c>
    </row>
    <row r="9" spans="1:9" s="47" customFormat="1" ht="21" customHeight="1" x14ac:dyDescent="0.15">
      <c r="A9" s="82" t="s">
        <v>206</v>
      </c>
      <c r="B9" s="29" t="s">
        <v>11</v>
      </c>
      <c r="C9" s="29" t="s">
        <v>11</v>
      </c>
      <c r="D9" s="110" t="s">
        <v>115</v>
      </c>
      <c r="E9" s="110">
        <v>25</v>
      </c>
      <c r="F9" s="110">
        <v>35</v>
      </c>
      <c r="G9" s="40">
        <f t="shared" ref="G9:G10" si="1">15+F9</f>
        <v>50</v>
      </c>
      <c r="H9" s="110" t="s">
        <v>115</v>
      </c>
      <c r="I9" s="110" t="s">
        <v>115</v>
      </c>
    </row>
    <row r="10" spans="1:9" ht="21" customHeight="1" x14ac:dyDescent="0.15">
      <c r="A10" s="82" t="s">
        <v>9</v>
      </c>
      <c r="B10" s="71" t="s">
        <v>11</v>
      </c>
      <c r="C10" s="71" t="s">
        <v>11</v>
      </c>
      <c r="D10" s="29">
        <v>10</v>
      </c>
      <c r="E10" s="29">
        <v>20</v>
      </c>
      <c r="F10" s="29">
        <v>30</v>
      </c>
      <c r="G10" s="40">
        <f t="shared" si="1"/>
        <v>45</v>
      </c>
      <c r="H10" s="71" t="s">
        <v>11</v>
      </c>
      <c r="I10" s="71" t="s">
        <v>11</v>
      </c>
    </row>
    <row r="11" spans="1:9" ht="21" customHeight="1" x14ac:dyDescent="0.15">
      <c r="A11" s="82" t="s">
        <v>215</v>
      </c>
      <c r="B11" s="71" t="s">
        <v>11</v>
      </c>
      <c r="C11" s="71" t="s">
        <v>11</v>
      </c>
      <c r="D11" s="29">
        <v>9</v>
      </c>
      <c r="E11" s="29">
        <v>18</v>
      </c>
      <c r="F11" s="29">
        <v>28</v>
      </c>
      <c r="G11" s="40">
        <v>38</v>
      </c>
      <c r="H11" s="71" t="s">
        <v>11</v>
      </c>
      <c r="I11" s="71" t="s">
        <v>11</v>
      </c>
    </row>
    <row r="12" spans="1:9" ht="21" customHeight="1" x14ac:dyDescent="0.15">
      <c r="A12" s="82" t="s">
        <v>112</v>
      </c>
      <c r="B12" s="71" t="s">
        <v>11</v>
      </c>
      <c r="C12" s="71" t="s">
        <v>11</v>
      </c>
      <c r="D12" s="29">
        <v>7</v>
      </c>
      <c r="E12" s="29">
        <v>16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109" t="s">
        <v>216</v>
      </c>
      <c r="B13" s="71" t="s">
        <v>11</v>
      </c>
      <c r="C13" s="71" t="s">
        <v>11</v>
      </c>
      <c r="D13" s="29">
        <v>8</v>
      </c>
      <c r="E13" s="29">
        <v>17</v>
      </c>
      <c r="F13" s="29">
        <v>26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2" t="s">
        <v>217</v>
      </c>
      <c r="B14" s="71" t="s">
        <v>11</v>
      </c>
      <c r="C14" s="71" t="s">
        <v>11</v>
      </c>
      <c r="D14" s="29">
        <v>8</v>
      </c>
      <c r="E14" s="29">
        <v>17</v>
      </c>
      <c r="F14" s="29">
        <v>26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82" t="s">
        <v>111</v>
      </c>
      <c r="B15" s="71" t="s">
        <v>11</v>
      </c>
      <c r="C15" s="71" t="s">
        <v>11</v>
      </c>
      <c r="D15" s="29">
        <v>6</v>
      </c>
      <c r="E15" s="29">
        <v>14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 x14ac:dyDescent="0.15">
      <c r="A16" s="82" t="s">
        <v>218</v>
      </c>
      <c r="B16" s="71" t="s">
        <v>11</v>
      </c>
      <c r="C16" s="29">
        <v>4</v>
      </c>
      <c r="D16" s="29">
        <v>6</v>
      </c>
      <c r="E16" s="29">
        <v>14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 x14ac:dyDescent="0.15">
      <c r="A17" s="82" t="s">
        <v>8</v>
      </c>
      <c r="B17" s="29">
        <v>2</v>
      </c>
      <c r="C17" s="29">
        <v>4</v>
      </c>
      <c r="D17" s="29">
        <v>6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 x14ac:dyDescent="0.15">
      <c r="A18" s="83" t="s">
        <v>7</v>
      </c>
      <c r="B18" s="32">
        <v>1</v>
      </c>
      <c r="C18" s="32">
        <v>2</v>
      </c>
      <c r="D18" s="72" t="s">
        <v>11</v>
      </c>
      <c r="E18" s="72" t="s">
        <v>11</v>
      </c>
      <c r="F18" s="72" t="s">
        <v>11</v>
      </c>
      <c r="G18" s="72" t="s">
        <v>11</v>
      </c>
      <c r="H18" s="72" t="s">
        <v>11</v>
      </c>
      <c r="I18" s="72" t="s">
        <v>11</v>
      </c>
    </row>
    <row r="19" spans="1:9" ht="21" customHeight="1" x14ac:dyDescent="0.15">
      <c r="A19" s="84" t="s">
        <v>219</v>
      </c>
      <c r="B19" s="27">
        <v>1</v>
      </c>
      <c r="C19" s="27">
        <v>1</v>
      </c>
      <c r="D19" s="72" t="s">
        <v>11</v>
      </c>
      <c r="E19" s="72" t="s">
        <v>11</v>
      </c>
      <c r="F19" s="72" t="s">
        <v>11</v>
      </c>
      <c r="G19" s="72" t="s">
        <v>11</v>
      </c>
      <c r="H19" s="72" t="s">
        <v>11</v>
      </c>
      <c r="I19" s="72" t="s">
        <v>11</v>
      </c>
    </row>
    <row r="20" spans="1:9" ht="21" customHeight="1" x14ac:dyDescent="0.15">
      <c r="A20" s="38" t="s">
        <v>220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F19" sqref="F19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53" t="s">
        <v>250</v>
      </c>
      <c r="B2" s="154"/>
      <c r="C2" s="155"/>
      <c r="D2" s="166" t="s">
        <v>115</v>
      </c>
      <c r="E2" s="166">
        <v>60</v>
      </c>
      <c r="F2" s="166">
        <v>80</v>
      </c>
      <c r="G2" s="166">
        <v>99</v>
      </c>
      <c r="H2" s="155"/>
      <c r="I2" s="155"/>
    </row>
    <row r="3" spans="1:9" s="4" customFormat="1" ht="21" customHeight="1" x14ac:dyDescent="0.15">
      <c r="A3" s="153" t="s">
        <v>257</v>
      </c>
      <c r="B3" s="157"/>
      <c r="C3" s="158"/>
      <c r="D3" s="166" t="s">
        <v>115</v>
      </c>
      <c r="E3" s="166">
        <v>60</v>
      </c>
      <c r="F3" s="166">
        <v>80</v>
      </c>
      <c r="G3" s="166">
        <v>99</v>
      </c>
      <c r="H3" s="158"/>
      <c r="I3" s="158"/>
    </row>
    <row r="4" spans="1:9" s="4" customFormat="1" ht="21" customHeight="1" x14ac:dyDescent="0.15">
      <c r="A4" s="153" t="s">
        <v>258</v>
      </c>
      <c r="B4" s="160"/>
      <c r="C4" s="161"/>
      <c r="D4" s="166">
        <v>40</v>
      </c>
      <c r="E4" s="166">
        <v>60</v>
      </c>
      <c r="F4" s="166">
        <v>80</v>
      </c>
      <c r="G4" s="166">
        <v>99</v>
      </c>
      <c r="H4" s="161"/>
      <c r="I4" s="161"/>
    </row>
    <row r="5" spans="1:9" s="4" customFormat="1" ht="21" customHeight="1" x14ac:dyDescent="0.15">
      <c r="A5" s="163" t="s">
        <v>259</v>
      </c>
      <c r="B5" s="164"/>
      <c r="C5" s="165"/>
      <c r="D5" s="166">
        <v>40</v>
      </c>
      <c r="E5" s="166">
        <v>60</v>
      </c>
      <c r="F5" s="166">
        <v>80</v>
      </c>
      <c r="G5" s="166">
        <v>99</v>
      </c>
      <c r="H5" s="165"/>
      <c r="I5" s="165"/>
    </row>
    <row r="6" spans="1:9" s="4" customFormat="1" ht="21" customHeight="1" x14ac:dyDescent="0.15">
      <c r="A6" s="163" t="s">
        <v>256</v>
      </c>
      <c r="B6" s="164"/>
      <c r="C6" s="165"/>
      <c r="D6" s="166">
        <v>40</v>
      </c>
      <c r="E6" s="166">
        <v>60</v>
      </c>
      <c r="F6" s="166" t="s">
        <v>115</v>
      </c>
      <c r="G6" s="166" t="s">
        <v>115</v>
      </c>
      <c r="H6" s="165"/>
      <c r="I6" s="165"/>
    </row>
    <row r="7" spans="1:9" ht="21" customHeight="1" x14ac:dyDescent="0.15">
      <c r="A7" s="76" t="s">
        <v>221</v>
      </c>
      <c r="B7" s="41" t="s">
        <v>115</v>
      </c>
      <c r="C7" s="41" t="s">
        <v>115</v>
      </c>
      <c r="D7" s="41" t="s">
        <v>115</v>
      </c>
      <c r="E7" s="41" t="s">
        <v>115</v>
      </c>
      <c r="F7" s="41" t="s">
        <v>115</v>
      </c>
      <c r="G7" s="41" t="s">
        <v>115</v>
      </c>
      <c r="H7" s="41" t="s">
        <v>115</v>
      </c>
      <c r="I7" s="41" t="s">
        <v>115</v>
      </c>
    </row>
    <row r="8" spans="1:9" ht="21" customHeight="1" x14ac:dyDescent="0.15">
      <c r="A8" s="76" t="s">
        <v>205</v>
      </c>
      <c r="B8" s="41" t="s">
        <v>115</v>
      </c>
      <c r="C8" s="41" t="s">
        <v>115</v>
      </c>
      <c r="D8" s="41" t="s">
        <v>115</v>
      </c>
      <c r="E8" s="41">
        <v>60</v>
      </c>
      <c r="F8" s="41">
        <v>80</v>
      </c>
      <c r="G8" s="41">
        <v>99</v>
      </c>
      <c r="H8" s="41" t="s">
        <v>115</v>
      </c>
      <c r="I8" s="41" t="s">
        <v>115</v>
      </c>
    </row>
    <row r="9" spans="1:9" s="47" customFormat="1" ht="21" customHeight="1" x14ac:dyDescent="0.15">
      <c r="A9" s="77" t="s">
        <v>206</v>
      </c>
      <c r="B9" s="68" t="s">
        <v>115</v>
      </c>
      <c r="C9" s="68" t="s">
        <v>115</v>
      </c>
      <c r="D9" s="68" t="s">
        <v>115</v>
      </c>
      <c r="E9" s="68">
        <v>60</v>
      </c>
      <c r="F9" s="68">
        <v>80</v>
      </c>
      <c r="G9" s="68">
        <v>99</v>
      </c>
      <c r="H9" s="68" t="s">
        <v>115</v>
      </c>
      <c r="I9" s="68" t="s">
        <v>115</v>
      </c>
    </row>
    <row r="10" spans="1:9" ht="21" customHeight="1" x14ac:dyDescent="0.15">
      <c r="A10" s="77" t="s">
        <v>9</v>
      </c>
      <c r="B10" s="73" t="s">
        <v>115</v>
      </c>
      <c r="C10" s="73" t="s">
        <v>115</v>
      </c>
      <c r="D10" s="37">
        <v>40</v>
      </c>
      <c r="E10" s="37">
        <v>60</v>
      </c>
      <c r="F10" s="37">
        <v>80</v>
      </c>
      <c r="G10" s="41">
        <v>99</v>
      </c>
      <c r="H10" s="73" t="s">
        <v>115</v>
      </c>
      <c r="I10" s="73" t="s">
        <v>115</v>
      </c>
    </row>
    <row r="11" spans="1:9" ht="21" customHeight="1" x14ac:dyDescent="0.15">
      <c r="A11" s="77" t="s">
        <v>207</v>
      </c>
      <c r="B11" s="73" t="s">
        <v>115</v>
      </c>
      <c r="C11" s="73" t="s">
        <v>115</v>
      </c>
      <c r="D11" s="37">
        <v>40</v>
      </c>
      <c r="E11" s="37">
        <v>60</v>
      </c>
      <c r="F11" s="37">
        <v>80</v>
      </c>
      <c r="G11" s="68">
        <v>99</v>
      </c>
      <c r="H11" s="73" t="s">
        <v>115</v>
      </c>
      <c r="I11" s="73" t="s">
        <v>115</v>
      </c>
    </row>
    <row r="12" spans="1:9" ht="21" customHeight="1" x14ac:dyDescent="0.15">
      <c r="A12" s="77" t="s">
        <v>208</v>
      </c>
      <c r="B12" s="73" t="s">
        <v>115</v>
      </c>
      <c r="C12" s="73" t="s">
        <v>115</v>
      </c>
      <c r="D12" s="37">
        <v>40</v>
      </c>
      <c r="E12" s="37">
        <v>60</v>
      </c>
      <c r="F12" s="73" t="s">
        <v>115</v>
      </c>
      <c r="G12" s="73" t="s">
        <v>232</v>
      </c>
      <c r="H12" s="73" t="s">
        <v>115</v>
      </c>
      <c r="I12" s="73" t="s">
        <v>115</v>
      </c>
    </row>
    <row r="13" spans="1:9" ht="21" customHeight="1" x14ac:dyDescent="0.15">
      <c r="A13" s="78" t="s">
        <v>209</v>
      </c>
      <c r="B13" s="73" t="s">
        <v>115</v>
      </c>
      <c r="C13" s="73" t="s">
        <v>115</v>
      </c>
      <c r="D13" s="37">
        <v>40</v>
      </c>
      <c r="E13" s="37">
        <v>60</v>
      </c>
      <c r="F13" s="37">
        <v>80</v>
      </c>
      <c r="G13" s="73" t="s">
        <v>115</v>
      </c>
      <c r="H13" s="73" t="s">
        <v>115</v>
      </c>
      <c r="I13" s="73" t="s">
        <v>115</v>
      </c>
    </row>
    <row r="14" spans="1:9" ht="21" customHeight="1" x14ac:dyDescent="0.15">
      <c r="A14" s="57" t="s">
        <v>37</v>
      </c>
      <c r="B14" s="73" t="s">
        <v>115</v>
      </c>
      <c r="C14" s="73" t="s">
        <v>115</v>
      </c>
      <c r="D14" s="37">
        <v>40</v>
      </c>
      <c r="E14" s="37">
        <v>60</v>
      </c>
      <c r="F14" s="37">
        <v>80</v>
      </c>
      <c r="G14" s="73" t="s">
        <v>115</v>
      </c>
      <c r="H14" s="73" t="s">
        <v>115</v>
      </c>
      <c r="I14" s="73" t="s">
        <v>115</v>
      </c>
    </row>
    <row r="15" spans="1:9" ht="21" customHeight="1" x14ac:dyDescent="0.15">
      <c r="A15" s="57" t="s">
        <v>38</v>
      </c>
      <c r="B15" s="73" t="s">
        <v>115</v>
      </c>
      <c r="C15" s="37">
        <v>30</v>
      </c>
      <c r="D15" s="37">
        <v>40</v>
      </c>
      <c r="E15" s="37">
        <v>60</v>
      </c>
      <c r="F15" s="73" t="s">
        <v>115</v>
      </c>
      <c r="G15" s="73" t="s">
        <v>115</v>
      </c>
      <c r="H15" s="73" t="s">
        <v>115</v>
      </c>
      <c r="I15" s="73" t="s">
        <v>115</v>
      </c>
    </row>
    <row r="16" spans="1:9" ht="21" customHeight="1" x14ac:dyDescent="0.15">
      <c r="A16" s="57" t="s">
        <v>39</v>
      </c>
      <c r="B16" s="73" t="s">
        <v>115</v>
      </c>
      <c r="C16" s="37">
        <v>30</v>
      </c>
      <c r="D16" s="37">
        <v>40</v>
      </c>
      <c r="E16" s="37">
        <v>60</v>
      </c>
      <c r="F16" s="73" t="s">
        <v>115</v>
      </c>
      <c r="G16" s="73" t="s">
        <v>115</v>
      </c>
      <c r="H16" s="73" t="s">
        <v>115</v>
      </c>
      <c r="I16" s="73" t="s">
        <v>115</v>
      </c>
    </row>
    <row r="17" spans="1:9" ht="21" customHeight="1" x14ac:dyDescent="0.15">
      <c r="A17" s="58" t="s">
        <v>8</v>
      </c>
      <c r="B17" s="37">
        <v>15</v>
      </c>
      <c r="C17" s="37">
        <v>30</v>
      </c>
      <c r="D17" s="37">
        <v>40</v>
      </c>
      <c r="E17" s="73" t="s">
        <v>115</v>
      </c>
      <c r="F17" s="73" t="s">
        <v>115</v>
      </c>
      <c r="G17" s="73" t="s">
        <v>115</v>
      </c>
      <c r="H17" s="73" t="s">
        <v>115</v>
      </c>
      <c r="I17" s="73" t="s">
        <v>115</v>
      </c>
    </row>
    <row r="18" spans="1:9" ht="21" customHeight="1" x14ac:dyDescent="0.15">
      <c r="A18" s="53" t="s">
        <v>7</v>
      </c>
      <c r="B18" s="37">
        <v>15</v>
      </c>
      <c r="C18" s="37">
        <v>30</v>
      </c>
      <c r="D18" s="37">
        <v>40</v>
      </c>
      <c r="E18" s="73" t="s">
        <v>222</v>
      </c>
      <c r="F18" s="73" t="s">
        <v>222</v>
      </c>
      <c r="G18" s="73" t="s">
        <v>222</v>
      </c>
      <c r="H18" s="73" t="s">
        <v>222</v>
      </c>
      <c r="I18" s="73" t="s">
        <v>222</v>
      </c>
    </row>
    <row r="19" spans="1:9" ht="21" customHeight="1" x14ac:dyDescent="0.15">
      <c r="A19" s="55" t="s">
        <v>40</v>
      </c>
      <c r="B19" s="37">
        <v>10</v>
      </c>
      <c r="C19" s="37">
        <v>20</v>
      </c>
      <c r="D19" s="73" t="s">
        <v>222</v>
      </c>
      <c r="E19" s="73" t="s">
        <v>222</v>
      </c>
      <c r="F19" s="73" t="s">
        <v>222</v>
      </c>
      <c r="G19" s="73" t="s">
        <v>222</v>
      </c>
      <c r="H19" s="73" t="s">
        <v>222</v>
      </c>
      <c r="I19" s="73" t="s">
        <v>222</v>
      </c>
    </row>
    <row r="20" spans="1:9" ht="21" customHeight="1" x14ac:dyDescent="0.15">
      <c r="A20" s="79" t="s">
        <v>223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F22" sqref="F22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s="4" customFormat="1" ht="21" customHeight="1" x14ac:dyDescent="0.15">
      <c r="A2" s="153" t="s">
        <v>250</v>
      </c>
      <c r="B2" s="154"/>
      <c r="C2" s="155"/>
      <c r="D2" s="166" t="s">
        <v>115</v>
      </c>
      <c r="E2" s="54" t="s">
        <v>121</v>
      </c>
      <c r="F2" s="54" t="s">
        <v>121</v>
      </c>
      <c r="G2" s="54" t="s">
        <v>225</v>
      </c>
      <c r="H2" s="155"/>
      <c r="I2" s="155"/>
    </row>
    <row r="3" spans="1:11" s="4" customFormat="1" ht="21" customHeight="1" x14ac:dyDescent="0.15">
      <c r="A3" s="153" t="s">
        <v>257</v>
      </c>
      <c r="B3" s="157"/>
      <c r="C3" s="158"/>
      <c r="D3" s="167" t="s">
        <v>65</v>
      </c>
      <c r="E3" s="167" t="s">
        <v>65</v>
      </c>
      <c r="F3" s="167" t="s">
        <v>65</v>
      </c>
      <c r="G3" s="167" t="s">
        <v>121</v>
      </c>
      <c r="H3" s="158"/>
      <c r="I3" s="158"/>
    </row>
    <row r="4" spans="1:11" s="4" customFormat="1" ht="21" customHeight="1" x14ac:dyDescent="0.15">
      <c r="A4" s="153" t="s">
        <v>258</v>
      </c>
      <c r="B4" s="160"/>
      <c r="C4" s="161"/>
      <c r="D4" s="168" t="s">
        <v>65</v>
      </c>
      <c r="E4" s="168" t="s">
        <v>65</v>
      </c>
      <c r="F4" s="168" t="s">
        <v>65</v>
      </c>
      <c r="G4" s="167" t="s">
        <v>121</v>
      </c>
      <c r="H4" s="161"/>
      <c r="I4" s="161"/>
    </row>
    <row r="5" spans="1:11" s="4" customFormat="1" ht="21" customHeight="1" x14ac:dyDescent="0.15">
      <c r="A5" s="163" t="s">
        <v>260</v>
      </c>
      <c r="B5" s="164"/>
      <c r="C5" s="165"/>
      <c r="D5" s="168" t="s">
        <v>65</v>
      </c>
      <c r="E5" s="168" t="s">
        <v>65</v>
      </c>
      <c r="F5" s="168" t="s">
        <v>65</v>
      </c>
      <c r="G5" s="167" t="s">
        <v>121</v>
      </c>
      <c r="H5" s="165"/>
      <c r="I5" s="165"/>
    </row>
    <row r="6" spans="1:11" s="4" customFormat="1" ht="21" customHeight="1" x14ac:dyDescent="0.15">
      <c r="A6" s="163" t="s">
        <v>256</v>
      </c>
      <c r="B6" s="164"/>
      <c r="C6" s="165"/>
      <c r="D6" s="169" t="s">
        <v>66</v>
      </c>
      <c r="E6" s="169" t="s">
        <v>66</v>
      </c>
      <c r="F6" s="166" t="s">
        <v>115</v>
      </c>
      <c r="G6" s="166" t="s">
        <v>115</v>
      </c>
      <c r="H6" s="165"/>
      <c r="I6" s="165"/>
    </row>
    <row r="7" spans="1:11" ht="21" customHeight="1" x14ac:dyDescent="0.15">
      <c r="A7" s="52" t="s">
        <v>221</v>
      </c>
      <c r="B7" s="41" t="s">
        <v>115</v>
      </c>
      <c r="C7" s="41" t="s">
        <v>115</v>
      </c>
      <c r="D7" s="41" t="s">
        <v>115</v>
      </c>
      <c r="E7" s="41" t="s">
        <v>115</v>
      </c>
      <c r="F7" s="41" t="s">
        <v>115</v>
      </c>
      <c r="G7" s="41" t="s">
        <v>115</v>
      </c>
      <c r="H7" s="41" t="s">
        <v>115</v>
      </c>
      <c r="I7" s="41" t="s">
        <v>115</v>
      </c>
    </row>
    <row r="8" spans="1:11" ht="21" customHeight="1" x14ac:dyDescent="0.15">
      <c r="A8" s="52" t="s">
        <v>213</v>
      </c>
      <c r="B8" s="41" t="s">
        <v>115</v>
      </c>
      <c r="C8" s="41" t="s">
        <v>115</v>
      </c>
      <c r="D8" s="41" t="s">
        <v>224</v>
      </c>
      <c r="E8" s="54" t="s">
        <v>121</v>
      </c>
      <c r="F8" s="54" t="s">
        <v>121</v>
      </c>
      <c r="G8" s="54" t="s">
        <v>225</v>
      </c>
      <c r="H8" s="41" t="s">
        <v>224</v>
      </c>
      <c r="I8" s="41" t="s">
        <v>115</v>
      </c>
    </row>
    <row r="9" spans="1:11" s="47" customFormat="1" ht="21" customHeight="1" x14ac:dyDescent="0.15">
      <c r="A9" s="52" t="s">
        <v>206</v>
      </c>
      <c r="B9" s="68" t="s">
        <v>115</v>
      </c>
      <c r="C9" s="68" t="s">
        <v>115</v>
      </c>
      <c r="D9" s="68" t="s">
        <v>115</v>
      </c>
      <c r="E9" s="54" t="s">
        <v>65</v>
      </c>
      <c r="F9" s="54" t="s">
        <v>65</v>
      </c>
      <c r="G9" s="54" t="s">
        <v>121</v>
      </c>
      <c r="H9" s="68" t="s">
        <v>226</v>
      </c>
      <c r="I9" s="68" t="s">
        <v>226</v>
      </c>
    </row>
    <row r="10" spans="1:11" ht="21" customHeight="1" x14ac:dyDescent="0.15">
      <c r="A10" s="53" t="s">
        <v>9</v>
      </c>
      <c r="B10" s="73" t="s">
        <v>115</v>
      </c>
      <c r="C10" s="73" t="s">
        <v>115</v>
      </c>
      <c r="D10" s="54" t="s">
        <v>65</v>
      </c>
      <c r="E10" s="54" t="s">
        <v>65</v>
      </c>
      <c r="F10" s="54" t="s">
        <v>65</v>
      </c>
      <c r="G10" s="54" t="s">
        <v>227</v>
      </c>
      <c r="H10" s="73" t="s">
        <v>226</v>
      </c>
      <c r="I10" s="73" t="s">
        <v>226</v>
      </c>
      <c r="K10" s="28" t="s">
        <v>12</v>
      </c>
    </row>
    <row r="11" spans="1:11" ht="21" customHeight="1" x14ac:dyDescent="0.15">
      <c r="A11" s="55" t="s">
        <v>35</v>
      </c>
      <c r="B11" s="73" t="s">
        <v>115</v>
      </c>
      <c r="C11" s="73" t="s">
        <v>115</v>
      </c>
      <c r="D11" s="55" t="s">
        <v>65</v>
      </c>
      <c r="E11" s="55" t="s">
        <v>65</v>
      </c>
      <c r="F11" s="55" t="s">
        <v>65</v>
      </c>
      <c r="G11" s="54" t="s">
        <v>227</v>
      </c>
      <c r="H11" s="73" t="s">
        <v>226</v>
      </c>
      <c r="I11" s="73" t="s">
        <v>226</v>
      </c>
      <c r="K11" s="30" t="s">
        <v>13</v>
      </c>
    </row>
    <row r="12" spans="1:11" ht="21" customHeight="1" x14ac:dyDescent="0.15">
      <c r="A12" s="56" t="s">
        <v>36</v>
      </c>
      <c r="B12" s="73" t="s">
        <v>115</v>
      </c>
      <c r="C12" s="73" t="s">
        <v>115</v>
      </c>
      <c r="D12" s="56" t="s">
        <v>66</v>
      </c>
      <c r="E12" s="56" t="s">
        <v>66</v>
      </c>
      <c r="F12" s="73" t="s">
        <v>115</v>
      </c>
      <c r="G12" s="73" t="s">
        <v>115</v>
      </c>
      <c r="H12" s="73" t="s">
        <v>115</v>
      </c>
      <c r="I12" s="73" t="s">
        <v>115</v>
      </c>
      <c r="K12" s="74" t="s">
        <v>41</v>
      </c>
    </row>
    <row r="13" spans="1:11" ht="21" customHeight="1" x14ac:dyDescent="0.15">
      <c r="A13" s="56" t="s">
        <v>228</v>
      </c>
      <c r="B13" s="73" t="s">
        <v>115</v>
      </c>
      <c r="C13" s="73" t="s">
        <v>115</v>
      </c>
      <c r="D13" s="57" t="s">
        <v>65</v>
      </c>
      <c r="E13" s="57" t="s">
        <v>65</v>
      </c>
      <c r="F13" s="57" t="s">
        <v>65</v>
      </c>
      <c r="G13" s="73" t="s">
        <v>115</v>
      </c>
      <c r="H13" s="73" t="s">
        <v>115</v>
      </c>
      <c r="I13" s="73" t="s">
        <v>115</v>
      </c>
      <c r="K13" s="75"/>
    </row>
    <row r="14" spans="1:11" ht="21" customHeight="1" x14ac:dyDescent="0.15">
      <c r="A14" s="57" t="s">
        <v>37</v>
      </c>
      <c r="B14" s="73" t="s">
        <v>115</v>
      </c>
      <c r="C14" s="73" t="s">
        <v>115</v>
      </c>
      <c r="D14" s="57" t="s">
        <v>65</v>
      </c>
      <c r="E14" s="57" t="s">
        <v>65</v>
      </c>
      <c r="F14" s="57" t="s">
        <v>65</v>
      </c>
      <c r="G14" s="73" t="s">
        <v>115</v>
      </c>
      <c r="H14" s="73" t="s">
        <v>115</v>
      </c>
      <c r="I14" s="73" t="s">
        <v>115</v>
      </c>
    </row>
    <row r="15" spans="1:11" ht="21" customHeight="1" x14ac:dyDescent="0.15">
      <c r="A15" s="57" t="s">
        <v>38</v>
      </c>
      <c r="B15" s="73" t="s">
        <v>115</v>
      </c>
      <c r="C15" s="73" t="s">
        <v>115</v>
      </c>
      <c r="D15" s="57" t="s">
        <v>66</v>
      </c>
      <c r="E15" s="57" t="s">
        <v>66</v>
      </c>
      <c r="F15" s="73" t="s">
        <v>115</v>
      </c>
      <c r="G15" s="73" t="s">
        <v>115</v>
      </c>
      <c r="H15" s="73" t="s">
        <v>115</v>
      </c>
      <c r="I15" s="73" t="s">
        <v>115</v>
      </c>
    </row>
    <row r="16" spans="1:11" ht="21" customHeight="1" x14ac:dyDescent="0.15">
      <c r="A16" s="57" t="s">
        <v>39</v>
      </c>
      <c r="B16" s="73" t="s">
        <v>115</v>
      </c>
      <c r="C16" s="57" t="s">
        <v>66</v>
      </c>
      <c r="D16" s="57" t="s">
        <v>66</v>
      </c>
      <c r="E16" s="57" t="s">
        <v>66</v>
      </c>
      <c r="F16" s="73" t="s">
        <v>115</v>
      </c>
      <c r="G16" s="73" t="s">
        <v>115</v>
      </c>
      <c r="H16" s="73" t="s">
        <v>115</v>
      </c>
      <c r="I16" s="73" t="s">
        <v>115</v>
      </c>
    </row>
    <row r="17" spans="1:9" ht="21" customHeight="1" x14ac:dyDescent="0.15">
      <c r="A17" s="58" t="s">
        <v>8</v>
      </c>
      <c r="B17" s="58" t="s">
        <v>67</v>
      </c>
      <c r="C17" s="58" t="s">
        <v>67</v>
      </c>
      <c r="D17" s="58" t="s">
        <v>67</v>
      </c>
      <c r="E17" s="73" t="s">
        <v>115</v>
      </c>
      <c r="F17" s="73" t="s">
        <v>115</v>
      </c>
      <c r="G17" s="73" t="s">
        <v>115</v>
      </c>
      <c r="H17" s="73" t="s">
        <v>115</v>
      </c>
      <c r="I17" s="73" t="s">
        <v>115</v>
      </c>
    </row>
    <row r="18" spans="1:9" ht="21" customHeight="1" x14ac:dyDescent="0.15">
      <c r="A18" s="53" t="s">
        <v>7</v>
      </c>
      <c r="B18" s="53" t="s">
        <v>68</v>
      </c>
      <c r="C18" s="53" t="s">
        <v>68</v>
      </c>
      <c r="D18" s="73" t="s">
        <v>115</v>
      </c>
      <c r="E18" s="73" t="s">
        <v>115</v>
      </c>
      <c r="F18" s="73" t="s">
        <v>115</v>
      </c>
      <c r="G18" s="73" t="s">
        <v>115</v>
      </c>
      <c r="H18" s="73" t="s">
        <v>115</v>
      </c>
      <c r="I18" s="73" t="s">
        <v>115</v>
      </c>
    </row>
    <row r="19" spans="1:9" ht="21" customHeight="1" x14ac:dyDescent="0.15">
      <c r="A19" s="55" t="s">
        <v>40</v>
      </c>
      <c r="B19" s="55" t="s">
        <v>69</v>
      </c>
      <c r="C19" s="55" t="s">
        <v>69</v>
      </c>
      <c r="D19" s="73" t="s">
        <v>115</v>
      </c>
      <c r="E19" s="73" t="s">
        <v>115</v>
      </c>
      <c r="F19" s="73" t="s">
        <v>115</v>
      </c>
      <c r="G19" s="73" t="s">
        <v>115</v>
      </c>
      <c r="H19" s="73" t="s">
        <v>115</v>
      </c>
      <c r="I19" s="73" t="s">
        <v>115</v>
      </c>
    </row>
    <row r="20" spans="1:9" ht="21" customHeight="1" x14ac:dyDescent="0.15">
      <c r="A20" s="38" t="s">
        <v>220</v>
      </c>
      <c r="B20" s="85" t="s">
        <v>53</v>
      </c>
      <c r="C20" s="85" t="s">
        <v>53</v>
      </c>
      <c r="D20" s="85" t="s">
        <v>53</v>
      </c>
      <c r="E20" s="85" t="s">
        <v>53</v>
      </c>
      <c r="F20" s="85" t="s">
        <v>53</v>
      </c>
      <c r="G20" s="85" t="s">
        <v>53</v>
      </c>
      <c r="H20" s="85" t="s">
        <v>53</v>
      </c>
      <c r="I20" s="85" t="s">
        <v>53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70</v>
      </c>
      <c r="B26" s="22" t="s">
        <v>71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3" priority="28" stopIfTrue="1" operator="equal">
      <formula>1</formula>
    </cfRule>
  </conditionalFormatting>
  <conditionalFormatting sqref="A24:B25 A32:B33 C24:I33">
    <cfRule type="cellIs" dxfId="22" priority="27" stopIfTrue="1" operator="equal">
      <formula>1</formula>
    </cfRule>
  </conditionalFormatting>
  <conditionalFormatting sqref="K10:K13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9:IV9">
    <cfRule type="cellIs" dxfId="19" priority="21" stopIfTrue="1" operator="equal">
      <formula>1</formula>
    </cfRule>
  </conditionalFormatting>
  <conditionalFormatting sqref="A20">
    <cfRule type="cellIs" dxfId="18" priority="10" stopIfTrue="1" operator="equal">
      <formula>1</formula>
    </cfRule>
  </conditionalFormatting>
  <conditionalFormatting sqref="G12:I14 H10:I11">
    <cfRule type="cellIs" dxfId="17" priority="9" stopIfTrue="1" operator="equal">
      <formula>1</formula>
    </cfRule>
  </conditionalFormatting>
  <conditionalFormatting sqref="B10:C15">
    <cfRule type="cellIs" dxfId="16" priority="8" stopIfTrue="1" operator="equal">
      <formula>1</formula>
    </cfRule>
  </conditionalFormatting>
  <conditionalFormatting sqref="B16">
    <cfRule type="cellIs" dxfId="15" priority="7" stopIfTrue="1" operator="equal">
      <formula>1</formula>
    </cfRule>
  </conditionalFormatting>
  <conditionalFormatting sqref="F12">
    <cfRule type="cellIs" dxfId="14" priority="5" stopIfTrue="1" operator="equal">
      <formula>1</formula>
    </cfRule>
  </conditionalFormatting>
  <conditionalFormatting sqref="G19:I19">
    <cfRule type="cellIs" dxfId="13" priority="13" stopIfTrue="1" operator="equal">
      <formula>1</formula>
    </cfRule>
  </conditionalFormatting>
  <conditionalFormatting sqref="D18:G18 F15:G17 H15:I18">
    <cfRule type="cellIs" dxfId="12" priority="12" stopIfTrue="1" operator="equal">
      <formula>1</formula>
    </cfRule>
  </conditionalFormatting>
  <conditionalFormatting sqref="F17:G17">
    <cfRule type="cellIs" dxfId="11" priority="11" stopIfTrue="1" operator="equal">
      <formula>1</formula>
    </cfRule>
  </conditionalFormatting>
  <conditionalFormatting sqref="E17">
    <cfRule type="cellIs" dxfId="10" priority="6" stopIfTrue="1" operator="equal">
      <formula>1</formula>
    </cfRule>
  </conditionalFormatting>
  <conditionalFormatting sqref="J2:IV4">
    <cfRule type="cellIs" dxfId="9" priority="4" stopIfTrue="1" operator="equal">
      <formula>1</formula>
    </cfRule>
  </conditionalFormatting>
  <conditionalFormatting sqref="J5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zoomScale="200" zoomScaleNormal="200" zoomScalePageLayoutView="200" workbookViewId="0">
      <selection activeCell="C15" sqref="C1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53" t="s">
        <v>250</v>
      </c>
      <c r="B2" s="154"/>
      <c r="C2" s="155"/>
      <c r="D2" s="170" t="s">
        <v>11</v>
      </c>
      <c r="E2" s="170">
        <v>8000</v>
      </c>
      <c r="F2" s="170">
        <v>10000</v>
      </c>
      <c r="G2" s="170">
        <f>F2+4000</f>
        <v>14000</v>
      </c>
      <c r="H2" s="155"/>
      <c r="I2" s="155"/>
    </row>
    <row r="3" spans="1:9" s="4" customFormat="1" ht="21" customHeight="1" x14ac:dyDescent="0.15">
      <c r="A3" s="153" t="s">
        <v>257</v>
      </c>
      <c r="B3" s="157"/>
      <c r="C3" s="158"/>
      <c r="D3" s="170" t="s">
        <v>11</v>
      </c>
      <c r="E3" s="170">
        <v>7500</v>
      </c>
      <c r="F3" s="170">
        <v>9500</v>
      </c>
      <c r="G3" s="48">
        <v>13000</v>
      </c>
      <c r="H3" s="158"/>
      <c r="I3" s="158"/>
    </row>
    <row r="4" spans="1:9" s="4" customFormat="1" ht="21" customHeight="1" x14ac:dyDescent="0.15">
      <c r="A4" s="153" t="s">
        <v>258</v>
      </c>
      <c r="B4" s="160"/>
      <c r="C4" s="161"/>
      <c r="D4" s="170">
        <v>5000</v>
      </c>
      <c r="E4" s="170">
        <v>7000</v>
      </c>
      <c r="F4" s="170">
        <v>9000</v>
      </c>
      <c r="G4" s="48">
        <v>12000</v>
      </c>
      <c r="H4" s="161"/>
      <c r="I4" s="161"/>
    </row>
    <row r="5" spans="1:9" s="4" customFormat="1" ht="21" customHeight="1" x14ac:dyDescent="0.15">
      <c r="A5" s="163" t="s">
        <v>260</v>
      </c>
      <c r="B5" s="164"/>
      <c r="C5" s="165"/>
      <c r="D5" s="170">
        <v>4900</v>
      </c>
      <c r="E5" s="170">
        <v>6700</v>
      </c>
      <c r="F5" s="170">
        <v>8500</v>
      </c>
      <c r="G5" s="48">
        <v>11000</v>
      </c>
      <c r="H5" s="165"/>
      <c r="I5" s="165"/>
    </row>
    <row r="6" spans="1:9" s="4" customFormat="1" ht="21" customHeight="1" x14ac:dyDescent="0.15">
      <c r="A6" s="163" t="s">
        <v>256</v>
      </c>
      <c r="B6" s="164"/>
      <c r="C6" s="165"/>
      <c r="D6" s="170">
        <v>4800</v>
      </c>
      <c r="E6" s="170">
        <v>6600</v>
      </c>
      <c r="F6" s="170" t="s">
        <v>11</v>
      </c>
      <c r="G6" s="170" t="s">
        <v>11</v>
      </c>
      <c r="H6" s="165"/>
      <c r="I6" s="165"/>
    </row>
    <row r="7" spans="1:9" ht="21" customHeight="1" x14ac:dyDescent="0.15">
      <c r="A7" s="80" t="s">
        <v>211</v>
      </c>
      <c r="B7" s="48" t="s">
        <v>11</v>
      </c>
      <c r="C7" s="48" t="s">
        <v>11</v>
      </c>
      <c r="D7" s="48" t="s">
        <v>11</v>
      </c>
      <c r="E7" s="48" t="s">
        <v>11</v>
      </c>
      <c r="F7" s="48" t="s">
        <v>11</v>
      </c>
      <c r="G7" s="48" t="s">
        <v>11</v>
      </c>
      <c r="H7" s="48" t="s">
        <v>11</v>
      </c>
      <c r="I7" s="48" t="s">
        <v>11</v>
      </c>
    </row>
    <row r="8" spans="1:9" ht="21" customHeight="1" x14ac:dyDescent="0.15">
      <c r="A8" s="81" t="s">
        <v>213</v>
      </c>
      <c r="B8" s="48" t="s">
        <v>11</v>
      </c>
      <c r="C8" s="48" t="s">
        <v>11</v>
      </c>
      <c r="D8" s="48" t="s">
        <v>11</v>
      </c>
      <c r="E8" s="48">
        <v>8000</v>
      </c>
      <c r="F8" s="29">
        <v>10000</v>
      </c>
      <c r="G8" s="48">
        <f>F8+4000</f>
        <v>14000</v>
      </c>
      <c r="H8" s="48" t="s">
        <v>11</v>
      </c>
      <c r="I8" s="48" t="s">
        <v>11</v>
      </c>
    </row>
    <row r="9" spans="1:9" s="47" customFormat="1" ht="21" customHeight="1" x14ac:dyDescent="0.15">
      <c r="A9" s="82" t="s">
        <v>214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8">
        <v>13000</v>
      </c>
      <c r="H9" s="29" t="s">
        <v>11</v>
      </c>
      <c r="I9" s="29" t="s">
        <v>11</v>
      </c>
    </row>
    <row r="10" spans="1:9" ht="21" customHeight="1" x14ac:dyDescent="0.15">
      <c r="A10" s="82" t="s">
        <v>9</v>
      </c>
      <c r="B10" s="71" t="s">
        <v>11</v>
      </c>
      <c r="C10" s="71" t="s">
        <v>11</v>
      </c>
      <c r="D10" s="29">
        <v>5000</v>
      </c>
      <c r="E10" s="29">
        <v>7000</v>
      </c>
      <c r="F10" s="29">
        <v>9000</v>
      </c>
      <c r="G10" s="48">
        <v>12000</v>
      </c>
      <c r="H10" s="71" t="s">
        <v>11</v>
      </c>
      <c r="I10" s="71" t="s">
        <v>11</v>
      </c>
    </row>
    <row r="11" spans="1:9" ht="21" customHeight="1" x14ac:dyDescent="0.15">
      <c r="A11" s="82" t="s">
        <v>215</v>
      </c>
      <c r="B11" s="71" t="s">
        <v>11</v>
      </c>
      <c r="C11" s="71" t="s">
        <v>11</v>
      </c>
      <c r="D11" s="29">
        <v>4900</v>
      </c>
      <c r="E11" s="29">
        <v>6700</v>
      </c>
      <c r="F11" s="29">
        <v>8500</v>
      </c>
      <c r="G11" s="48">
        <v>11000</v>
      </c>
      <c r="H11" s="71" t="s">
        <v>11</v>
      </c>
      <c r="I11" s="71" t="s">
        <v>11</v>
      </c>
    </row>
    <row r="12" spans="1:9" ht="21" customHeight="1" x14ac:dyDescent="0.15">
      <c r="A12" s="82" t="s">
        <v>112</v>
      </c>
      <c r="B12" s="71" t="s">
        <v>11</v>
      </c>
      <c r="C12" s="71" t="s">
        <v>11</v>
      </c>
      <c r="D12" s="29">
        <v>4800</v>
      </c>
      <c r="E12" s="29">
        <v>6600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2" t="s">
        <v>216</v>
      </c>
      <c r="B13" s="71" t="s">
        <v>11</v>
      </c>
      <c r="C13" s="71" t="s">
        <v>11</v>
      </c>
      <c r="D13" s="71" t="s">
        <v>11</v>
      </c>
      <c r="E13" s="29">
        <v>6300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2" t="s">
        <v>217</v>
      </c>
      <c r="B14" s="71" t="s">
        <v>11</v>
      </c>
      <c r="C14" s="71" t="s">
        <v>11</v>
      </c>
      <c r="D14" s="29">
        <v>4600</v>
      </c>
      <c r="E14" s="29">
        <v>5800</v>
      </c>
      <c r="F14" s="29">
        <v>7600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82" t="s">
        <v>111</v>
      </c>
      <c r="B15" s="71" t="s">
        <v>11</v>
      </c>
      <c r="C15" s="71" t="s">
        <v>11</v>
      </c>
      <c r="D15" s="29">
        <v>4400</v>
      </c>
      <c r="E15" s="29">
        <v>5600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 x14ac:dyDescent="0.15">
      <c r="A16" s="82" t="s">
        <v>218</v>
      </c>
      <c r="B16" s="71" t="s">
        <v>11</v>
      </c>
      <c r="C16" s="29">
        <v>3000</v>
      </c>
      <c r="D16" s="29">
        <v>4200</v>
      </c>
      <c r="E16" s="29">
        <v>5400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 x14ac:dyDescent="0.15">
      <c r="A17" s="82" t="s">
        <v>8</v>
      </c>
      <c r="B17" s="29">
        <v>2000</v>
      </c>
      <c r="C17" s="29">
        <v>2800</v>
      </c>
      <c r="D17" s="29">
        <v>4000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 x14ac:dyDescent="0.15">
      <c r="A18" s="83" t="s">
        <v>7</v>
      </c>
      <c r="B18" s="29">
        <v>1750</v>
      </c>
      <c r="C18" s="29">
        <v>2550</v>
      </c>
      <c r="D18" s="71" t="s">
        <v>11</v>
      </c>
      <c r="E18" s="71" t="s">
        <v>11</v>
      </c>
      <c r="F18" s="71" t="s">
        <v>11</v>
      </c>
      <c r="G18" s="71" t="s">
        <v>11</v>
      </c>
      <c r="H18" s="71" t="s">
        <v>11</v>
      </c>
      <c r="I18" s="71" t="s">
        <v>11</v>
      </c>
    </row>
    <row r="19" spans="1:9" ht="21" customHeight="1" x14ac:dyDescent="0.15">
      <c r="A19" s="83" t="s">
        <v>219</v>
      </c>
      <c r="B19" s="29">
        <v>1500</v>
      </c>
      <c r="C19" s="29">
        <v>2300</v>
      </c>
      <c r="D19" s="71" t="s">
        <v>11</v>
      </c>
      <c r="E19" s="71" t="s">
        <v>11</v>
      </c>
      <c r="F19" s="71" t="s">
        <v>11</v>
      </c>
      <c r="G19" s="71" t="s">
        <v>11</v>
      </c>
      <c r="H19" s="71" t="s">
        <v>11</v>
      </c>
      <c r="I19" s="71" t="s">
        <v>11</v>
      </c>
    </row>
    <row r="20" spans="1:9" ht="21" customHeight="1" x14ac:dyDescent="0.15">
      <c r="A20" s="38" t="s">
        <v>220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5" stopIfTrue="1" operator="equal">
      <formula>1</formula>
    </cfRule>
  </conditionalFormatting>
  <conditionalFormatting sqref="A21:I65541">
    <cfRule type="cellIs" dxfId="4" priority="6" stopIfTrue="1" operator="equal">
      <formula>1</formula>
    </cfRule>
  </conditionalFormatting>
  <conditionalFormatting sqref="A20:I20">
    <cfRule type="cellIs" dxfId="3" priority="3" stopIfTrue="1" operator="equal">
      <formula>1</formula>
    </cfRule>
  </conditionalFormatting>
  <conditionalFormatting sqref="J2:IV4">
    <cfRule type="cellIs" dxfId="2" priority="2" stopIfTrue="1" operator="equal">
      <formula>1</formula>
    </cfRule>
  </conditionalFormatting>
  <conditionalFormatting sqref="J5:IV6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E5" sqref="E5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117</v>
      </c>
      <c r="G1" s="24" t="s">
        <v>118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2:D56"/>
  <sheetViews>
    <sheetView workbookViewId="0">
      <selection activeCell="C20" sqref="C20"/>
    </sheetView>
  </sheetViews>
  <sheetFormatPr baseColWidth="12" defaultRowHeight="15" x14ac:dyDescent="0.15"/>
  <sheetData>
    <row r="2" spans="1:4" x14ac:dyDescent="0.15">
      <c r="A2" t="s">
        <v>245</v>
      </c>
      <c r="B2" s="12">
        <v>804</v>
      </c>
    </row>
    <row r="3" spans="1:4" x14ac:dyDescent="0.15">
      <c r="A3" t="s">
        <v>246</v>
      </c>
      <c r="B3" s="12">
        <v>805</v>
      </c>
    </row>
    <row r="4" spans="1:4" x14ac:dyDescent="0.15">
      <c r="A4" t="s">
        <v>247</v>
      </c>
      <c r="B4" s="12">
        <v>806</v>
      </c>
    </row>
    <row r="5" spans="1:4" x14ac:dyDescent="0.15">
      <c r="A5" t="s">
        <v>248</v>
      </c>
      <c r="B5" s="12">
        <v>807</v>
      </c>
    </row>
    <row r="7" spans="1:4" x14ac:dyDescent="0.15">
      <c r="A7" t="s">
        <v>201</v>
      </c>
    </row>
    <row r="8" spans="1:4" x14ac:dyDescent="0.15">
      <c r="A8" t="str">
        <f ca="1">A2 &amp;" "&amp;IF(B2="","",B2)&amp;" "&amp; IFERROR(VLOOKUP(B2,units!A:B,2),"なし")</f>
        <v>ベリアル 804 あけおめダック2017</v>
      </c>
    </row>
    <row r="9" spans="1:4" x14ac:dyDescent="0.15">
      <c r="A9" t="str">
        <f ca="1">A3 &amp;" "&amp;IF(B3="","",B3)&amp;" "&amp; IFERROR(VLOOKUP(B3,units!A:B,2),"なし")</f>
        <v>オセ 805 熱環の大逆聖 ベリアル</v>
      </c>
    </row>
    <row r="10" spans="1:4" x14ac:dyDescent="0.15">
      <c r="A10" t="str">
        <f ca="1">A4 &amp;" "&amp;IF(B4="","",B4)&amp;" "&amp; IFERROR(VLOOKUP(B4,units!A:B,2),"なし")</f>
        <v>フォルネウス 806 全解の預智聖 オセ</v>
      </c>
    </row>
    <row r="11" spans="1:4" x14ac:dyDescent="0.15">
      <c r="A11" t="str">
        <f ca="1">A5 &amp;" "&amp;IF(B5="","",B5)&amp;" "&amp; IFERROR(VLOOKUP(B5,units!A:B,2),"なし")</f>
        <v>イザナミ 807 襲愛の真公爵 フォルネウス</v>
      </c>
    </row>
    <row r="13" spans="1:4" x14ac:dyDescent="0.15">
      <c r="A13" t="s">
        <v>241</v>
      </c>
    </row>
    <row r="14" spans="1:4" x14ac:dyDescent="0.15">
      <c r="B14" s="151" t="s">
        <v>242</v>
      </c>
      <c r="C14" s="151" t="s">
        <v>243</v>
      </c>
      <c r="D14" s="151" t="s">
        <v>244</v>
      </c>
    </row>
    <row r="15" spans="1:4" x14ac:dyDescent="0.15">
      <c r="A15" t="str">
        <f>A2</f>
        <v>ベリアル</v>
      </c>
      <c r="B15">
        <f ca="1">VLOOKUP($B2,units!$A:$BN,63)</f>
        <v>53</v>
      </c>
      <c r="C15">
        <f ca="1">VLOOKUP($B2,units!$A:$BN,64)</f>
        <v>16</v>
      </c>
      <c r="D15">
        <f ca="1">VLOOKUP($B2,units!$A:$BN,66)</f>
        <v>12</v>
      </c>
    </row>
    <row r="16" spans="1:4" x14ac:dyDescent="0.15">
      <c r="A16" t="str">
        <f>A3</f>
        <v>オセ</v>
      </c>
      <c r="B16">
        <f ca="1">VLOOKUP($B3,units!$A:$BN,63)</f>
        <v>6221</v>
      </c>
      <c r="C16">
        <f ca="1">VLOOKUP($B3,units!$A:$BN,64)</f>
        <v>5131</v>
      </c>
      <c r="D16">
        <f ca="1">VLOOKUP($B3,units!$A:$BN,66)</f>
        <v>1885</v>
      </c>
    </row>
    <row r="17" spans="1:4" x14ac:dyDescent="0.15">
      <c r="A17" t="str">
        <f>A4</f>
        <v>フォルネウス</v>
      </c>
      <c r="B17">
        <f ca="1">VLOOKUP($B4,units!$A:$BN,63)</f>
        <v>6345</v>
      </c>
      <c r="C17">
        <f ca="1">VLOOKUP($B4,units!$A:$BN,64)</f>
        <v>4786</v>
      </c>
      <c r="D17">
        <f ca="1">VLOOKUP($B4,units!$A:$BN,66)</f>
        <v>1923</v>
      </c>
    </row>
    <row r="18" spans="1:4" x14ac:dyDescent="0.15">
      <c r="A18" t="str">
        <f>A5</f>
        <v>イザナミ</v>
      </c>
      <c r="B18">
        <f ca="1">VLOOKUP($B5,units!$A:$BN,63)</f>
        <v>6221</v>
      </c>
      <c r="C18">
        <f ca="1">VLOOKUP($B5,units!$A:$BN,64)</f>
        <v>4930</v>
      </c>
      <c r="D18">
        <f ca="1">VLOOKUP($B5,units!$A:$BN,66)</f>
        <v>1962</v>
      </c>
    </row>
    <row r="20" spans="1:4" ht="19" customHeight="1" x14ac:dyDescent="0.15">
      <c r="A20" t="s">
        <v>202</v>
      </c>
    </row>
    <row r="21" spans="1:4" x14ac:dyDescent="0.15">
      <c r="A21" t="str">
        <f ca="1">IFERROR(VLOOKUP($B$2,unit_skills!A:I,3),"なし")</f>
        <v>あけおめダック2017の技</v>
      </c>
    </row>
    <row r="22" spans="1:4" x14ac:dyDescent="0.15">
      <c r="A22" t="str">
        <f>IFERROR(VLOOKUP($B$2,unit_skills!A:I,4),"なし")</f>
        <v>ランダムで2つSCパネルを生成する</v>
      </c>
    </row>
    <row r="23" spans="1:4" x14ac:dyDescent="0.15">
      <c r="A23" t="str">
        <f>"cost:"&amp;IFERROR(VLOOKUP($B$2,unit_skills!A:I,6),"なし")</f>
        <v>cost:12</v>
      </c>
    </row>
    <row r="24" spans="1:4" x14ac:dyDescent="0.15">
      <c r="A24" t="str">
        <f>IFERROR(VLOOKUP($B$2,unit_skills!A:I,9),"なし")</f>
        <v xml:space="preserve">{"ver":"1.3.4","type":"ability","effects":"[effect:damage_up, target:myself, val:2, turn:3, type01:all]","conditions":"[condition:hp_rate,lower:0,upeer:50],[condition:active_unit]","logic":"and","priority":10}   </v>
      </c>
    </row>
    <row r="26" spans="1:4" x14ac:dyDescent="0.15">
      <c r="A26" t="str">
        <f>IFERROR(VLOOKUP($B$3,unit_skills!A:I,3),"なし")</f>
        <v>血炎斬首・天地沸騰</v>
      </c>
    </row>
    <row r="27" spans="1:4" x14ac:dyDescent="0.15">
      <c r="A27" t="str">
        <f>IFERROR(VLOOKUP($B$3,unit_skills!A:I,4),"なし")</f>
        <v>1体に赤属性の超大ダメージ+3ターン攻撃力UP(緑パネルを吸収して効果UP)</v>
      </c>
    </row>
    <row r="28" spans="1:4" x14ac:dyDescent="0.15">
      <c r="A28" t="str">
        <f>"cost:"&amp;IFERROR(VLOOKUP($B$3,unit_skills!A:I,6),"なし")</f>
        <v>cost:14</v>
      </c>
    </row>
    <row r="29" spans="1:4" x14ac:dyDescent="0.15">
      <c r="A29" t="str">
        <f>IFERROR(VLOOKUP($B$3,unit_skills!A:I,9),"なし")</f>
        <v>[effect:break_enchance_unit, val:0.005, lowest_val:0.2, count :-1, status:attack, turn:3, block:block_green, target:unit_all, calc:mul, animation:enhance_unit_all_attack04],[effect:damage, target:enemy_one, color:red, val:9.0, animation:damage_one_red05]</v>
      </c>
    </row>
    <row r="31" spans="1:4" x14ac:dyDescent="0.15">
      <c r="A31" t="str">
        <f>IFERROR(VLOOKUP($B$4,unit_skills!A:I,3),"なし")</f>
        <v>破界のトリプレットターゲット</v>
      </c>
    </row>
    <row r="32" spans="1:4" x14ac:dyDescent="0.15">
      <c r="A32" t="str">
        <f>IFERROR(VLOOKUP($B$4,unit_skills!A:I,4),"なし")</f>
        <v>パネルを3つランダムでSCパネルに変換する</v>
      </c>
    </row>
    <row r="33" spans="1:1" x14ac:dyDescent="0.15">
      <c r="A33" t="str">
        <f>"cost:"&amp;IFERROR(VLOOKUP($B$4,unit_skills!A:I,6),"なし")</f>
        <v>cost:10</v>
      </c>
    </row>
    <row r="34" spans="1:1" x14ac:dyDescent="0.15">
      <c r="A34" t="str">
        <f>IFERROR(VLOOKUP($B$4,unit_skills!A:I,9),"なし")</f>
        <v>[effect:special_block,val:12, count:3, animation:change_block]</v>
      </c>
    </row>
    <row r="36" spans="1:1" x14ac:dyDescent="0.15">
      <c r="A36" t="s">
        <v>203</v>
      </c>
    </row>
    <row r="37" spans="1:1" x14ac:dyDescent="0.15">
      <c r="A37" t="str">
        <f ca="1">IFERROR(VLOOKUP($B$2,crash_skills!A:I,3),"なし")</f>
        <v>あけおめダック2017の技</v>
      </c>
    </row>
    <row r="38" spans="1:1" x14ac:dyDescent="0.15">
      <c r="A38" t="str">
        <f>IFERROR(VLOOKUP($B$2,crash_skills!A:I,4),"なし")</f>
        <v>全体に特大ダメージ</v>
      </c>
    </row>
    <row r="39" spans="1:1" x14ac:dyDescent="0.15">
      <c r="A39" t="str">
        <f>IFERROR(VLOOKUP($B$2,crash_skills!A:I,6),"なし")</f>
        <v>[effect:damage, target:enemy_one, color:yellow, val:2.25, animation:damage_one_yellow04]</v>
      </c>
    </row>
    <row r="41" spans="1:1" x14ac:dyDescent="0.15">
      <c r="A41" t="str">
        <f>IFERROR(VLOOKUP($B$3,crash_skills!A:I,3),"なし")</f>
        <v>烈火斬突・暴走</v>
      </c>
    </row>
    <row r="42" spans="1:1" x14ac:dyDescent="0.15">
      <c r="A42" t="str">
        <f>IFERROR(VLOOKUP($B$3,crash_skills!A:I,4),"なし")</f>
        <v>全体に特大ダメージ</v>
      </c>
    </row>
    <row r="43" spans="1:1" x14ac:dyDescent="0.15">
      <c r="A43" t="str">
        <f>IFERROR(VLOOKUP($B$3,crash_skills!A:I,6),"なし")</f>
        <v>[effect:damage, target:enemy_all, color:red, val:1.125, animation:damage_all_red05]</v>
      </c>
    </row>
    <row r="45" spans="1:1" x14ac:dyDescent="0.15">
      <c r="A45" t="str">
        <f>IFERROR(VLOOKUP($B$4,crash_skills!A:I,3),"なし")</f>
        <v>エメラルド・インパクト</v>
      </c>
    </row>
    <row r="46" spans="1:1" x14ac:dyDescent="0.15">
      <c r="A46" t="str">
        <f>IFERROR(VLOOKUP($B$4,crash_skills!A:I,4),"なし")</f>
        <v>1体に特大ダメージ</v>
      </c>
    </row>
    <row r="47" spans="1:1" x14ac:dyDescent="0.15">
      <c r="A47" t="str">
        <f>IFERROR(VLOOKUP($B$4,crash_skills!A:I,6),"なし")</f>
        <v>[effect:damage, target:enemy_one, color:green, val:2.25, animation:damage_one_green05]</v>
      </c>
    </row>
    <row r="49" spans="1:1" x14ac:dyDescent="0.15">
      <c r="A49" t="s">
        <v>204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4" spans="1:1" x14ac:dyDescent="0.15">
      <c r="A54" t="str">
        <f>IFERROR(VLOOKUP($B$3,awake_materials!A:I,2),"なし")</f>
        <v>なし</v>
      </c>
    </row>
    <row r="56" spans="1:1" x14ac:dyDescent="0.15">
      <c r="A56" s="14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コスト</vt:lpstr>
      <vt:lpstr>レベル</vt:lpstr>
      <vt:lpstr>経験値</vt:lpstr>
      <vt:lpstr>RC6SV</vt:lpstr>
      <vt:lpstr>ビット</vt:lpstr>
      <vt:lpstr>チェックシート 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2017-06-06T09:14:11Z</dcterms:modified>
</cp:coreProperties>
</file>