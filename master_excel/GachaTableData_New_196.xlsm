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/>
  </bookViews>
  <sheets>
    <sheet name="output" sheetId="103" r:id="rId1"/>
    <sheet name="gacha_196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gacha_196_base!$A$42:$B$68</definedName>
    <definedName name="_xlnm._FilterDatabase" localSheetId="4" hidden="1">gacha_bonus_tables!$B$1:$G$1</definedName>
    <definedName name="_xlnm._FilterDatabase" localSheetId="2" hidden="1">gacha_select_tables!$A$1:$S$407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2" i="94" l="1"/>
  <c r="L30" i="94"/>
  <c r="K32" i="94"/>
  <c r="K30" i="94"/>
  <c r="H32" i="94"/>
  <c r="H30" i="94"/>
  <c r="G32" i="94"/>
  <c r="G30" i="94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2" i="82"/>
  <c r="S169" i="82"/>
  <c r="R169" i="82"/>
  <c r="Q169" i="82"/>
  <c r="P169" i="82"/>
  <c r="O169" i="82"/>
  <c r="N169" i="82"/>
  <c r="H169" i="82"/>
  <c r="I169" i="82"/>
  <c r="D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H168" i="82"/>
  <c r="I168" i="82"/>
  <c r="D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H167" i="82"/>
  <c r="I167" i="82"/>
  <c r="D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H166" i="82"/>
  <c r="I166" i="82"/>
  <c r="D166" i="82"/>
  <c r="L166" i="82"/>
  <c r="K166" i="82"/>
  <c r="J166" i="82"/>
  <c r="G166" i="82"/>
  <c r="C166" i="82"/>
  <c r="A166" i="82"/>
  <c r="A404" i="82"/>
  <c r="H404" i="82"/>
  <c r="I404" i="82"/>
  <c r="C404" i="82"/>
  <c r="D404" i="82"/>
  <c r="G404" i="82"/>
  <c r="J404" i="82"/>
  <c r="K404" i="82"/>
  <c r="L404" i="82"/>
  <c r="N404" i="82"/>
  <c r="O404" i="82"/>
  <c r="P404" i="82"/>
  <c r="Q404" i="82"/>
  <c r="R404" i="82"/>
  <c r="S404" i="82"/>
  <c r="A405" i="82"/>
  <c r="H405" i="82"/>
  <c r="I405" i="82"/>
  <c r="C405" i="82"/>
  <c r="D405" i="82"/>
  <c r="G405" i="82"/>
  <c r="J405" i="82"/>
  <c r="K405" i="82"/>
  <c r="L405" i="82"/>
  <c r="N405" i="82"/>
  <c r="O405" i="82"/>
  <c r="P405" i="82"/>
  <c r="Q405" i="82"/>
  <c r="R405" i="82"/>
  <c r="S405" i="82"/>
  <c r="A406" i="82"/>
  <c r="H406" i="82"/>
  <c r="I406" i="82"/>
  <c r="C406" i="82"/>
  <c r="D406" i="82"/>
  <c r="G406" i="82"/>
  <c r="J406" i="82"/>
  <c r="K406" i="82"/>
  <c r="L406" i="82"/>
  <c r="N406" i="82"/>
  <c r="O406" i="82"/>
  <c r="P406" i="82"/>
  <c r="Q406" i="82"/>
  <c r="R406" i="82"/>
  <c r="S406" i="82"/>
  <c r="A407" i="82"/>
  <c r="H407" i="82"/>
  <c r="I407" i="82"/>
  <c r="C407" i="82"/>
  <c r="D407" i="82"/>
  <c r="G407" i="82"/>
  <c r="J407" i="82"/>
  <c r="K407" i="82"/>
  <c r="L407" i="82"/>
  <c r="N407" i="82"/>
  <c r="O407" i="82"/>
  <c r="P407" i="82"/>
  <c r="Q407" i="82"/>
  <c r="R407" i="82"/>
  <c r="S407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2" i="82"/>
  <c r="I102" i="82"/>
  <c r="D102" i="82"/>
  <c r="H103" i="82"/>
  <c r="I103" i="82"/>
  <c r="D103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4" i="82"/>
  <c r="I134" i="82"/>
  <c r="D134" i="82"/>
  <c r="H135" i="82"/>
  <c r="I135" i="82"/>
  <c r="D135" i="82"/>
  <c r="H136" i="82"/>
  <c r="I136" i="82"/>
  <c r="D136" i="82"/>
  <c r="H137" i="82"/>
  <c r="I137" i="82"/>
  <c r="D137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46" i="82"/>
  <c r="I146" i="82"/>
  <c r="D146" i="82"/>
  <c r="H147" i="82"/>
  <c r="I147" i="82"/>
  <c r="D147" i="82"/>
  <c r="H148" i="82"/>
  <c r="I148" i="82"/>
  <c r="D148" i="82"/>
  <c r="H149" i="82"/>
  <c r="I149" i="82"/>
  <c r="D149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62" i="82"/>
  <c r="I162" i="82"/>
  <c r="D162" i="82"/>
  <c r="H163" i="82"/>
  <c r="I163" i="82"/>
  <c r="D163" i="82"/>
  <c r="H164" i="82"/>
  <c r="I164" i="82"/>
  <c r="D164" i="82"/>
  <c r="H165" i="82"/>
  <c r="I165" i="82"/>
  <c r="D165" i="82"/>
  <c r="H170" i="82"/>
  <c r="I170" i="82"/>
  <c r="D170" i="82"/>
  <c r="H171" i="82"/>
  <c r="I171" i="82"/>
  <c r="D171" i="82"/>
  <c r="H172" i="82"/>
  <c r="I172" i="82"/>
  <c r="D172" i="82"/>
  <c r="H173" i="82"/>
  <c r="I173" i="82"/>
  <c r="D173" i="82"/>
  <c r="H174" i="82"/>
  <c r="I174" i="82"/>
  <c r="D174" i="82"/>
  <c r="H175" i="82"/>
  <c r="I175" i="82"/>
  <c r="D175" i="82"/>
  <c r="H176" i="82"/>
  <c r="I176" i="82"/>
  <c r="D176" i="82"/>
  <c r="H177" i="82"/>
  <c r="I177" i="82"/>
  <c r="D177" i="82"/>
  <c r="H178" i="82"/>
  <c r="I178" i="82"/>
  <c r="D178" i="82"/>
  <c r="H179" i="82"/>
  <c r="I179" i="82"/>
  <c r="D179" i="82"/>
  <c r="H180" i="82"/>
  <c r="I180" i="82"/>
  <c r="D180" i="82"/>
  <c r="H181" i="82"/>
  <c r="I181" i="82"/>
  <c r="D18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6" i="82"/>
  <c r="I336" i="82"/>
  <c r="D336" i="82"/>
  <c r="H337" i="82"/>
  <c r="I337" i="82"/>
  <c r="D337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76" i="82"/>
  <c r="I376" i="82"/>
  <c r="D376" i="82"/>
  <c r="H377" i="82"/>
  <c r="I377" i="82"/>
  <c r="D377" i="82"/>
  <c r="H378" i="82"/>
  <c r="I378" i="82"/>
  <c r="D378" i="82"/>
  <c r="H379" i="82"/>
  <c r="I379" i="82"/>
  <c r="D379" i="82"/>
  <c r="H380" i="82"/>
  <c r="I380" i="82"/>
  <c r="D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0" i="82"/>
  <c r="I390" i="82"/>
  <c r="D390" i="82"/>
  <c r="H391" i="82"/>
  <c r="I391" i="82"/>
  <c r="D391" i="82"/>
  <c r="H392" i="82"/>
  <c r="I392" i="82"/>
  <c r="D392" i="82"/>
  <c r="H393" i="82"/>
  <c r="I393" i="82"/>
  <c r="D393" i="82"/>
  <c r="H394" i="82"/>
  <c r="I394" i="82"/>
  <c r="D394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D13" i="105"/>
  <c r="B5" i="105"/>
  <c r="A13" i="105"/>
  <c r="D16" i="105"/>
  <c r="A16" i="105"/>
  <c r="R165" i="82"/>
  <c r="Q165" i="82"/>
  <c r="P165" i="82"/>
  <c r="O165" i="82"/>
  <c r="A3" i="94"/>
  <c r="A4" i="94"/>
  <c r="A5" i="94"/>
  <c r="A6" i="94"/>
  <c r="A7" i="94"/>
  <c r="A8" i="94"/>
  <c r="A9" i="94"/>
  <c r="A10" i="94"/>
  <c r="A11" i="94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M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393" i="82"/>
  <c r="C393" i="82"/>
  <c r="G393" i="82"/>
  <c r="J393" i="82"/>
  <c r="K393" i="82"/>
  <c r="L393" i="82"/>
  <c r="A17" i="94"/>
  <c r="A18" i="94"/>
  <c r="A19" i="94"/>
  <c r="A20" i="94"/>
  <c r="A21" i="94"/>
  <c r="A22" i="94"/>
  <c r="A23" i="94"/>
  <c r="A24" i="94"/>
  <c r="A25" i="94"/>
  <c r="A26" i="94"/>
  <c r="A27" i="94"/>
  <c r="A28" i="94"/>
  <c r="M393" i="82"/>
  <c r="O393" i="82"/>
  <c r="P393" i="82"/>
  <c r="Q393" i="82"/>
  <c r="R393" i="82"/>
  <c r="A394" i="82"/>
  <c r="C394" i="82"/>
  <c r="G394" i="82"/>
  <c r="J394" i="82"/>
  <c r="K394" i="82"/>
  <c r="L394" i="82"/>
  <c r="M394" i="82"/>
  <c r="O394" i="82"/>
  <c r="P394" i="82"/>
  <c r="Q394" i="82"/>
  <c r="R394" i="82"/>
  <c r="A395" i="82"/>
  <c r="C395" i="82"/>
  <c r="G395" i="82"/>
  <c r="J395" i="82"/>
  <c r="K395" i="82"/>
  <c r="L395" i="82"/>
  <c r="M395" i="82"/>
  <c r="O395" i="82"/>
  <c r="P395" i="82"/>
  <c r="Q395" i="82"/>
  <c r="R395" i="82"/>
  <c r="A396" i="82"/>
  <c r="C396" i="82"/>
  <c r="G396" i="82"/>
  <c r="J396" i="82"/>
  <c r="K396" i="82"/>
  <c r="L396" i="82"/>
  <c r="M396" i="82"/>
  <c r="O396" i="82"/>
  <c r="P396" i="82"/>
  <c r="Q396" i="82"/>
  <c r="R396" i="82"/>
  <c r="A397" i="82"/>
  <c r="C397" i="82"/>
  <c r="G397" i="82"/>
  <c r="J397" i="82"/>
  <c r="K397" i="82"/>
  <c r="L397" i="82"/>
  <c r="M397" i="82"/>
  <c r="O397" i="82"/>
  <c r="P397" i="82"/>
  <c r="Q397" i="82"/>
  <c r="R397" i="82"/>
  <c r="A398" i="82"/>
  <c r="C398" i="82"/>
  <c r="G398" i="82"/>
  <c r="J398" i="82"/>
  <c r="K398" i="82"/>
  <c r="L398" i="82"/>
  <c r="M398" i="82"/>
  <c r="O398" i="82"/>
  <c r="P398" i="82"/>
  <c r="Q398" i="82"/>
  <c r="R398" i="82"/>
  <c r="A399" i="82"/>
  <c r="C399" i="82"/>
  <c r="G399" i="82"/>
  <c r="J399" i="82"/>
  <c r="K399" i="82"/>
  <c r="L399" i="82"/>
  <c r="M399" i="82"/>
  <c r="O399" i="82"/>
  <c r="P399" i="82"/>
  <c r="Q399" i="82"/>
  <c r="R399" i="82"/>
  <c r="A400" i="82"/>
  <c r="C400" i="82"/>
  <c r="G400" i="82"/>
  <c r="J400" i="82"/>
  <c r="K400" i="82"/>
  <c r="L400" i="82"/>
  <c r="M400" i="82"/>
  <c r="O400" i="82"/>
  <c r="P400" i="82"/>
  <c r="Q400" i="82"/>
  <c r="R400" i="82"/>
  <c r="A401" i="82"/>
  <c r="C401" i="82"/>
  <c r="G401" i="82"/>
  <c r="J401" i="82"/>
  <c r="K401" i="82"/>
  <c r="L401" i="82"/>
  <c r="M401" i="82"/>
  <c r="O401" i="82"/>
  <c r="P401" i="82"/>
  <c r="Q401" i="82"/>
  <c r="R401" i="82"/>
  <c r="A402" i="82"/>
  <c r="C402" i="82"/>
  <c r="G402" i="82"/>
  <c r="J402" i="82"/>
  <c r="K402" i="82"/>
  <c r="L402" i="82"/>
  <c r="M402" i="82"/>
  <c r="O402" i="82"/>
  <c r="P402" i="82"/>
  <c r="Q402" i="82"/>
  <c r="R402" i="82"/>
  <c r="A403" i="82"/>
  <c r="C403" i="82"/>
  <c r="G403" i="82"/>
  <c r="J403" i="82"/>
  <c r="K403" i="82"/>
  <c r="L403" i="82"/>
  <c r="M403" i="82"/>
  <c r="O403" i="82"/>
  <c r="P403" i="82"/>
  <c r="Q403" i="82"/>
  <c r="R403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R181" i="82"/>
  <c r="Q181" i="82"/>
  <c r="P181" i="82"/>
  <c r="O181" i="82"/>
  <c r="L181" i="82"/>
  <c r="K181" i="82"/>
  <c r="J181" i="82"/>
  <c r="G181" i="82"/>
  <c r="C181" i="82"/>
  <c r="A181" i="82"/>
  <c r="R180" i="82"/>
  <c r="Q180" i="82"/>
  <c r="P180" i="82"/>
  <c r="O180" i="82"/>
  <c r="L180" i="82"/>
  <c r="K180" i="82"/>
  <c r="J180" i="82"/>
  <c r="G180" i="82"/>
  <c r="C180" i="82"/>
  <c r="A180" i="82"/>
  <c r="R179" i="82"/>
  <c r="Q179" i="82"/>
  <c r="P179" i="82"/>
  <c r="O179" i="82"/>
  <c r="L179" i="82"/>
  <c r="K179" i="82"/>
  <c r="J179" i="82"/>
  <c r="G179" i="82"/>
  <c r="C179" i="82"/>
  <c r="A179" i="82"/>
  <c r="R178" i="82"/>
  <c r="Q178" i="82"/>
  <c r="P178" i="82"/>
  <c r="O178" i="82"/>
  <c r="L178" i="82"/>
  <c r="K178" i="82"/>
  <c r="J178" i="82"/>
  <c r="G178" i="82"/>
  <c r="C178" i="82"/>
  <c r="A178" i="82"/>
  <c r="R177" i="82"/>
  <c r="Q177" i="82"/>
  <c r="P177" i="82"/>
  <c r="O177" i="82"/>
  <c r="L177" i="82"/>
  <c r="K177" i="82"/>
  <c r="J177" i="82"/>
  <c r="G177" i="82"/>
  <c r="C177" i="82"/>
  <c r="A177" i="82"/>
  <c r="R176" i="82"/>
  <c r="Q176" i="82"/>
  <c r="P176" i="82"/>
  <c r="O176" i="82"/>
  <c r="L176" i="82"/>
  <c r="K176" i="82"/>
  <c r="J176" i="82"/>
  <c r="G176" i="82"/>
  <c r="C176" i="82"/>
  <c r="A176" i="82"/>
  <c r="R175" i="82"/>
  <c r="Q175" i="82"/>
  <c r="P175" i="82"/>
  <c r="O175" i="82"/>
  <c r="L175" i="82"/>
  <c r="K175" i="82"/>
  <c r="J175" i="82"/>
  <c r="G175" i="82"/>
  <c r="C175" i="82"/>
  <c r="A175" i="82"/>
  <c r="R174" i="82"/>
  <c r="Q174" i="82"/>
  <c r="P174" i="82"/>
  <c r="O174" i="82"/>
  <c r="L174" i="82"/>
  <c r="K174" i="82"/>
  <c r="J174" i="82"/>
  <c r="G174" i="82"/>
  <c r="C174" i="82"/>
  <c r="A174" i="82"/>
  <c r="R173" i="82"/>
  <c r="Q173" i="82"/>
  <c r="P173" i="82"/>
  <c r="O173" i="82"/>
  <c r="L173" i="82"/>
  <c r="K173" i="82"/>
  <c r="J173" i="82"/>
  <c r="G173" i="82"/>
  <c r="C173" i="82"/>
  <c r="A173" i="82"/>
  <c r="R172" i="82"/>
  <c r="Q172" i="82"/>
  <c r="P172" i="82"/>
  <c r="O172" i="82"/>
  <c r="L172" i="82"/>
  <c r="K172" i="82"/>
  <c r="J172" i="82"/>
  <c r="G172" i="82"/>
  <c r="C172" i="82"/>
  <c r="A172" i="82"/>
  <c r="R171" i="82"/>
  <c r="Q171" i="82"/>
  <c r="P171" i="82"/>
  <c r="O171" i="82"/>
  <c r="L171" i="82"/>
  <c r="K171" i="82"/>
  <c r="J171" i="82"/>
  <c r="G171" i="82"/>
  <c r="C171" i="82"/>
  <c r="A171" i="82"/>
  <c r="R170" i="82"/>
  <c r="Q170" i="82"/>
  <c r="P170" i="82"/>
  <c r="O170" i="82"/>
  <c r="L170" i="82"/>
  <c r="K170" i="82"/>
  <c r="J170" i="82"/>
  <c r="G170" i="82"/>
  <c r="C170" i="82"/>
  <c r="A170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G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50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<sst xmlns="http://schemas.openxmlformats.org/spreadsheetml/2006/main" count="174" uniqueCount="105">
  <si>
    <t>character_id</t>
  </si>
  <si>
    <t>character_id</t>
    <phoneticPr fontId="12"/>
  </si>
  <si>
    <t>unit_level</t>
    <phoneticPr fontId="12"/>
  </si>
  <si>
    <t>weight</t>
    <phoneticPr fontId="12"/>
  </si>
  <si>
    <t>rare</t>
    <phoneticPr fontId="12"/>
  </si>
  <si>
    <t>name</t>
    <phoneticPr fontId="12"/>
  </si>
  <si>
    <t>drop_label</t>
    <phoneticPr fontId="12"/>
  </si>
  <si>
    <t>color</t>
    <phoneticPr fontId="12"/>
  </si>
  <si>
    <t>character_type_id</t>
    <phoneticPr fontId="12"/>
  </si>
  <si>
    <t>character_tribe_id</t>
    <phoneticPr fontId="12"/>
  </si>
  <si>
    <t>temp_gacha</t>
    <phoneticPr fontId="12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</si>
  <si>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</si>
  <si>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</si>
  <si>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</si>
  <si>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</si>
  <si>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</si>
  <si>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</si>
  <si>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</si>
  <si>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2"/>
  </si>
  <si>
    <t>pickup_flg</t>
    <phoneticPr fontId="12"/>
  </si>
  <si>
    <t>select_table_no</t>
    <phoneticPr fontId="12"/>
  </si>
  <si>
    <t>select_table_no</t>
    <phoneticPr fontId="12"/>
  </si>
  <si>
    <t>bonus_table_no</t>
    <phoneticPr fontId="12"/>
  </si>
  <si>
    <t>bonus_table_no</t>
    <phoneticPr fontId="12"/>
  </si>
  <si>
    <t>weight</t>
    <phoneticPr fontId="12"/>
  </si>
  <si>
    <t>gift_id</t>
    <phoneticPr fontId="12"/>
  </si>
  <si>
    <t>gift_id</t>
    <phoneticPr fontId="12"/>
  </si>
  <si>
    <t>gift_type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</si>
  <si>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</si>
  <si>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</si>
  <si>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</si>
  <si>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</si>
  <si>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</si>
  <si>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</si>
  <si>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gift_id</t>
    <phoneticPr fontId="12"/>
  </si>
  <si>
    <t>gift_value</t>
    <phoneticPr fontId="12"/>
  </si>
  <si>
    <t>gift_value</t>
    <phoneticPr fontId="12"/>
  </si>
  <si>
    <t>gift_count</t>
    <phoneticPr fontId="12"/>
  </si>
  <si>
    <t>language</t>
    <phoneticPr fontId="12"/>
  </si>
  <si>
    <t>title</t>
    <phoneticPr fontId="12"/>
  </si>
  <si>
    <t>detail</t>
    <phoneticPr fontId="12"/>
  </si>
  <si>
    <t>message</t>
    <phoneticPr fontId="12"/>
  </si>
  <si>
    <t>gift_type</t>
    <phoneticPr fontId="12"/>
  </si>
  <si>
    <t>備考</t>
    <rPh sb="0" eb="2">
      <t>ビコウ</t>
    </rPh>
    <phoneticPr fontId="12"/>
  </si>
  <si>
    <t>label</t>
    <phoneticPr fontId="12"/>
  </si>
  <si>
    <t>table_no</t>
    <phoneticPr fontId="12"/>
  </si>
  <si>
    <t>character_id</t>
    <phoneticPr fontId="12"/>
  </si>
  <si>
    <t>name</t>
    <phoneticPr fontId="12"/>
  </si>
  <si>
    <t>drop_label</t>
    <phoneticPr fontId="12"/>
  </si>
  <si>
    <t>rare</t>
    <phoneticPr fontId="12"/>
  </si>
  <si>
    <t>character_type_id</t>
    <phoneticPr fontId="12"/>
  </si>
  <si>
    <t>character_tribe_id</t>
    <phoneticPr fontId="12"/>
  </si>
  <si>
    <t>unit_level</t>
    <phoneticPr fontId="12"/>
  </si>
  <si>
    <t>weight</t>
    <phoneticPr fontId="12"/>
  </si>
  <si>
    <t>接頭語</t>
    <rPh sb="0" eb="3">
      <t>セットウゴ</t>
    </rPh>
    <phoneticPr fontId="46"/>
  </si>
  <si>
    <t>識別子</t>
    <rPh sb="0" eb="3">
      <t>シキベツシ</t>
    </rPh>
    <phoneticPr fontId="46"/>
  </si>
  <si>
    <t>形式</t>
    <rPh sb="0" eb="2">
      <t>ケイシキ</t>
    </rPh>
    <phoneticPr fontId="46"/>
  </si>
  <si>
    <t>出力ファイル名</t>
    <rPh sb="0" eb="2">
      <t>シュツリョク</t>
    </rPh>
    <rPh sb="6" eb="7">
      <t>メイ</t>
    </rPh>
    <phoneticPr fontId="46"/>
  </si>
  <si>
    <t>入力シート名</t>
    <rPh sb="0" eb="2">
      <t>ニュウリョク</t>
    </rPh>
    <rPh sb="5" eb="6">
      <t>メイ</t>
    </rPh>
    <phoneticPr fontId="46"/>
  </si>
  <si>
    <t>出力データ</t>
    <rPh sb="0" eb="2">
      <t>シュツリョク</t>
    </rPh>
    <phoneticPr fontId="46"/>
  </si>
  <si>
    <t>.tmp</t>
    <phoneticPr fontId="46"/>
  </si>
  <si>
    <t>.tmp</t>
    <phoneticPr fontId="46"/>
  </si>
  <si>
    <t>gacha_select_tables</t>
    <phoneticPr fontId="46"/>
  </si>
  <si>
    <t>gacha_settle_tables</t>
    <phoneticPr fontId="46"/>
  </si>
  <si>
    <t>gacha_bonus_tables</t>
    <phoneticPr fontId="46"/>
  </si>
  <si>
    <t>gifts_tmp_</t>
    <phoneticPr fontId="12"/>
  </si>
  <si>
    <t>gifts_i18n_</t>
    <phoneticPr fontId="12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</si>
  <si>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</si>
  <si>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</si>
  <si>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2"/>
  </si>
  <si>
    <t>出力flg</t>
    <rPh sb="0" eb="2">
      <t>シュツリョク</t>
    </rPh>
    <phoneticPr fontId="46"/>
  </si>
  <si>
    <t>old</t>
    <phoneticPr fontId="12"/>
  </si>
  <si>
    <t>PremiumW</t>
  </si>
  <si>
    <t>PremiumN</t>
  </si>
  <si>
    <t>PremiumS</t>
  </si>
  <si>
    <t>PremiumSS</t>
  </si>
  <si>
    <t>label</t>
    <phoneticPr fontId="12"/>
  </si>
  <si>
    <t>color</t>
    <phoneticPr fontId="12"/>
  </si>
  <si>
    <t>rarity</t>
    <phoneticPr fontId="12"/>
  </si>
  <si>
    <t>rarity</t>
    <phoneticPr fontId="12"/>
  </si>
  <si>
    <t>name</t>
    <phoneticPr fontId="12"/>
  </si>
  <si>
    <t>バグ設定ユニット数</t>
    <rPh sb="2" eb="9">
      <t>セッテイy</t>
    </rPh>
    <phoneticPr fontId="12"/>
  </si>
  <si>
    <t>単発ガチャ</t>
    <rPh sb="0" eb="5">
      <t>タンパt</t>
    </rPh>
    <phoneticPr fontId="12"/>
  </si>
  <si>
    <t>unit_level</t>
    <phoneticPr fontId="12"/>
  </si>
  <si>
    <t>フェス限定キャラ数</t>
    <rPh sb="3" eb="8">
      <t>ゲン</t>
    </rPh>
    <rPh sb="8" eb="9">
      <t>シュt</t>
    </rPh>
    <phoneticPr fontId="12"/>
  </si>
  <si>
    <t>１０連ガチャ</t>
    <rPh sb="2" eb="6">
      <t>レン</t>
    </rPh>
    <phoneticPr fontId="12"/>
  </si>
  <si>
    <t>確定枠</t>
    <rPh sb="0" eb="3">
      <t>カクテ</t>
    </rPh>
    <phoneticPr fontId="12"/>
  </si>
  <si>
    <t>今回のガチャID</t>
    <rPh sb="0" eb="3">
      <t>コンカ</t>
    </rPh>
    <phoneticPr fontId="12"/>
  </si>
  <si>
    <t>other</t>
    <phoneticPr fontId="12"/>
  </si>
  <si>
    <t>総ユニット数</t>
    <rPh sb="0" eb="1">
      <t>ソウ</t>
    </rPh>
    <rPh sb="5" eb="6">
      <t>ス</t>
    </rPh>
    <phoneticPr fontId="12"/>
  </si>
  <si>
    <t>総ユニット数</t>
    <rPh sb="0" eb="6">
      <t>ソウユニッt</t>
    </rPh>
    <phoneticPr fontId="12"/>
  </si>
  <si>
    <t>レベル設定ユニット数</t>
    <rPh sb="3" eb="10">
      <t>セッテイy</t>
    </rPh>
    <phoneticPr fontId="12"/>
  </si>
  <si>
    <t>PremiumSSS</t>
  </si>
  <si>
    <t>R4</t>
    <phoneticPr fontId="12"/>
  </si>
  <si>
    <t>R5</t>
    <phoneticPr fontId="12"/>
  </si>
  <si>
    <t>R4</t>
    <phoneticPr fontId="12"/>
  </si>
  <si>
    <t>R5</t>
    <phoneticPr fontId="12"/>
  </si>
  <si>
    <t>単発</t>
    <rPh sb="0" eb="2">
      <t>タンパt</t>
    </rPh>
    <phoneticPr fontId="12"/>
  </si>
  <si>
    <t>10連</t>
    <rPh sb="2" eb="3">
      <t>レン</t>
    </rPh>
    <phoneticPr fontId="12"/>
  </si>
  <si>
    <t>R4</t>
    <phoneticPr fontId="12"/>
  </si>
  <si>
    <t>R5</t>
    <phoneticPr fontId="12"/>
  </si>
  <si>
    <t>ファラデー</t>
    <phoneticPr fontId="12"/>
  </si>
  <si>
    <t>ユークリッド</t>
    <phoneticPr fontId="12"/>
  </si>
  <si>
    <t>skip</t>
    <phoneticPr fontId="12"/>
  </si>
  <si>
    <t>skip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</si>
</sst>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593">
    <xf numFmtId="0" fontId="0" fillId="0" borderId="0"/>
    <xf numFmtId="0" fontId="11" fillId="0" borderId="0"/>
    <xf numFmtId="0" fontId="15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0" fontId="23" fillId="6" borderId="2" applyNumberFormat="0" applyAlignment="0" applyProtection="0"/>
    <xf numFmtId="0" fontId="24" fillId="7" borderId="0" applyNumberFormat="0" applyBorder="0" applyAlignment="0" applyProtection="0"/>
    <xf numFmtId="0" fontId="25" fillId="8" borderId="3" applyNumberFormat="0" applyAlignment="0" applyProtection="0"/>
    <xf numFmtId="0" fontId="26" fillId="0" borderId="0" applyNumberFormat="0" applyFill="0" applyBorder="0" applyAlignment="0" applyProtection="0"/>
    <xf numFmtId="0" fontId="27" fillId="9" borderId="0" applyNumberFormat="0" applyBorder="0" applyAlignment="0" applyProtection="0"/>
    <xf numFmtId="0" fontId="28" fillId="10" borderId="4" applyNumberFormat="0" applyAlignment="0" applyProtection="0"/>
    <xf numFmtId="0" fontId="29" fillId="0" borderId="0" applyNumberFormat="0" applyFill="0" applyBorder="0" applyAlignment="0" applyProtection="0"/>
    <xf numFmtId="0" fontId="30" fillId="0" borderId="5" applyNumberFormat="0" applyFill="0" applyAlignment="0" applyProtection="0"/>
    <xf numFmtId="0" fontId="31" fillId="0" borderId="6" applyNumberFormat="0" applyFill="0" applyAlignment="0" applyProtection="0"/>
    <xf numFmtId="0" fontId="32" fillId="0" borderId="7" applyNumberFormat="0" applyFill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3" fillId="7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2" borderId="0" applyNumberFormat="0" applyBorder="0" applyAlignment="0" applyProtection="0"/>
    <xf numFmtId="0" fontId="33" fillId="6" borderId="0" applyNumberFormat="0" applyBorder="0" applyAlignment="0" applyProtection="0"/>
    <xf numFmtId="0" fontId="33" fillId="8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4" borderId="0" applyNumberFormat="0" applyBorder="0" applyAlignment="0" applyProtection="0"/>
    <xf numFmtId="0" fontId="33" fillId="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5" borderId="0" applyNumberFormat="0" applyBorder="0" applyAlignment="0" applyProtection="0"/>
    <xf numFmtId="0" fontId="34" fillId="7" borderId="0" applyNumberFormat="0" applyBorder="0" applyAlignment="0" applyProtection="0"/>
    <xf numFmtId="0" fontId="26" fillId="0" borderId="0" applyNumberFormat="0" applyFill="0" applyBorder="0" applyAlignment="0" applyProtection="0"/>
    <xf numFmtId="0" fontId="34" fillId="15" borderId="0" applyNumberFormat="0" applyBorder="0" applyAlignment="0" applyProtection="0"/>
    <xf numFmtId="0" fontId="34" fillId="16" borderId="0" applyNumberFormat="0" applyBorder="0" applyAlignment="0" applyProtection="0"/>
    <xf numFmtId="0" fontId="34" fillId="11" borderId="0" applyNumberFormat="0" applyBorder="0" applyAlignment="0" applyProtection="0"/>
    <xf numFmtId="0" fontId="34" fillId="17" borderId="0" applyNumberFormat="0" applyBorder="0" applyAlignment="0" applyProtection="0"/>
    <xf numFmtId="0" fontId="34" fillId="15" borderId="0" applyNumberFormat="0" applyBorder="0" applyAlignment="0" applyProtection="0"/>
    <xf numFmtId="0" fontId="34" fillId="13" borderId="0" applyNumberFormat="0" applyBorder="0" applyAlignment="0" applyProtection="0"/>
    <xf numFmtId="0" fontId="35" fillId="18" borderId="0" applyNumberFormat="0" applyBorder="0" applyAlignment="0" applyProtection="0"/>
    <xf numFmtId="0" fontId="24" fillId="7" borderId="0" applyNumberFormat="0" applyBorder="0" applyAlignment="0" applyProtection="0"/>
    <xf numFmtId="0" fontId="36" fillId="0" borderId="8" applyNumberFormat="0" applyFill="0" applyAlignment="0" applyProtection="0"/>
    <xf numFmtId="0" fontId="37" fillId="8" borderId="9" applyNumberFormat="0" applyAlignment="0" applyProtection="0"/>
    <xf numFmtId="0" fontId="37" fillId="19" borderId="9" applyNumberFormat="0" applyAlignment="0" applyProtection="0"/>
    <xf numFmtId="0" fontId="25" fillId="7" borderId="3" applyNumberFormat="0" applyAlignment="0" applyProtection="0"/>
    <xf numFmtId="0" fontId="38" fillId="0" borderId="10" applyNumberFormat="0" applyFill="0" applyAlignment="0" applyProtection="0"/>
    <xf numFmtId="0" fontId="39" fillId="19" borderId="3" applyNumberFormat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11" applyNumberFormat="0" applyFill="0" applyAlignment="0" applyProtection="0"/>
    <xf numFmtId="38" fontId="10" fillId="0" borderId="0" applyFont="0" applyFill="0" applyBorder="0" applyAlignment="0" applyProtection="0">
      <alignment vertical="center"/>
    </xf>
    <xf numFmtId="0" fontId="42" fillId="20" borderId="0" applyNumberFormat="0" applyBorder="0" applyAlignment="0" applyProtection="0"/>
    <xf numFmtId="0" fontId="43" fillId="21" borderId="0" applyNumberFormat="0" applyBorder="0" applyAlignment="0" applyProtection="0"/>
    <xf numFmtId="0" fontId="10" fillId="0" borderId="0"/>
    <xf numFmtId="0" fontId="44" fillId="21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5" fillId="0" borderId="0"/>
    <xf numFmtId="0" fontId="47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64">
    <xf numFmtId="0" fontId="0" fillId="0" borderId="0" xfId="0"/>
    <xf numFmtId="0" fontId="17" fillId="0" borderId="0" xfId="2" applyFont="1" applyAlignment="1">
      <alignment vertical="center"/>
    </xf>
    <xf numFmtId="0" fontId="17" fillId="0" borderId="1" xfId="2" applyFont="1" applyBorder="1" applyAlignment="1">
      <alignment vertical="center"/>
    </xf>
    <xf numFmtId="0" fontId="17" fillId="3" borderId="1" xfId="2" applyFont="1" applyFill="1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17" fillId="4" borderId="1" xfId="2" applyFont="1" applyFill="1" applyBorder="1" applyAlignment="1">
      <alignment vertical="center"/>
    </xf>
    <xf numFmtId="0" fontId="16" fillId="4" borderId="1" xfId="0" applyFont="1" applyFill="1" applyBorder="1" applyAlignment="1">
      <alignment horizontal="right" vertical="center"/>
    </xf>
    <xf numFmtId="0" fontId="22" fillId="5" borderId="0" xfId="2" applyFont="1" applyFill="1" applyAlignment="1">
      <alignment vertical="center"/>
    </xf>
    <xf numFmtId="0" fontId="17" fillId="3" borderId="1" xfId="2" applyFont="1" applyFill="1" applyBorder="1" applyAlignment="1">
      <alignment vertical="center"/>
    </xf>
    <xf numFmtId="0" fontId="18" fillId="4" borderId="1" xfId="0" applyFont="1" applyFill="1" applyBorder="1" applyAlignment="1">
      <alignment vertical="center"/>
    </xf>
    <xf numFmtId="0" fontId="17" fillId="4" borderId="12" xfId="2" applyFont="1" applyFill="1" applyBorder="1" applyAlignment="1">
      <alignment vertical="center"/>
    </xf>
    <xf numFmtId="0" fontId="17" fillId="0" borderId="13" xfId="2" applyFont="1" applyBorder="1" applyAlignment="1">
      <alignment vertical="center"/>
    </xf>
    <xf numFmtId="0" fontId="16" fillId="4" borderId="12" xfId="0" applyFont="1" applyFill="1" applyBorder="1" applyAlignment="1">
      <alignment horizontal="right" vertical="center"/>
    </xf>
    <xf numFmtId="0" fontId="16" fillId="4" borderId="14" xfId="0" applyFont="1" applyFill="1" applyBorder="1" applyAlignment="1">
      <alignment horizontal="right" vertical="center"/>
    </xf>
    <xf numFmtId="0" fontId="17" fillId="0" borderId="15" xfId="2" applyFont="1" applyBorder="1" applyAlignment="1">
      <alignment vertical="center"/>
    </xf>
    <xf numFmtId="0" fontId="18" fillId="3" borderId="1" xfId="0" applyFont="1" applyFill="1" applyBorder="1" applyAlignment="1">
      <alignment vertical="center"/>
    </xf>
    <xf numFmtId="0" fontId="0" fillId="4" borderId="1" xfId="0" applyFill="1" applyBorder="1"/>
    <xf numFmtId="0" fontId="17" fillId="2" borderId="1" xfId="2" applyFont="1" applyFill="1" applyBorder="1" applyAlignment="1">
      <alignment horizontal="left" vertical="center"/>
    </xf>
    <xf numFmtId="0" fontId="17" fillId="3" borderId="1" xfId="2" applyFont="1" applyFill="1" applyBorder="1" applyAlignment="1">
      <alignment horizontal="left" vertical="center"/>
    </xf>
    <xf numFmtId="0" fontId="17" fillId="5" borderId="0" xfId="2" applyFont="1" applyFill="1" applyAlignment="1">
      <alignment vertical="center"/>
    </xf>
    <xf numFmtId="0" fontId="45" fillId="22" borderId="1" xfId="0" applyFont="1" applyFill="1" applyBorder="1" applyAlignment="1">
      <alignment horizontal="left" vertical="center"/>
    </xf>
    <xf numFmtId="0" fontId="17" fillId="2" borderId="1" xfId="2" applyFont="1" applyFill="1" applyBorder="1" applyAlignment="1">
      <alignment horizontal="center" vertical="center"/>
    </xf>
    <xf numFmtId="0" fontId="19" fillId="23" borderId="1" xfId="2978" applyFont="1" applyFill="1" applyBorder="1"/>
    <xf numFmtId="0" fontId="5" fillId="23" borderId="1" xfId="2978" applyFill="1" applyBorder="1"/>
    <xf numFmtId="0" fontId="5" fillId="0" borderId="0" xfId="2978"/>
    <xf numFmtId="0" fontId="5" fillId="0" borderId="1" xfId="2978" applyBorder="1"/>
    <xf numFmtId="0" fontId="5" fillId="2" borderId="1" xfId="2978" applyFill="1" applyBorder="1"/>
    <xf numFmtId="0" fontId="9" fillId="2" borderId="1" xfId="19" applyFont="1" applyFill="1" applyBorder="1"/>
    <xf numFmtId="0" fontId="10" fillId="2" borderId="1" xfId="19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4" fillId="0" borderId="1" xfId="2978" applyFont="1" applyBorder="1"/>
    <xf numFmtId="0" fontId="19" fillId="23" borderId="1" xfId="0" applyFont="1" applyFill="1" applyBorder="1"/>
    <xf numFmtId="0" fontId="3" fillId="0" borderId="1" xfId="3036" applyFont="1" applyBorder="1"/>
    <xf numFmtId="0" fontId="17" fillId="0" borderId="0" xfId="2" applyFont="1" applyBorder="1" applyAlignment="1">
      <alignment vertical="center"/>
    </xf>
    <xf numFmtId="0" fontId="45" fillId="24" borderId="1" xfId="0" applyFont="1" applyFill="1" applyBorder="1" applyAlignment="1">
      <alignment horizontal="center" vertical="center"/>
    </xf>
    <xf numFmtId="0" fontId="45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5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8" fillId="0" borderId="1" xfId="0" applyFont="1" applyFill="1" applyBorder="1" applyAlignment="1">
      <alignment vertical="center"/>
    </xf>
    <xf numFmtId="0" fontId="0" fillId="0" borderId="0" xfId="0" applyFill="1"/>
    <xf numFmtId="0" fontId="45" fillId="25" borderId="1" xfId="0" applyFont="1" applyFill="1" applyBorder="1" applyAlignment="1">
      <alignment horizontal="right" vertical="center"/>
    </xf>
    <xf numFmtId="0" fontId="45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5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2" fillId="0" borderId="1" xfId="3036" applyFont="1" applyBorder="1"/>
  </cellXfs>
  <cellStyles count="359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PremiumW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DropWizS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DropWizS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DropWizS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DropWizS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DropWizS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DropWizS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DropWizS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DropWizS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green</v>
          </cell>
          <cell r="I765">
            <v>4</v>
          </cell>
          <cell r="J765" t="str">
            <v>PremiumSS</v>
          </cell>
          <cell r="K765" t="str">
            <v>attack</v>
          </cell>
          <cell r="L765" t="str">
            <v>攻撃タイプ</v>
          </cell>
          <cell r="M765" t="str">
            <v>dragon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green</v>
          </cell>
          <cell r="I766">
            <v>5</v>
          </cell>
          <cell r="J766" t="str">
            <v>PremiumSS</v>
          </cell>
          <cell r="K766" t="str">
            <v>attack</v>
          </cell>
          <cell r="L766" t="str">
            <v>攻撃タイプ</v>
          </cell>
          <cell r="M766" t="str">
            <v>dragon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green</v>
          </cell>
          <cell r="I767">
            <v>3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animal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green</v>
          </cell>
          <cell r="I768">
            <v>4</v>
          </cell>
          <cell r="J768" t="str">
            <v>PremiumSS</v>
          </cell>
          <cell r="K768" t="str">
            <v>attack</v>
          </cell>
          <cell r="L768" t="str">
            <v>攻撃タイプ</v>
          </cell>
          <cell r="M768" t="str">
            <v>animal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5</v>
          </cell>
          <cell r="J769" t="str">
            <v>PremiumSS</v>
          </cell>
          <cell r="K769" t="str">
            <v>attack</v>
          </cell>
          <cell r="L769" t="str">
            <v>攻撃タイプ</v>
          </cell>
          <cell r="M769" t="str">
            <v>animal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3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unknown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tabSelected="1" workbookViewId="0">
      <selection activeCell="F16" sqref="F16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196</v>
      </c>
      <c r="D2" s="25" t="s">
        <v>60</v>
      </c>
      <c r="E2" s="23" t="str">
        <f ca="1">B2&amp;C2&amp;D2</f>
        <v>gacha_select_tables_196.tmp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63" t="s">
        <v>103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196</v>
      </c>
      <c r="D3" s="25" t="s">
        <v>61</v>
      </c>
      <c r="E3" s="23" t="str">
        <f ca="1">B3&amp;C3&amp;D3</f>
        <v>gacha_settle_tables_196.tmp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104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196</v>
      </c>
      <c r="D4" s="25" t="s">
        <v>61</v>
      </c>
      <c r="E4" s="23" t="str">
        <f ca="1">B4&amp;C4&amp;D4</f>
        <v>gacha_bonus_tables_196.tmp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103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196</v>
      </c>
      <c r="D5" s="25" t="s">
        <v>61</v>
      </c>
      <c r="E5" s="23" t="str">
        <f ca="1">B5&amp;C5&amp;D5</f>
        <v>gifts_tmp_196.tmp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103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196</v>
      </c>
      <c r="D6" s="25" t="s">
        <v>61</v>
      </c>
      <c r="E6" s="23" t="str">
        <f ca="1">B6&amp;C6&amp;D6</f>
        <v>gifts_i18n_196.tmp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L75"/>
  <sheetViews>
    <sheetView topLeftCell="A2" workbookViewId="0">
      <selection activeCell="L32" sqref="L32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1" si="0">0&amp;C3&amp;D3&amp;E3</f>
        <v>0PremiumW4</v>
      </c>
      <c r="B3">
        <v>7750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14586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14586</v>
      </c>
      <c r="C5" s="52" t="s">
        <v>74</v>
      </c>
      <c r="D5">
        <v>4</v>
      </c>
    </row>
    <row r="6" spans="1:5">
      <c r="A6" s="15" t="str">
        <f t="shared" si="0"/>
        <v>0PremiumSS4</v>
      </c>
      <c r="B6">
        <v>2566</v>
      </c>
      <c r="C6" s="52" t="s">
        <v>75</v>
      </c>
      <c r="D6">
        <v>4</v>
      </c>
    </row>
    <row r="7" spans="1:5">
      <c r="A7" s="15" t="str">
        <f t="shared" si="0"/>
        <v>0PremiumSSS4</v>
      </c>
      <c r="B7">
        <v>4705</v>
      </c>
      <c r="C7" s="52" t="s">
        <v>92</v>
      </c>
      <c r="D7">
        <v>4</v>
      </c>
    </row>
    <row r="8" spans="1:5">
      <c r="A8" s="15" t="str">
        <f t="shared" si="0"/>
        <v>0PremiumN5</v>
      </c>
      <c r="B8">
        <v>915</v>
      </c>
      <c r="C8" s="52" t="s">
        <v>73</v>
      </c>
      <c r="D8">
        <v>5</v>
      </c>
    </row>
    <row r="9" spans="1:5">
      <c r="A9" s="15" t="str">
        <f t="shared" si="0"/>
        <v>0PremiumS5</v>
      </c>
      <c r="B9">
        <v>915</v>
      </c>
      <c r="C9" s="52" t="s">
        <v>74</v>
      </c>
      <c r="D9">
        <v>5</v>
      </c>
    </row>
    <row r="10" spans="1:5">
      <c r="A10" s="15" t="str">
        <f t="shared" si="0"/>
        <v>0PremiumSS5</v>
      </c>
      <c r="B10">
        <v>161</v>
      </c>
      <c r="C10" s="61" t="s">
        <v>75</v>
      </c>
      <c r="D10">
        <v>5</v>
      </c>
    </row>
    <row r="11" spans="1:5">
      <c r="A11" s="15" t="str">
        <f t="shared" si="0"/>
        <v>0PremiumSSS5</v>
      </c>
      <c r="B11">
        <v>295</v>
      </c>
      <c r="C11" s="61" t="s">
        <v>92</v>
      </c>
      <c r="D11">
        <v>5</v>
      </c>
    </row>
    <row r="12" spans="1:5">
      <c r="A12" s="15"/>
      <c r="B12"/>
      <c r="C12" s="51"/>
    </row>
    <row r="13" spans="1:5">
      <c r="A13" s="15"/>
      <c r="B13"/>
      <c r="C13" s="52"/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12">
      <c r="A17" s="15" t="str">
        <f t="shared" ref="A17:A28" si="1">1&amp;C17&amp;D17&amp;E17</f>
        <v>1PremiumW3</v>
      </c>
      <c r="B17">
        <v>7440</v>
      </c>
      <c r="C17" s="51" t="s">
        <v>72</v>
      </c>
      <c r="D17">
        <v>3</v>
      </c>
    </row>
    <row r="18" spans="1:12">
      <c r="A18" s="15" t="str">
        <f t="shared" si="1"/>
        <v>1PremiumN3</v>
      </c>
      <c r="B18">
        <v>11160</v>
      </c>
      <c r="C18" s="51" t="s">
        <v>73</v>
      </c>
      <c r="D18">
        <v>3</v>
      </c>
    </row>
    <row r="19" spans="1:12">
      <c r="A19" s="15" t="str">
        <f t="shared" si="1"/>
        <v>1PremiumS3</v>
      </c>
      <c r="B19">
        <v>11160</v>
      </c>
      <c r="C19" s="51" t="s">
        <v>74</v>
      </c>
      <c r="D19">
        <v>3</v>
      </c>
    </row>
    <row r="20" spans="1:12">
      <c r="A20" s="15" t="str">
        <f t="shared" si="1"/>
        <v>1PremiumW4</v>
      </c>
      <c r="B20">
        <v>2349</v>
      </c>
      <c r="C20" s="51" t="s">
        <v>72</v>
      </c>
      <c r="D20">
        <v>4</v>
      </c>
    </row>
    <row r="21" spans="1:12">
      <c r="A21" s="15" t="str">
        <f t="shared" si="1"/>
        <v>1PremiumN4</v>
      </c>
      <c r="B21">
        <v>2614</v>
      </c>
      <c r="C21" s="51" t="s">
        <v>73</v>
      </c>
      <c r="D21">
        <v>4</v>
      </c>
    </row>
    <row r="22" spans="1:12">
      <c r="A22" s="15" t="str">
        <f t="shared" si="1"/>
        <v>1PremiumS4</v>
      </c>
      <c r="B22">
        <v>2614</v>
      </c>
      <c r="C22" s="51" t="s">
        <v>74</v>
      </c>
      <c r="D22">
        <v>4</v>
      </c>
      <c r="H22" s="50"/>
      <c r="I22" s="50"/>
    </row>
    <row r="23" spans="1:12">
      <c r="A23" s="15" t="str">
        <f t="shared" si="1"/>
        <v>1PremiumSS4</v>
      </c>
      <c r="B23">
        <v>2558</v>
      </c>
      <c r="C23" s="51" t="s">
        <v>75</v>
      </c>
      <c r="D23">
        <v>4</v>
      </c>
    </row>
    <row r="24" spans="1:12">
      <c r="A24" s="15" t="str">
        <f t="shared" si="1"/>
        <v>1PremiumSSS4</v>
      </c>
      <c r="B24">
        <v>4690</v>
      </c>
      <c r="C24" s="51" t="s">
        <v>92</v>
      </c>
      <c r="D24">
        <v>4</v>
      </c>
    </row>
    <row r="25" spans="1:12">
      <c r="A25" s="15" t="str">
        <f t="shared" si="1"/>
        <v>1PremiumN5</v>
      </c>
      <c r="B25">
        <v>910</v>
      </c>
      <c r="C25" s="52" t="s">
        <v>73</v>
      </c>
      <c r="D25">
        <v>5</v>
      </c>
    </row>
    <row r="26" spans="1:12">
      <c r="A26" s="15" t="str">
        <f t="shared" si="1"/>
        <v>1PremiumS5</v>
      </c>
      <c r="B26">
        <v>910</v>
      </c>
      <c r="C26" s="52" t="s">
        <v>74</v>
      </c>
      <c r="D26">
        <v>5</v>
      </c>
    </row>
    <row r="27" spans="1:12">
      <c r="A27" s="15" t="str">
        <f t="shared" si="1"/>
        <v>1PremiumSS5</v>
      </c>
      <c r="B27">
        <v>169</v>
      </c>
      <c r="C27" s="52" t="s">
        <v>75</v>
      </c>
      <c r="D27">
        <v>5</v>
      </c>
    </row>
    <row r="28" spans="1:12">
      <c r="A28" s="15" t="str">
        <f t="shared" si="1"/>
        <v>1PremiumSSS5</v>
      </c>
      <c r="B28">
        <v>310</v>
      </c>
      <c r="C28" s="51" t="s">
        <v>92</v>
      </c>
      <c r="D28">
        <v>5</v>
      </c>
      <c r="F28" t="s">
        <v>97</v>
      </c>
      <c r="J28" t="s">
        <v>98</v>
      </c>
    </row>
    <row r="29" spans="1:12">
      <c r="A29" s="15"/>
      <c r="B29"/>
      <c r="C29" s="51"/>
      <c r="F29" t="s">
        <v>102</v>
      </c>
      <c r="G29" t="s">
        <v>93</v>
      </c>
      <c r="H29" t="s">
        <v>94</v>
      </c>
      <c r="J29" t="s">
        <v>102</v>
      </c>
      <c r="K29" t="s">
        <v>99</v>
      </c>
      <c r="L29" t="s">
        <v>100</v>
      </c>
    </row>
    <row r="30" spans="1:12">
      <c r="A30" s="15"/>
      <c r="B30"/>
      <c r="C30" s="41"/>
      <c r="G30">
        <f>B24*2*0.3</f>
        <v>2814</v>
      </c>
      <c r="H30">
        <f>B28*2*0.3</f>
        <v>186</v>
      </c>
      <c r="K30">
        <f>B7*2*0.3</f>
        <v>2823</v>
      </c>
      <c r="L30">
        <f>B11*2*0.3</f>
        <v>177</v>
      </c>
    </row>
    <row r="31" spans="1:12">
      <c r="A31" s="15"/>
      <c r="B31"/>
      <c r="C31" s="41"/>
      <c r="F31" t="s">
        <v>101</v>
      </c>
      <c r="G31" t="s">
        <v>95</v>
      </c>
      <c r="H31" t="s">
        <v>96</v>
      </c>
      <c r="J31" t="s">
        <v>101</v>
      </c>
      <c r="K31" t="s">
        <v>95</v>
      </c>
      <c r="L31" t="s">
        <v>100</v>
      </c>
    </row>
    <row r="32" spans="1:12">
      <c r="A32" s="15"/>
      <c r="B32"/>
      <c r="C32" s="41"/>
      <c r="G32">
        <f>B24*2*0.7</f>
        <v>6566</v>
      </c>
      <c r="H32">
        <f>B28*2*0.7</f>
        <v>434</v>
      </c>
      <c r="K32">
        <f>B7*2*0.7</f>
        <v>6587</v>
      </c>
      <c r="L32">
        <f>B11*2*0.7</f>
        <v>413</v>
      </c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07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H24" sqref="H2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1960127</v>
      </c>
      <c r="B2" s="2" t="str">
        <f>196&amp;E2</f>
        <v>1960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VLOOKUP(D2,gacha_196_base!A:B,2,FALSE)</f>
        <v>7750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1960129</v>
      </c>
      <c r="B3" s="2" t="str">
        <f t="shared" ref="B3:B66" si="3">196&amp;E3</f>
        <v>1960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VLOOKUP(D3,gacha_196_base!A:B,2,FALSE)</f>
        <v>7750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1960131</v>
      </c>
      <c r="B4" s="2" t="str">
        <f t="shared" si="3"/>
        <v>1960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VLOOKUP(D4,gacha_196_base!A:B,2,FALSE)</f>
        <v>7750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1960133</v>
      </c>
      <c r="B5" s="2" t="str">
        <f t="shared" si="3"/>
        <v>1960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VLOOKUP(D5,gacha_196_base!A:B,2,FALSE)</f>
        <v>7750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1960135</v>
      </c>
      <c r="B6" s="2" t="str">
        <f t="shared" si="3"/>
        <v>1960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VLOOKUP(D6,gacha_196_base!A:B,2,FALSE)</f>
        <v>7750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1960137</v>
      </c>
      <c r="B7" s="2" t="str">
        <f t="shared" si="3"/>
        <v>1960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VLOOKUP(D7,gacha_196_base!A:B,2,FALSE)</f>
        <v>7750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1960139</v>
      </c>
      <c r="B8" s="2" t="str">
        <f t="shared" si="3"/>
        <v>1960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VLOOKUP(D8,gacha_196_base!A:B,2,FALSE)</f>
        <v>7750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1960141</v>
      </c>
      <c r="B9" s="2" t="str">
        <f t="shared" si="3"/>
        <v>1960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VLOOKUP(D9,gacha_196_base!A:B,2,FALSE)</f>
        <v>7750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1960143</v>
      </c>
      <c r="B10" s="2" t="str">
        <f t="shared" si="3"/>
        <v>1960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VLOOKUP(D10,gacha_196_base!A:B,2,FALSE)</f>
        <v>7750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1960145</v>
      </c>
      <c r="B11" s="2" t="str">
        <f t="shared" si="3"/>
        <v>1960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VLOOKUP(D11,gacha_196_base!A:B,2,FALSE)</f>
        <v>7750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1960147</v>
      </c>
      <c r="B12" s="2" t="str">
        <f t="shared" si="3"/>
        <v>1960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VLOOKUP(D12,gacha_196_base!A:B,2,FALSE)</f>
        <v>7750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1960149</v>
      </c>
      <c r="B13" s="2" t="str">
        <f t="shared" si="3"/>
        <v>1960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VLOOKUP(D13,gacha_196_base!A:B,2,FALSE)</f>
        <v>7750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1960151</v>
      </c>
      <c r="B14" s="2" t="str">
        <f t="shared" si="3"/>
        <v>1960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VLOOKUP(D14,gacha_196_base!A:B,2,FALSE)</f>
        <v>7750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1960153</v>
      </c>
      <c r="B15" s="2" t="str">
        <f t="shared" si="3"/>
        <v>1960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VLOOKUP(D15,gacha_196_base!A:B,2,FALSE)</f>
        <v>7750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1960155</v>
      </c>
      <c r="B16" s="2" t="str">
        <f t="shared" si="3"/>
        <v>1960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VLOOKUP(D16,gacha_196_base!A:B,2,FALSE)</f>
        <v>7750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1960157</v>
      </c>
      <c r="B17" s="2" t="str">
        <f t="shared" si="3"/>
        <v>1960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VLOOKUP(D17,gacha_196_base!A:B,2,FALSE)</f>
        <v>7750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1960159</v>
      </c>
      <c r="B18" s="2" t="str">
        <f t="shared" si="3"/>
        <v>1960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VLOOKUP(D18,gacha_196_base!A:B,2,FALSE)</f>
        <v>7750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1960161</v>
      </c>
      <c r="B19" s="2" t="str">
        <f t="shared" si="3"/>
        <v>1960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VLOOKUP(D19,gacha_196_base!A:B,2,FALSE)</f>
        <v>7750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1960163</v>
      </c>
      <c r="B20" s="2" t="str">
        <f t="shared" si="3"/>
        <v>1960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VLOOKUP(D20,gacha_196_base!A:B,2,FALSE)</f>
        <v>7750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1960165</v>
      </c>
      <c r="B21" s="2" t="str">
        <f t="shared" si="3"/>
        <v>1960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VLOOKUP(D21,gacha_196_base!A:B,2,FALSE)</f>
        <v>7750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1960167</v>
      </c>
      <c r="B22" s="2" t="str">
        <f t="shared" si="3"/>
        <v>1960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VLOOKUP(D22,gacha_196_base!A:B,2,FALSE)</f>
        <v>14586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1960168</v>
      </c>
      <c r="B23" s="2" t="str">
        <f t="shared" si="3"/>
        <v>1960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VLOOKUP(D23,gacha_196_base!A:B,2,FALSE)</f>
        <v>915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1960170</v>
      </c>
      <c r="B24" s="2" t="str">
        <f t="shared" si="3"/>
        <v>1960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VLOOKUP(D24,gacha_196_base!A:B,2,FALSE)</f>
        <v>14586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1960171</v>
      </c>
      <c r="B25" s="2" t="str">
        <f t="shared" si="3"/>
        <v>1960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VLOOKUP(D25,gacha_196_base!A:B,2,FALSE)</f>
        <v>915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1960173</v>
      </c>
      <c r="B26" s="2" t="str">
        <f t="shared" si="3"/>
        <v>1960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VLOOKUP(D26,gacha_196_base!A:B,2,FALSE)</f>
        <v>14586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1960174</v>
      </c>
      <c r="B27" s="2" t="str">
        <f t="shared" si="3"/>
        <v>1960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VLOOKUP(D27,gacha_196_base!A:B,2,FALSE)</f>
        <v>915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1960176</v>
      </c>
      <c r="B28" s="2" t="str">
        <f t="shared" si="3"/>
        <v>1960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VLOOKUP(D28,gacha_196_base!A:B,2,FALSE)</f>
        <v>14586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1960177</v>
      </c>
      <c r="B29" s="2" t="str">
        <f t="shared" si="3"/>
        <v>1960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VLOOKUP(D29,gacha_196_base!A:B,2,FALSE)</f>
        <v>915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1960179</v>
      </c>
      <c r="B30" s="2" t="str">
        <f t="shared" si="3"/>
        <v>1960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VLOOKUP(D30,gacha_196_base!A:B,2,FALSE)</f>
        <v>14586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1960180</v>
      </c>
      <c r="B31" s="2" t="str">
        <f t="shared" si="3"/>
        <v>1960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VLOOKUP(D31,gacha_196_base!A:B,2,FALSE)</f>
        <v>915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1960182</v>
      </c>
      <c r="B32" s="2" t="str">
        <f t="shared" si="3"/>
        <v>1960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VLOOKUP(D32,gacha_196_base!A:B,2,FALSE)</f>
        <v>14586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1960183</v>
      </c>
      <c r="B33" s="2" t="str">
        <f t="shared" si="3"/>
        <v>1960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VLOOKUP(D33,gacha_196_base!A:B,2,FALSE)</f>
        <v>915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1960185</v>
      </c>
      <c r="B34" s="2" t="str">
        <f t="shared" si="3"/>
        <v>1960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VLOOKUP(D34,gacha_196_base!A:B,2,FALSE)</f>
        <v>14586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1960186</v>
      </c>
      <c r="B35" s="2" t="str">
        <f t="shared" si="3"/>
        <v>1960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VLOOKUP(D35,gacha_196_base!A:B,2,FALSE)</f>
        <v>915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1960188</v>
      </c>
      <c r="B36" s="2" t="str">
        <f t="shared" si="3"/>
        <v>1960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VLOOKUP(D36,gacha_196_base!A:B,2,FALSE)</f>
        <v>14586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1960189</v>
      </c>
      <c r="B37" s="2" t="str">
        <f t="shared" si="3"/>
        <v>1960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VLOOKUP(D37,gacha_196_base!A:B,2,FALSE)</f>
        <v>915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1960191</v>
      </c>
      <c r="B38" s="2" t="str">
        <f t="shared" si="3"/>
        <v>1960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VLOOKUP(D38,gacha_196_base!A:B,2,FALSE)</f>
        <v>14586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1960192</v>
      </c>
      <c r="B39" s="2" t="str">
        <f t="shared" si="3"/>
        <v>1960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VLOOKUP(D39,gacha_196_base!A:B,2,FALSE)</f>
        <v>915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1960194</v>
      </c>
      <c r="B40" s="2" t="str">
        <f t="shared" si="3"/>
        <v>1960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VLOOKUP(D40,gacha_196_base!A:B,2,FALSE)</f>
        <v>14586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1960195</v>
      </c>
      <c r="B41" s="2" t="str">
        <f t="shared" si="3"/>
        <v>1960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VLOOKUP(D41,gacha_196_base!A:B,2,FALSE)</f>
        <v>915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1960197</v>
      </c>
      <c r="B42" s="2" t="str">
        <f t="shared" si="3"/>
        <v>1960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VLOOKUP(D42,gacha_196_base!A:B,2,FALSE)</f>
        <v>14586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1960198</v>
      </c>
      <c r="B43" s="2" t="str">
        <f t="shared" si="3"/>
        <v>1960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VLOOKUP(D43,gacha_196_base!A:B,2,FALSE)</f>
        <v>915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1960200</v>
      </c>
      <c r="B44" s="2" t="str">
        <f t="shared" si="3"/>
        <v>1960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VLOOKUP(D44,gacha_196_base!A:B,2,FALSE)</f>
        <v>14586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1960201</v>
      </c>
      <c r="B45" s="2" t="str">
        <f t="shared" si="3"/>
        <v>1960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VLOOKUP(D45,gacha_196_base!A:B,2,FALSE)</f>
        <v>915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1960203</v>
      </c>
      <c r="B46" s="2" t="str">
        <f t="shared" si="3"/>
        <v>1960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VLOOKUP(D46,gacha_196_base!A:B,2,FALSE)</f>
        <v>14586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1960204</v>
      </c>
      <c r="B47" s="2" t="str">
        <f t="shared" si="3"/>
        <v>1960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VLOOKUP(D47,gacha_196_base!A:B,2,FALSE)</f>
        <v>915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1960206</v>
      </c>
      <c r="B48" s="2" t="str">
        <f t="shared" si="3"/>
        <v>1960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VLOOKUP(D48,gacha_196_base!A:B,2,FALSE)</f>
        <v>14586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1960207</v>
      </c>
      <c r="B49" s="2" t="str">
        <f t="shared" si="3"/>
        <v>1960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VLOOKUP(D49,gacha_196_base!A:B,2,FALSE)</f>
        <v>915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1960209</v>
      </c>
      <c r="B50" s="2" t="str">
        <f t="shared" si="3"/>
        <v>1960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VLOOKUP(D50,gacha_196_base!A:B,2,FALSE)</f>
        <v>14586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1960210</v>
      </c>
      <c r="B51" s="2" t="str">
        <f t="shared" si="3"/>
        <v>1960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VLOOKUP(D51,gacha_196_base!A:B,2,FALSE)</f>
        <v>915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1960212</v>
      </c>
      <c r="B52" s="2" t="str">
        <f t="shared" si="3"/>
        <v>1960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VLOOKUP(D52,gacha_196_base!A:B,2,FALSE)</f>
        <v>14586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1960213</v>
      </c>
      <c r="B53" s="2" t="str">
        <f t="shared" si="3"/>
        <v>1960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VLOOKUP(D53,gacha_196_base!A:B,2,FALSE)</f>
        <v>915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1960215</v>
      </c>
      <c r="B54" s="2" t="str">
        <f t="shared" si="3"/>
        <v>1960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VLOOKUP(D54,gacha_196_base!A:B,2,FALSE)</f>
        <v>14586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1960216</v>
      </c>
      <c r="B55" s="2" t="str">
        <f t="shared" si="3"/>
        <v>1960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VLOOKUP(D55,gacha_196_base!A:B,2,FALSE)</f>
        <v>915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1960218</v>
      </c>
      <c r="B56" s="2" t="str">
        <f t="shared" si="3"/>
        <v>1960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VLOOKUP(D56,gacha_196_base!A:B,2,FALSE)</f>
        <v>14586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1960219</v>
      </c>
      <c r="B57" s="2" t="str">
        <f t="shared" si="3"/>
        <v>1960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VLOOKUP(D57,gacha_196_base!A:B,2,FALSE)</f>
        <v>915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1960221</v>
      </c>
      <c r="B58" s="2" t="str">
        <f t="shared" si="3"/>
        <v>1960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VLOOKUP(D58,gacha_196_base!A:B,2,FALSE)</f>
        <v>14586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1960222</v>
      </c>
      <c r="B59" s="2" t="str">
        <f t="shared" si="3"/>
        <v>1960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VLOOKUP(D59,gacha_196_base!A:B,2,FALSE)</f>
        <v>915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1960224</v>
      </c>
      <c r="B60" s="2" t="str">
        <f t="shared" si="3"/>
        <v>1960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VLOOKUP(D60,gacha_196_base!A:B,2,FALSE)</f>
        <v>14586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1960225</v>
      </c>
      <c r="B61" s="2" t="str">
        <f t="shared" si="3"/>
        <v>1960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VLOOKUP(D61,gacha_196_base!A:B,2,FALSE)</f>
        <v>915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1960227</v>
      </c>
      <c r="B62" s="2" t="str">
        <f t="shared" si="3"/>
        <v>1960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VLOOKUP(D62,gacha_196_base!A:B,2,FALSE)</f>
        <v>14586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1960228</v>
      </c>
      <c r="B63" s="2" t="str">
        <f t="shared" si="3"/>
        <v>1960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VLOOKUP(D63,gacha_196_base!A:B,2,FALSE)</f>
        <v>915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1960230</v>
      </c>
      <c r="B64" s="2" t="str">
        <f t="shared" si="3"/>
        <v>1960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VLOOKUP(D64,gacha_196_base!A:B,2,FALSE)</f>
        <v>14586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1960231</v>
      </c>
      <c r="B65" s="2" t="str">
        <f t="shared" si="3"/>
        <v>1960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VLOOKUP(D65,gacha_196_base!A:B,2,FALSE)</f>
        <v>915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1960233</v>
      </c>
      <c r="B66" s="2" t="str">
        <f t="shared" si="3"/>
        <v>1960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VLOOKUP(D66,gacha_196_base!A:B,2,FALSE)</f>
        <v>14586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1960234</v>
      </c>
      <c r="B67" s="2" t="str">
        <f t="shared" ref="B67:B130" si="7">196&amp;E67</f>
        <v>1960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VLOOKUP(D67,gacha_196_base!A:B,2,FALSE)</f>
        <v>915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1960236</v>
      </c>
      <c r="B68" s="2" t="str">
        <f t="shared" si="7"/>
        <v>1960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VLOOKUP(D68,gacha_196_base!A:B,2,FALSE)</f>
        <v>14586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1960237</v>
      </c>
      <c r="B69" s="2" t="str">
        <f t="shared" si="7"/>
        <v>1960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VLOOKUP(D69,gacha_196_base!A:B,2,FALSE)</f>
        <v>915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1960239</v>
      </c>
      <c r="B70" s="2" t="str">
        <f t="shared" si="7"/>
        <v>1960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VLOOKUP(D70,gacha_196_base!A:B,2,FALSE)</f>
        <v>14586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1960240</v>
      </c>
      <c r="B71" s="2" t="str">
        <f t="shared" si="7"/>
        <v>1960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VLOOKUP(D71,gacha_196_base!A:B,2,FALSE)</f>
        <v>915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1960242</v>
      </c>
      <c r="B72" s="2" t="str">
        <f t="shared" si="7"/>
        <v>1960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VLOOKUP(D72,gacha_196_base!A:B,2,FALSE)</f>
        <v>14586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1960243</v>
      </c>
      <c r="B73" s="2" t="str">
        <f t="shared" si="7"/>
        <v>1960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VLOOKUP(D73,gacha_196_base!A:B,2,FALSE)</f>
        <v>915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1960245</v>
      </c>
      <c r="B74" s="2" t="str">
        <f t="shared" si="7"/>
        <v>1960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VLOOKUP(D74,gacha_196_base!A:B,2,FALSE)</f>
        <v>14586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1960246</v>
      </c>
      <c r="B75" s="2" t="str">
        <f t="shared" si="7"/>
        <v>1960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VLOOKUP(D75,gacha_196_base!A:B,2,FALSE)</f>
        <v>915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1960248</v>
      </c>
      <c r="B76" s="2" t="str">
        <f t="shared" si="7"/>
        <v>1960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VLOOKUP(D76,gacha_196_base!A:B,2,FALSE)</f>
        <v>14586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1960249</v>
      </c>
      <c r="B77" s="2" t="str">
        <f t="shared" si="7"/>
        <v>1960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VLOOKUP(D77,gacha_196_base!A:B,2,FALSE)</f>
        <v>915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1960251</v>
      </c>
      <c r="B78" s="2" t="str">
        <f t="shared" si="7"/>
        <v>1960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VLOOKUP(D78,gacha_196_base!A:B,2,FALSE)</f>
        <v>14586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1960252</v>
      </c>
      <c r="B79" s="2" t="str">
        <f t="shared" si="7"/>
        <v>1960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VLOOKUP(D79,gacha_196_base!A:B,2,FALSE)</f>
        <v>915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1960254</v>
      </c>
      <c r="B80" s="2" t="str">
        <f t="shared" si="7"/>
        <v>1960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VLOOKUP(D80,gacha_196_base!A:B,2,FALSE)</f>
        <v>14586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1960255</v>
      </c>
      <c r="B81" s="2" t="str">
        <f t="shared" si="7"/>
        <v>1960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VLOOKUP(D81,gacha_196_base!A:B,2,FALSE)</f>
        <v>915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1960257</v>
      </c>
      <c r="B82" s="2" t="str">
        <f t="shared" si="7"/>
        <v>1960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VLOOKUP(D82,gacha_196_base!A:B,2,FALSE)</f>
        <v>14586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1960258</v>
      </c>
      <c r="B83" s="2" t="str">
        <f t="shared" si="7"/>
        <v>1960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VLOOKUP(D83,gacha_196_base!A:B,2,FALSE)</f>
        <v>915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1960260</v>
      </c>
      <c r="B84" s="2" t="str">
        <f t="shared" si="7"/>
        <v>1960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VLOOKUP(D84,gacha_196_base!A:B,2,FALSE)</f>
        <v>14586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1960261</v>
      </c>
      <c r="B85" s="2" t="str">
        <f t="shared" si="7"/>
        <v>1960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VLOOKUP(D85,gacha_196_base!A:B,2,FALSE)</f>
        <v>915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1960320</v>
      </c>
      <c r="B86" s="2" t="str">
        <f t="shared" si="7"/>
        <v>1960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VLOOKUP(D86,gacha_196_base!A:B,2,FALSE)</f>
        <v>2566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1960321</v>
      </c>
      <c r="B87" s="2" t="str">
        <f t="shared" si="7"/>
        <v>1960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VLOOKUP(D87,gacha_196_base!A:B,2,FALSE)</f>
        <v>161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1960322</v>
      </c>
      <c r="B88" s="2" t="str">
        <f t="shared" si="7"/>
        <v>1960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VLOOKUP(D88,gacha_196_base!A:B,2,FALSE)</f>
        <v>2566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1960323</v>
      </c>
      <c r="B89" s="2" t="str">
        <f t="shared" si="7"/>
        <v>1960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VLOOKUP(D89,gacha_196_base!A:B,2,FALSE)</f>
        <v>161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1960324</v>
      </c>
      <c r="B90" s="2" t="str">
        <f t="shared" si="7"/>
        <v>1960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VLOOKUP(D90,gacha_196_base!A:B,2,FALSE)</f>
        <v>2566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1960325</v>
      </c>
      <c r="B91" s="2" t="str">
        <f t="shared" si="7"/>
        <v>1960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VLOOKUP(D91,gacha_196_base!A:B,2,FALSE)</f>
        <v>161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1960326</v>
      </c>
      <c r="B92" s="2" t="str">
        <f t="shared" si="7"/>
        <v>1960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VLOOKUP(D92,gacha_196_base!A:B,2,FALSE)</f>
        <v>2566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1960327</v>
      </c>
      <c r="B93" s="2" t="str">
        <f t="shared" si="7"/>
        <v>1960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VLOOKUP(D93,gacha_196_base!A:B,2,FALSE)</f>
        <v>161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1960381</v>
      </c>
      <c r="B94" s="2" t="str">
        <f t="shared" si="7"/>
        <v>1960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VLOOKUP(D94,gacha_196_base!A:B,2,FALSE)</f>
        <v>14586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1960382</v>
      </c>
      <c r="B95" s="2" t="str">
        <f t="shared" si="7"/>
        <v>1960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VLOOKUP(D95,gacha_196_base!A:B,2,FALSE)</f>
        <v>915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1960383</v>
      </c>
      <c r="B96" s="2" t="str">
        <f t="shared" si="7"/>
        <v>1960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VLOOKUP(D96,gacha_196_base!A:B,2,FALSE)</f>
        <v>2566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1960384</v>
      </c>
      <c r="B97" s="2" t="str">
        <f t="shared" si="7"/>
        <v>1960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VLOOKUP(D97,gacha_196_base!A:B,2,FALSE)</f>
        <v>161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1960385</v>
      </c>
      <c r="B98" s="2" t="str">
        <f t="shared" si="7"/>
        <v>1960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VLOOKUP(D98,gacha_196_base!A:B,2,FALSE)</f>
        <v>2566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1960386</v>
      </c>
      <c r="B99" s="2" t="str">
        <f t="shared" si="7"/>
        <v>1960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VLOOKUP(D99,gacha_196_base!A:B,2,FALSE)</f>
        <v>161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1960388</v>
      </c>
      <c r="B100" s="2" t="str">
        <f t="shared" si="7"/>
        <v>1960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VLOOKUP(D100,gacha_196_base!A:B,2,FALSE)</f>
        <v>14586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1960389</v>
      </c>
      <c r="B101" s="2" t="str">
        <f t="shared" si="7"/>
        <v>1960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VLOOKUP(D101,gacha_196_base!A:B,2,FALSE)</f>
        <v>915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1960390</v>
      </c>
      <c r="B102" s="2" t="str">
        <f t="shared" si="7"/>
        <v>1960</v>
      </c>
      <c r="C102" s="8" t="str">
        <f t="shared" si="8"/>
        <v>0PremiumSS4</v>
      </c>
      <c r="D102" s="8" t="str">
        <f t="shared" si="6"/>
        <v>0PremiumSS4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VLOOKUP(D102,gacha_196_base!A:B,2,FALSE)</f>
        <v>2566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1960391</v>
      </c>
      <c r="B103" s="2" t="str">
        <f t="shared" si="7"/>
        <v>1960</v>
      </c>
      <c r="C103" s="8" t="str">
        <f t="shared" si="8"/>
        <v>0PremiumSS5</v>
      </c>
      <c r="D103" s="8" t="str">
        <f t="shared" si="6"/>
        <v>0PremiumSS5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VLOOKUP(D103,gacha_196_base!A:B,2,FALSE)</f>
        <v>161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1960393</v>
      </c>
      <c r="B104" s="2" t="str">
        <f t="shared" si="7"/>
        <v>1960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VLOOKUP(D104,gacha_196_base!A:B,2,FALSE)</f>
        <v>14586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1960394</v>
      </c>
      <c r="B105" s="2" t="str">
        <f t="shared" si="7"/>
        <v>1960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VLOOKUP(D105,gacha_196_base!A:B,2,FALSE)</f>
        <v>915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1960396</v>
      </c>
      <c r="B106" s="2" t="str">
        <f t="shared" si="7"/>
        <v>1960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VLOOKUP(D106,gacha_196_base!A:B,2,FALSE)</f>
        <v>14586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1960397</v>
      </c>
      <c r="B107" s="2" t="str">
        <f t="shared" si="7"/>
        <v>1960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VLOOKUP(D107,gacha_196_base!A:B,2,FALSE)</f>
        <v>915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1960398</v>
      </c>
      <c r="B108" s="2" t="str">
        <f t="shared" si="7"/>
        <v>1960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VLOOKUP(D108,gacha_196_base!A:B,2,FALSE)</f>
        <v>2566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1960399</v>
      </c>
      <c r="B109" s="2" t="str">
        <f t="shared" si="7"/>
        <v>1960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VLOOKUP(D109,gacha_196_base!A:B,2,FALSE)</f>
        <v>161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1960401</v>
      </c>
      <c r="B110" s="2" t="str">
        <f t="shared" si="7"/>
        <v>1960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VLOOKUP(D110,gacha_196_base!A:B,2,FALSE)</f>
        <v>14586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1960402</v>
      </c>
      <c r="B111" s="2" t="str">
        <f t="shared" si="7"/>
        <v>1960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VLOOKUP(D111,gacha_196_base!A:B,2,FALSE)</f>
        <v>915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1960403</v>
      </c>
      <c r="B112" s="2" t="str">
        <f t="shared" si="7"/>
        <v>1960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VLOOKUP(D112,gacha_196_base!A:B,2,FALSE)</f>
        <v>2566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1960404</v>
      </c>
      <c r="B113" s="2" t="str">
        <f t="shared" si="7"/>
        <v>1960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VLOOKUP(D113,gacha_196_base!A:B,2,FALSE)</f>
        <v>161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1960406</v>
      </c>
      <c r="B114" s="2" t="str">
        <f t="shared" si="7"/>
        <v>1960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VLOOKUP(D114,gacha_196_base!A:B,2,FALSE)</f>
        <v>14586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1960407</v>
      </c>
      <c r="B115" s="2" t="str">
        <f t="shared" si="7"/>
        <v>1960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VLOOKUP(D115,gacha_196_base!A:B,2,FALSE)</f>
        <v>915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1960408</v>
      </c>
      <c r="B116" s="2" t="str">
        <f t="shared" si="7"/>
        <v>1960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VLOOKUP(D116,gacha_196_base!A:B,2,FALSE)</f>
        <v>2566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1960409</v>
      </c>
      <c r="B117" s="2" t="str">
        <f t="shared" si="7"/>
        <v>1960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VLOOKUP(D117,gacha_196_base!A:B,2,FALSE)</f>
        <v>161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1960434</v>
      </c>
      <c r="B118" s="2" t="str">
        <f t="shared" si="7"/>
        <v>1960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VLOOKUP(D118,gacha_196_base!A:B,2,FALSE)</f>
        <v>2566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1960435</v>
      </c>
      <c r="B119" s="2" t="str">
        <f t="shared" si="7"/>
        <v>1960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VLOOKUP(D119,gacha_196_base!A:B,2,FALSE)</f>
        <v>161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1960437</v>
      </c>
      <c r="B120" s="2" t="str">
        <f t="shared" si="7"/>
        <v>1960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VLOOKUP(D120,gacha_196_base!A:B,2,FALSE)</f>
        <v>14586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1960438</v>
      </c>
      <c r="B121" s="2" t="str">
        <f t="shared" si="7"/>
        <v>1960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VLOOKUP(D121,gacha_196_base!A:B,2,FALSE)</f>
        <v>915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1960440</v>
      </c>
      <c r="B122" s="2" t="str">
        <f t="shared" si="7"/>
        <v>1960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VLOOKUP(D122,gacha_196_base!A:B,2,FALSE)</f>
        <v>14586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1960441</v>
      </c>
      <c r="B123" s="2" t="str">
        <f t="shared" si="7"/>
        <v>1960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VLOOKUP(D123,gacha_196_base!A:B,2,FALSE)</f>
        <v>915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1960442</v>
      </c>
      <c r="B124" s="2" t="str">
        <f t="shared" si="7"/>
        <v>1960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VLOOKUP(D124,gacha_196_base!A:B,2,FALSE)</f>
        <v>2566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1960443</v>
      </c>
      <c r="B125" s="2" t="str">
        <f t="shared" si="7"/>
        <v>1960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VLOOKUP(D125,gacha_196_base!A:B,2,FALSE)</f>
        <v>161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1960463</v>
      </c>
      <c r="B126" s="2" t="str">
        <f t="shared" si="7"/>
        <v>1960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VLOOKUP(D126,gacha_196_base!A:B,2,FALSE)</f>
        <v>14586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1960464</v>
      </c>
      <c r="B127" s="2" t="str">
        <f t="shared" si="7"/>
        <v>1960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VLOOKUP(D127,gacha_196_base!A:B,2,FALSE)</f>
        <v>915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1960465</v>
      </c>
      <c r="B128" s="2" t="str">
        <f t="shared" si="7"/>
        <v>1960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VLOOKUP(D128,gacha_196_base!A:B,2,FALSE)</f>
        <v>2566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1960466</v>
      </c>
      <c r="B129" s="2" t="str">
        <f t="shared" si="7"/>
        <v>1960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VLOOKUP(D129,gacha_196_base!A:B,2,FALSE)</f>
        <v>161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1960467</v>
      </c>
      <c r="B130" s="2" t="str">
        <f t="shared" si="7"/>
        <v>1960</v>
      </c>
      <c r="C130" s="8" t="str">
        <f t="shared" si="8"/>
        <v>0PremiumSS4</v>
      </c>
      <c r="D130" s="8" t="str">
        <f t="shared" ref="D130:D197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VLOOKUP(D130,gacha_196_base!A:B,2,FALSE)</f>
        <v>2566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1960468</v>
      </c>
      <c r="B131" s="2" t="str">
        <f t="shared" ref="B131:B194" si="11">196&amp;E131</f>
        <v>1960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VLOOKUP(D131,gacha_196_base!A:B,2,FALSE)</f>
        <v>161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1960470</v>
      </c>
      <c r="B132" s="2" t="str">
        <f t="shared" si="11"/>
        <v>1960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VLOOKUP(D132,gacha_196_base!A:B,2,FALSE)</f>
        <v>14586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1960471</v>
      </c>
      <c r="B133" s="2" t="str">
        <f t="shared" si="11"/>
        <v>1960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VLOOKUP(D133,gacha_196_base!A:B,2,FALSE)</f>
        <v>915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1960474</v>
      </c>
      <c r="B134" s="2" t="str">
        <f t="shared" si="11"/>
        <v>1960</v>
      </c>
      <c r="C134" s="8" t="str">
        <f t="shared" ref="C134:C141" si="14">E134&amp;H134&amp;I134</f>
        <v>0PremiumSS4</v>
      </c>
      <c r="D134" s="8" t="str">
        <f t="shared" si="10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VLOOKUP(D134,gacha_196_base!A:B,2,FALSE)</f>
        <v>2566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1960475</v>
      </c>
      <c r="B135" s="2" t="str">
        <f t="shared" si="11"/>
        <v>1960</v>
      </c>
      <c r="C135" s="8" t="str">
        <f t="shared" si="14"/>
        <v>0PremiumSS5</v>
      </c>
      <c r="D135" s="8" t="str">
        <f t="shared" si="10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VLOOKUP(D135,gacha_196_base!A:B,2,FALSE)</f>
        <v>161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1960477</v>
      </c>
      <c r="B136" s="2" t="str">
        <f t="shared" si="11"/>
        <v>1960</v>
      </c>
      <c r="C136" s="8" t="str">
        <f t="shared" si="14"/>
        <v>0PremiumS4</v>
      </c>
      <c r="D136" s="8" t="str">
        <f t="shared" si="10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VLOOKUP(D136,gacha_196_base!A:B,2,FALSE)</f>
        <v>14586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1960478</v>
      </c>
      <c r="B137" s="2" t="str">
        <f t="shared" si="11"/>
        <v>1960</v>
      </c>
      <c r="C137" s="8" t="str">
        <f t="shared" si="14"/>
        <v>0PremiumS5</v>
      </c>
      <c r="D137" s="8" t="str">
        <f t="shared" si="10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VLOOKUP(D137,gacha_196_base!A:B,2,FALSE)</f>
        <v>915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1960479</v>
      </c>
      <c r="B138" s="2" t="str">
        <f t="shared" si="11"/>
        <v>1960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VLOOKUP(D138,gacha_196_base!A:B,2,FALSE)</f>
        <v>2566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1960480</v>
      </c>
      <c r="B139" s="2" t="str">
        <f t="shared" si="11"/>
        <v>1960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VLOOKUP(D139,gacha_196_base!A:B,2,FALSE)</f>
        <v>161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1960482</v>
      </c>
      <c r="B140" s="2" t="str">
        <f t="shared" si="11"/>
        <v>1960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VLOOKUP(D140,gacha_196_base!A:B,2,FALSE)</f>
        <v>14586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1960483</v>
      </c>
      <c r="B141" s="2" t="str">
        <f t="shared" si="11"/>
        <v>1960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VLOOKUP(D141,gacha_196_base!A:B,2,FALSE)</f>
        <v>915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69" si="15">B142&amp;F142</f>
        <v>1960492</v>
      </c>
      <c r="B142" s="2" t="str">
        <f t="shared" si="11"/>
        <v>1960</v>
      </c>
      <c r="C142" s="8" t="str">
        <f t="shared" ref="C142:C169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VLOOKUP(D142,gacha_196_base!A:B,2,FALSE)</f>
        <v>2566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1960493</v>
      </c>
      <c r="B143" s="2" t="str">
        <f t="shared" si="11"/>
        <v>1960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VLOOKUP(D143,gacha_196_base!A:B,2,FALSE)</f>
        <v>161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1960494</v>
      </c>
      <c r="B144" s="2" t="str">
        <f t="shared" si="11"/>
        <v>1960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VLOOKUP(D144,gacha_196_base!A:B,2,FALSE)</f>
        <v>2566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1960495</v>
      </c>
      <c r="B145" s="2" t="str">
        <f t="shared" si="11"/>
        <v>1960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VLOOKUP(D145,gacha_196_base!A:B,2,FALSE)</f>
        <v>161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1960497</v>
      </c>
      <c r="B146" s="2" t="str">
        <f t="shared" si="11"/>
        <v>1960</v>
      </c>
      <c r="C146" s="8" t="str">
        <f t="shared" si="16"/>
        <v>0PremiumS4</v>
      </c>
      <c r="D146" s="8" t="str">
        <f t="shared" si="10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VLOOKUP(D146,gacha_196_base!A:B,2,FALSE)</f>
        <v>14586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1960498</v>
      </c>
      <c r="B147" s="2" t="str">
        <f t="shared" si="11"/>
        <v>1960</v>
      </c>
      <c r="C147" s="8" t="str">
        <f t="shared" si="16"/>
        <v>0PremiumS5</v>
      </c>
      <c r="D147" s="8" t="str">
        <f t="shared" si="10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VLOOKUP(D147,gacha_196_base!A:B,2,FALSE)</f>
        <v>915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1960499</v>
      </c>
      <c r="B148" s="2" t="str">
        <f t="shared" si="11"/>
        <v>1960</v>
      </c>
      <c r="C148" s="8" t="str">
        <f t="shared" si="16"/>
        <v>0PremiumSS4</v>
      </c>
      <c r="D148" s="8" t="str">
        <f t="shared" si="10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VLOOKUP(D148,gacha_196_base!A:B,2,FALSE)</f>
        <v>2566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1960500</v>
      </c>
      <c r="B149" s="2" t="str">
        <f t="shared" si="11"/>
        <v>1960</v>
      </c>
      <c r="C149" s="8" t="str">
        <f t="shared" si="16"/>
        <v>0PremiumSS5</v>
      </c>
      <c r="D149" s="8" t="str">
        <f t="shared" si="10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VLOOKUP(D149,gacha_196_base!A:B,2,FALSE)</f>
        <v>161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1960586</v>
      </c>
      <c r="B150" s="2" t="str">
        <f t="shared" si="11"/>
        <v>1960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VLOOKUP(D150,gacha_196_base!A:B,2,FALSE)</f>
        <v>2566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1960587</v>
      </c>
      <c r="B151" s="2" t="str">
        <f t="shared" si="11"/>
        <v>1960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VLOOKUP(D151,gacha_196_base!A:B,2,FALSE)</f>
        <v>161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1960589</v>
      </c>
      <c r="B152" s="2" t="str">
        <f t="shared" si="11"/>
        <v>1960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VLOOKUP(D152,gacha_196_base!A:B,2,FALSE)</f>
        <v>14586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1960590</v>
      </c>
      <c r="B153" s="2" t="str">
        <f t="shared" si="11"/>
        <v>1960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VLOOKUP(D153,gacha_196_base!A:B,2,FALSE)</f>
        <v>915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1960592</v>
      </c>
      <c r="B154" s="2" t="str">
        <f t="shared" si="11"/>
        <v>1960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VLOOKUP(D154,gacha_196_base!A:B,2,FALSE)</f>
        <v>14586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1960593</v>
      </c>
      <c r="B155" s="2" t="str">
        <f t="shared" si="11"/>
        <v>1960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VLOOKUP(D155,gacha_196_base!A:B,2,FALSE)</f>
        <v>915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1960594</v>
      </c>
      <c r="B156" s="2" t="str">
        <f t="shared" si="11"/>
        <v>1960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VLOOKUP(D156,gacha_196_base!A:B,2,FALSE)</f>
        <v>2566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1960595</v>
      </c>
      <c r="B157" s="2" t="str">
        <f t="shared" si="11"/>
        <v>1960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VLOOKUP(D157,gacha_196_base!A:B,2,FALSE)</f>
        <v>161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1960597</v>
      </c>
      <c r="B158" s="2" t="str">
        <f t="shared" si="11"/>
        <v>1960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VLOOKUP(D158,gacha_196_base!A:B,2,FALSE)</f>
        <v>14586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1960598</v>
      </c>
      <c r="B159" s="2" t="str">
        <f t="shared" si="11"/>
        <v>1960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VLOOKUP(D159,gacha_196_base!A:B,2,FALSE)</f>
        <v>915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1960600</v>
      </c>
      <c r="B160" s="2" t="str">
        <f t="shared" si="11"/>
        <v>1960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VLOOKUP(D160,gacha_196_base!A:B,2,FALSE)</f>
        <v>14586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1960601</v>
      </c>
      <c r="B161" s="2" t="str">
        <f t="shared" si="11"/>
        <v>1960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VLOOKUP(D161,gacha_196_base!A:B,2,FALSE)</f>
        <v>915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1960602</v>
      </c>
      <c r="B162" s="2" t="str">
        <f t="shared" si="11"/>
        <v>1960</v>
      </c>
      <c r="C162" s="8" t="str">
        <f t="shared" si="16"/>
        <v>0PremiumSS4</v>
      </c>
      <c r="D162" s="8" t="str">
        <f t="shared" si="10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VLOOKUP(D162,gacha_196_base!A:B,2,FALSE)</f>
        <v>2566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1960603</v>
      </c>
      <c r="B163" s="2" t="str">
        <f t="shared" si="11"/>
        <v>1960</v>
      </c>
      <c r="C163" s="8" t="str">
        <f t="shared" si="16"/>
        <v>0PremiumSS5</v>
      </c>
      <c r="D163" s="8" t="str">
        <f t="shared" si="10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VLOOKUP(D163,gacha_196_base!A:B,2,FALSE)</f>
        <v>161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1960605</v>
      </c>
      <c r="B164" s="2" t="str">
        <f t="shared" si="11"/>
        <v>1960</v>
      </c>
      <c r="C164" s="8" t="str">
        <f t="shared" si="16"/>
        <v>0PremiumS4</v>
      </c>
      <c r="D164" s="8" t="str">
        <f t="shared" si="10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VLOOKUP(D164,gacha_196_base!A:B,2,FALSE)</f>
        <v>14586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1960606</v>
      </c>
      <c r="B165" s="2" t="str">
        <f t="shared" si="11"/>
        <v>1960</v>
      </c>
      <c r="C165" s="8" t="str">
        <f t="shared" si="16"/>
        <v>0PremiumS5</v>
      </c>
      <c r="D165" s="8" t="str">
        <f t="shared" si="10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VLOOKUP(D165,gacha_196_base!A:B,2,FALSE)</f>
        <v>915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1960410</v>
      </c>
      <c r="B166" s="2" t="str">
        <f t="shared" si="11"/>
        <v>1960</v>
      </c>
      <c r="C166" s="8" t="str">
        <f t="shared" si="16"/>
        <v>0PremiumSSS4</v>
      </c>
      <c r="D166" s="8" t="str">
        <f t="shared" si="10"/>
        <v>0PremiumSSS4</v>
      </c>
      <c r="E166" s="10">
        <v>0</v>
      </c>
      <c r="F166" s="16">
        <v>410</v>
      </c>
      <c r="G166" s="8" t="str">
        <f>VLOOKUP(F166,[1]characters!$A:$C,3,FALSE)</f>
        <v>ファラデー</v>
      </c>
      <c r="H166" s="8" t="str">
        <f>VLOOKUP(F166,[1]characters!$A:$J,10,FALSE)</f>
        <v>PremiumSSS</v>
      </c>
      <c r="I166" s="8">
        <f>VLOOKUP(F166,[1]characters!$A:$I,9,FALSE)</f>
        <v>4</v>
      </c>
      <c r="J166" s="8" t="str">
        <f>VLOOKUP(F166,[1]characters!$A:$H,8,FALSE)</f>
        <v>yellow</v>
      </c>
      <c r="K166" s="8" t="str">
        <f>VLOOKUP(F166,[1]characters!$A:$K,11,FALSE)</f>
        <v>balance</v>
      </c>
      <c r="L166" s="8" t="str">
        <f>VLOOKUP(F166,[1]characters!$A:$M,13,FALSE)</f>
        <v>human</v>
      </c>
      <c r="M166" s="16">
        <v>6587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1960411</v>
      </c>
      <c r="B167" s="2" t="str">
        <f t="shared" si="11"/>
        <v>1960</v>
      </c>
      <c r="C167" s="8" t="str">
        <f t="shared" si="16"/>
        <v>0PremiumSSS5</v>
      </c>
      <c r="D167" s="8" t="str">
        <f t="shared" si="10"/>
        <v>0PremiumSSS5</v>
      </c>
      <c r="E167" s="10">
        <v>0</v>
      </c>
      <c r="F167" s="16">
        <v>411</v>
      </c>
      <c r="G167" s="8" t="str">
        <f>VLOOKUP(F167,[1]characters!$A:$C,3,FALSE)</f>
        <v>電隷の始祖 ファラデー</v>
      </c>
      <c r="H167" s="8" t="str">
        <f>VLOOKUP(F167,[1]characters!$A:$J,10,FALSE)</f>
        <v>PremiumSSS</v>
      </c>
      <c r="I167" s="8">
        <f>VLOOKUP(F167,[1]characters!$A:$I,9,FALSE)</f>
        <v>5</v>
      </c>
      <c r="J167" s="8" t="str">
        <f>VLOOKUP(F167,[1]characters!$A:$H,8,FALSE)</f>
        <v>yellow</v>
      </c>
      <c r="K167" s="8" t="str">
        <f>VLOOKUP(F167,[1]characters!$A:$K,11,FALSE)</f>
        <v>balance</v>
      </c>
      <c r="L167" s="8" t="str">
        <f>VLOOKUP(F167,[1]characters!$A:$M,13,FALSE)</f>
        <v>human</v>
      </c>
      <c r="M167" s="16">
        <v>413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1960688</v>
      </c>
      <c r="B168" s="2" t="str">
        <f t="shared" si="11"/>
        <v>1960</v>
      </c>
      <c r="C168" s="8" t="str">
        <f t="shared" si="16"/>
        <v>0PremiumSSS4</v>
      </c>
      <c r="D168" s="8" t="str">
        <f t="shared" si="10"/>
        <v>0PremiumSSS4</v>
      </c>
      <c r="E168" s="10">
        <v>0</v>
      </c>
      <c r="F168" s="16">
        <v>688</v>
      </c>
      <c r="G168" s="8" t="str">
        <f>VLOOKUP(F168,[1]characters!$A:$C,3,FALSE)</f>
        <v>ユークリッド</v>
      </c>
      <c r="H168" s="8" t="str">
        <f>VLOOKUP(F168,[1]characters!$A:$J,10,FALSE)</f>
        <v>PremiumSSS</v>
      </c>
      <c r="I168" s="8">
        <f>VLOOKUP(F168,[1]characters!$A:$I,9,FALSE)</f>
        <v>4</v>
      </c>
      <c r="J168" s="8" t="str">
        <f>VLOOKUP(F168,[1]characters!$A:$H,8,FALSE)</f>
        <v>blue</v>
      </c>
      <c r="K168" s="8" t="str">
        <f>VLOOKUP(F168,[1]characters!$A:$K,11,FALSE)</f>
        <v>balance</v>
      </c>
      <c r="L168" s="8" t="str">
        <f>VLOOKUP(F168,[1]characters!$A:$M,13,FALSE)</f>
        <v>human</v>
      </c>
      <c r="M168" s="16">
        <v>2823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1960689</v>
      </c>
      <c r="B169" s="2" t="str">
        <f t="shared" si="11"/>
        <v>1960</v>
      </c>
      <c r="C169" s="8" t="str">
        <f t="shared" si="16"/>
        <v>0PremiumSSS5</v>
      </c>
      <c r="D169" s="8" t="str">
        <f t="shared" si="10"/>
        <v>0PremiumSSS5</v>
      </c>
      <c r="E169" s="10">
        <v>0</v>
      </c>
      <c r="F169" s="16">
        <v>689</v>
      </c>
      <c r="G169" s="8" t="str">
        <f>VLOOKUP(F169,[1]characters!$A:$C,3,FALSE)</f>
        <v>根原論理 ユークリッド</v>
      </c>
      <c r="H169" s="8" t="str">
        <f>VLOOKUP(F169,[1]characters!$A:$J,10,FALSE)</f>
        <v>PremiumSSS</v>
      </c>
      <c r="I169" s="8">
        <f>VLOOKUP(F169,[1]characters!$A:$I,9,FALSE)</f>
        <v>5</v>
      </c>
      <c r="J169" s="8" t="str">
        <f>VLOOKUP(F169,[1]characters!$A:$H,8,FALSE)</f>
        <v>blue</v>
      </c>
      <c r="K169" s="8" t="str">
        <f>VLOOKUP(F169,[1]characters!$A:$K,11,FALSE)</f>
        <v>balance</v>
      </c>
      <c r="L169" s="8" t="str">
        <f>VLOOKUP(F169,[1]characters!$A:$M,13,FALSE)</f>
        <v>human</v>
      </c>
      <c r="M169" s="16">
        <v>177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>B170&amp;F170</f>
        <v>1961126</v>
      </c>
      <c r="B170" s="2" t="str">
        <f t="shared" si="11"/>
        <v>1961</v>
      </c>
      <c r="C170" s="8" t="str">
        <f t="shared" ref="C170:C233" si="17">E170&amp;H170&amp;I170</f>
        <v>1PremiumW3</v>
      </c>
      <c r="D170" s="8" t="str">
        <f t="shared" si="10"/>
        <v>1PremiumW3</v>
      </c>
      <c r="E170" s="10">
        <v>1</v>
      </c>
      <c r="F170" s="6">
        <v>126</v>
      </c>
      <c r="G170" s="8" t="str">
        <f>VLOOKUP(F170,[1]characters!$A:$C,3,FALSE)</f>
        <v>骨器使い ユノ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red</v>
      </c>
      <c r="K170" s="8" t="str">
        <f>VLOOKUP(F170,[1]characters!$A:$K,11,FALSE)</f>
        <v>attack</v>
      </c>
      <c r="L170" s="8" t="str">
        <f>VLOOKUP(F170,[1]characters!$A:$M,13,FALSE)</f>
        <v>human</v>
      </c>
      <c r="M170" s="16">
        <f>VLOOKUP(D170,gacha_196_base!A:B,2,FALSE)</f>
        <v>7440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ref="A171:A234" si="18">B171&amp;F171</f>
        <v>1961127</v>
      </c>
      <c r="B171" s="2" t="str">
        <f t="shared" si="11"/>
        <v>1961</v>
      </c>
      <c r="C171" s="8" t="str">
        <f t="shared" si="17"/>
        <v>1PremiumW4</v>
      </c>
      <c r="D171" s="8" t="str">
        <f t="shared" si="10"/>
        <v>1PremiumW4</v>
      </c>
      <c r="E171" s="10">
        <v>1</v>
      </c>
      <c r="F171" s="6">
        <v>127</v>
      </c>
      <c r="G171" s="8" t="str">
        <f>VLOOKUP(F171,[1]characters!$A:$C,3,FALSE)</f>
        <v>狂喜の賢者 ユノ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red</v>
      </c>
      <c r="K171" s="8" t="str">
        <f>VLOOKUP(F171,[1]characters!$A:$K,11,FALSE)</f>
        <v>attack</v>
      </c>
      <c r="L171" s="8" t="str">
        <f>VLOOKUP(F171,[1]characters!$A:$M,13,FALSE)</f>
        <v>human</v>
      </c>
      <c r="M171" s="16">
        <f>VLOOKUP(D171,gacha_196_base!A:B,2,FALSE)</f>
        <v>2349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8"/>
        <v>1961128</v>
      </c>
      <c r="B172" s="2" t="str">
        <f t="shared" si="11"/>
        <v>1961</v>
      </c>
      <c r="C172" s="8" t="str">
        <f t="shared" si="17"/>
        <v>1PremiumW3</v>
      </c>
      <c r="D172" s="8" t="str">
        <f t="shared" si="10"/>
        <v>1PremiumW3</v>
      </c>
      <c r="E172" s="10">
        <v>1</v>
      </c>
      <c r="F172" s="6">
        <v>128</v>
      </c>
      <c r="G172" s="8" t="str">
        <f>VLOOKUP(F172,[1]characters!$A:$C,3,FALSE)</f>
        <v>野生児 アマラ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green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16">
        <f>VLOOKUP(D172,gacha_196_base!A:B,2,FALSE)</f>
        <v>7440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8"/>
        <v>1961129</v>
      </c>
      <c r="B173" s="2" t="str">
        <f t="shared" si="11"/>
        <v>1961</v>
      </c>
      <c r="C173" s="8" t="str">
        <f t="shared" si="17"/>
        <v>1PremiumW4</v>
      </c>
      <c r="D173" s="8" t="str">
        <f t="shared" si="10"/>
        <v>1PremiumW4</v>
      </c>
      <c r="E173" s="10">
        <v>1</v>
      </c>
      <c r="F173" s="6">
        <v>129</v>
      </c>
      <c r="G173" s="8" t="str">
        <f>VLOOKUP(F173,[1]characters!$A:$C,3,FALSE)</f>
        <v>孤高の狼憑き アマラ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green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16">
        <f>VLOOKUP(D173,gacha_196_base!A:B,2,FALSE)</f>
        <v>2349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si="18"/>
        <v>1961130</v>
      </c>
      <c r="B174" s="2" t="str">
        <f t="shared" si="11"/>
        <v>1961</v>
      </c>
      <c r="C174" s="8" t="str">
        <f t="shared" si="17"/>
        <v>1PremiumW3</v>
      </c>
      <c r="D174" s="8" t="str">
        <f t="shared" si="10"/>
        <v>1PremiumW3</v>
      </c>
      <c r="E174" s="10">
        <v>1</v>
      </c>
      <c r="F174" s="6">
        <v>130</v>
      </c>
      <c r="G174" s="8" t="str">
        <f>VLOOKUP(F174,[1]characters!$A:$C,3,FALSE)</f>
        <v>狼男 ローレンス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blue</v>
      </c>
      <c r="K174" s="8" t="str">
        <f>VLOOKUP(F174,[1]characters!$A:$K,11,FALSE)</f>
        <v>attack</v>
      </c>
      <c r="L174" s="8" t="str">
        <f>VLOOKUP(F174,[1]characters!$A:$M,13,FALSE)</f>
        <v>animal</v>
      </c>
      <c r="M174" s="16">
        <f>VLOOKUP(D174,gacha_196_base!A:B,2,FALSE)</f>
        <v>7440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18"/>
        <v>1961131</v>
      </c>
      <c r="B175" s="2" t="str">
        <f t="shared" si="11"/>
        <v>1961</v>
      </c>
      <c r="C175" s="8" t="str">
        <f t="shared" si="17"/>
        <v>1PremiumW4</v>
      </c>
      <c r="D175" s="8" t="str">
        <f t="shared" si="10"/>
        <v>1PremiumW4</v>
      </c>
      <c r="E175" s="10">
        <v>1</v>
      </c>
      <c r="F175" s="6">
        <v>131</v>
      </c>
      <c r="G175" s="8" t="str">
        <f>VLOOKUP(F175,[1]characters!$A:$C,3,FALSE)</f>
        <v>月下の人狼 ローレンス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blue</v>
      </c>
      <c r="K175" s="8" t="str">
        <f>VLOOKUP(F175,[1]characters!$A:$K,11,FALSE)</f>
        <v>attack</v>
      </c>
      <c r="L175" s="8" t="str">
        <f>VLOOKUP(F175,[1]characters!$A:$M,13,FALSE)</f>
        <v>animal</v>
      </c>
      <c r="M175" s="16">
        <f>VLOOKUP(D175,gacha_196_base!A:B,2,FALSE)</f>
        <v>2349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1961132</v>
      </c>
      <c r="B176" s="2" t="str">
        <f t="shared" si="11"/>
        <v>1961</v>
      </c>
      <c r="C176" s="8" t="str">
        <f t="shared" si="17"/>
        <v>1PremiumW3</v>
      </c>
      <c r="D176" s="8" t="str">
        <f t="shared" si="10"/>
        <v>1PremiumW3</v>
      </c>
      <c r="E176" s="10">
        <v>1</v>
      </c>
      <c r="F176" s="6">
        <v>132</v>
      </c>
      <c r="G176" s="8" t="str">
        <f>VLOOKUP(F176,[1]characters!$A:$C,3,FALSE)</f>
        <v>鳥人ハヤト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yellow</v>
      </c>
      <c r="K176" s="8" t="str">
        <f>VLOOKUP(F176,[1]characters!$A:$K,11,FALSE)</f>
        <v>attack</v>
      </c>
      <c r="L176" s="8" t="str">
        <f>VLOOKUP(F176,[1]characters!$A:$M,13,FALSE)</f>
        <v>human</v>
      </c>
      <c r="M176" s="16">
        <f>VLOOKUP(D176,gacha_196_base!A:B,2,FALSE)</f>
        <v>7440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1961133</v>
      </c>
      <c r="B177" s="2" t="str">
        <f t="shared" si="11"/>
        <v>1961</v>
      </c>
      <c r="C177" s="8" t="str">
        <f t="shared" si="17"/>
        <v>1PremiumW4</v>
      </c>
      <c r="D177" s="8" t="str">
        <f t="shared" si="10"/>
        <v>1PremiumW4</v>
      </c>
      <c r="E177" s="10">
        <v>1</v>
      </c>
      <c r="F177" s="6">
        <v>133</v>
      </c>
      <c r="G177" s="8" t="str">
        <f>VLOOKUP(F177,[1]characters!$A:$C,3,FALSE)</f>
        <v>迅雷の刀剣 ハヤト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yellow</v>
      </c>
      <c r="K177" s="8" t="str">
        <f>VLOOKUP(F177,[1]characters!$A:$K,11,FALSE)</f>
        <v>attack</v>
      </c>
      <c r="L177" s="8" t="str">
        <f>VLOOKUP(F177,[1]characters!$A:$M,13,FALSE)</f>
        <v>human</v>
      </c>
      <c r="M177" s="16">
        <f>VLOOKUP(D177,gacha_196_base!A:B,2,FALSE)</f>
        <v>2349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1961134</v>
      </c>
      <c r="B178" s="2" t="str">
        <f t="shared" si="11"/>
        <v>1961</v>
      </c>
      <c r="C178" s="8" t="str">
        <f t="shared" si="17"/>
        <v>1PremiumW3</v>
      </c>
      <c r="D178" s="8" t="str">
        <f t="shared" si="10"/>
        <v>1PremiumW3</v>
      </c>
      <c r="E178" s="10">
        <v>1</v>
      </c>
      <c r="F178" s="6">
        <v>134</v>
      </c>
      <c r="G178" s="8" t="str">
        <f>VLOOKUP(F178,[1]characters!$A:$C,3,FALSE)</f>
        <v>妖炎の夕霧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red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16">
        <f>VLOOKUP(D178,gacha_196_base!A:B,2,FALSE)</f>
        <v>7440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1961135</v>
      </c>
      <c r="B179" s="2" t="str">
        <f t="shared" si="11"/>
        <v>1961</v>
      </c>
      <c r="C179" s="8" t="str">
        <f t="shared" si="17"/>
        <v>1PremiumW4</v>
      </c>
      <c r="D179" s="8" t="str">
        <f t="shared" si="10"/>
        <v>1PremiumW4</v>
      </c>
      <c r="E179" s="10">
        <v>1</v>
      </c>
      <c r="F179" s="6">
        <v>135</v>
      </c>
      <c r="G179" s="8" t="str">
        <f>VLOOKUP(F179,[1]characters!$A:$C,3,FALSE)</f>
        <v>京の炎華夕霧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red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16">
        <f>VLOOKUP(D179,gacha_196_base!A:B,2,FALSE)</f>
        <v>2349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1961136</v>
      </c>
      <c r="B180" s="2" t="str">
        <f t="shared" si="11"/>
        <v>1961</v>
      </c>
      <c r="C180" s="8" t="str">
        <f t="shared" si="17"/>
        <v>1PremiumW3</v>
      </c>
      <c r="D180" s="8" t="str">
        <f t="shared" si="10"/>
        <v>1PremiumW3</v>
      </c>
      <c r="E180" s="10">
        <v>1</v>
      </c>
      <c r="F180" s="9">
        <v>136</v>
      </c>
      <c r="G180" s="8" t="str">
        <f>VLOOKUP(F180,[1]characters!$A:$C,3,FALSE)</f>
        <v>お針子チハヤ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green</v>
      </c>
      <c r="K180" s="8" t="str">
        <f>VLOOKUP(F180,[1]characters!$A:$K,11,FALSE)</f>
        <v>balance</v>
      </c>
      <c r="L180" s="8" t="str">
        <f>VLOOKUP(F180,[1]characters!$A:$M,13,FALSE)</f>
        <v>human</v>
      </c>
      <c r="M180" s="16">
        <f>VLOOKUP(D180,gacha_196_base!A:B,2,FALSE)</f>
        <v>7440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1961137</v>
      </c>
      <c r="B181" s="2" t="str">
        <f t="shared" si="11"/>
        <v>1961</v>
      </c>
      <c r="C181" s="8" t="str">
        <f t="shared" si="17"/>
        <v>1PremiumW4</v>
      </c>
      <c r="D181" s="8" t="str">
        <f t="shared" si="10"/>
        <v>1PremiumW4</v>
      </c>
      <c r="E181" s="10">
        <v>1</v>
      </c>
      <c r="F181" s="9">
        <v>137</v>
      </c>
      <c r="G181" s="8" t="str">
        <f>VLOOKUP(F181,[1]characters!$A:$C,3,FALSE)</f>
        <v>清福の仕立屋 チハヤ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green</v>
      </c>
      <c r="K181" s="8" t="str">
        <f>VLOOKUP(F181,[1]characters!$A:$K,11,FALSE)</f>
        <v>balance</v>
      </c>
      <c r="L181" s="8" t="str">
        <f>VLOOKUP(F181,[1]characters!$A:$M,13,FALSE)</f>
        <v>human</v>
      </c>
      <c r="M181" s="16">
        <f>VLOOKUP(D181,gacha_196_base!A:B,2,FALSE)</f>
        <v>2349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 t="shared" si="18"/>
        <v>1961138</v>
      </c>
      <c r="B182" s="2" t="str">
        <f t="shared" si="11"/>
        <v>1961</v>
      </c>
      <c r="C182" s="8" t="str">
        <f t="shared" si="17"/>
        <v>1PremiumW3</v>
      </c>
      <c r="D182" s="8" t="str">
        <f t="shared" si="10"/>
        <v>1PremiumW3</v>
      </c>
      <c r="E182" s="10">
        <v>1</v>
      </c>
      <c r="F182" s="6">
        <v>138</v>
      </c>
      <c r="G182" s="8" t="str">
        <f>VLOOKUP(F182,[1]characters!$A:$C,3,FALSE)</f>
        <v>蒼薙のトモエ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blue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16">
        <f>VLOOKUP(D182,gacha_196_base!A:B,2,FALSE)</f>
        <v>7440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si="18"/>
        <v>1961139</v>
      </c>
      <c r="B183" s="2" t="str">
        <f t="shared" si="11"/>
        <v>1961</v>
      </c>
      <c r="C183" s="8" t="str">
        <f t="shared" si="17"/>
        <v>1PremiumW4</v>
      </c>
      <c r="D183" s="8" t="str">
        <f t="shared" si="10"/>
        <v>1PremiumW4</v>
      </c>
      <c r="E183" s="10">
        <v>1</v>
      </c>
      <c r="F183" s="6">
        <v>139</v>
      </c>
      <c r="G183" s="8" t="str">
        <f>VLOOKUP(F183,[1]characters!$A:$C,3,FALSE)</f>
        <v>蒼昇刃姫 トモエ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blue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16">
        <f>VLOOKUP(D183,gacha_196_base!A:B,2,FALSE)</f>
        <v>2349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18"/>
        <v>1961140</v>
      </c>
      <c r="B184" s="2" t="str">
        <f t="shared" si="11"/>
        <v>1961</v>
      </c>
      <c r="C184" s="8" t="str">
        <f t="shared" si="17"/>
        <v>1PremiumW3</v>
      </c>
      <c r="D184" s="8" t="str">
        <f t="shared" si="10"/>
        <v>1PremiumW3</v>
      </c>
      <c r="E184" s="10">
        <v>1</v>
      </c>
      <c r="F184" s="12">
        <v>140</v>
      </c>
      <c r="G184" s="8" t="str">
        <f>VLOOKUP(F184,[1]characters!$A:$C,3,FALSE)</f>
        <v>秋祭のタマモ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yellow</v>
      </c>
      <c r="K184" s="8" t="str">
        <f>VLOOKUP(F184,[1]characters!$A:$K,11,FALSE)</f>
        <v>balance</v>
      </c>
      <c r="L184" s="8" t="str">
        <f>VLOOKUP(F184,[1]characters!$A:$M,13,FALSE)</f>
        <v>animal</v>
      </c>
      <c r="M184" s="16">
        <f>VLOOKUP(D184,gacha_196_base!A:B,2,FALSE)</f>
        <v>7440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18"/>
        <v>1961141</v>
      </c>
      <c r="B185" s="2" t="str">
        <f t="shared" si="11"/>
        <v>1961</v>
      </c>
      <c r="C185" s="8" t="str">
        <f t="shared" si="17"/>
        <v>1PremiumW4</v>
      </c>
      <c r="D185" s="8" t="str">
        <f t="shared" si="10"/>
        <v>1PremiumW4</v>
      </c>
      <c r="E185" s="10">
        <v>1</v>
      </c>
      <c r="F185" s="13">
        <v>141</v>
      </c>
      <c r="G185" s="8" t="str">
        <f>VLOOKUP(F185,[1]characters!$A:$C,3,FALSE)</f>
        <v>妖狐演舞 タマモ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yellow</v>
      </c>
      <c r="K185" s="8" t="str">
        <f>VLOOKUP(F185,[1]characters!$A:$K,11,FALSE)</f>
        <v>balance</v>
      </c>
      <c r="L185" s="8" t="str">
        <f>VLOOKUP(F185,[1]characters!$A:$M,13,FALSE)</f>
        <v>animal</v>
      </c>
      <c r="M185" s="16">
        <f>VLOOKUP(D185,gacha_196_base!A:B,2,FALSE)</f>
        <v>2349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18"/>
        <v>1961142</v>
      </c>
      <c r="B186" s="2" t="str">
        <f t="shared" si="11"/>
        <v>1961</v>
      </c>
      <c r="C186" s="8" t="str">
        <f t="shared" si="17"/>
        <v>1PremiumW3</v>
      </c>
      <c r="D186" s="8" t="str">
        <f t="shared" si="10"/>
        <v>1PremiumW3</v>
      </c>
      <c r="E186" s="10">
        <v>1</v>
      </c>
      <c r="F186" s="6">
        <v>142</v>
      </c>
      <c r="G186" s="8" t="str">
        <f>VLOOKUP(F186,[1]characters!$A:$C,3,FALSE)</f>
        <v>赤ずきん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balance</v>
      </c>
      <c r="L186" s="8" t="str">
        <f>VLOOKUP(F186,[1]characters!$A:$M,13,FALSE)</f>
        <v>human</v>
      </c>
      <c r="M186" s="16">
        <f>VLOOKUP(D186,gacha_196_base!A:B,2,FALSE)</f>
        <v>7440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s="14" customFormat="1" ht="21" customHeight="1" thickBot="1">
      <c r="A187" s="7" t="str">
        <f t="shared" si="18"/>
        <v>1961143</v>
      </c>
      <c r="B187" s="2" t="str">
        <f t="shared" si="11"/>
        <v>1961</v>
      </c>
      <c r="C187" s="8" t="str">
        <f t="shared" si="17"/>
        <v>1PremiumW4</v>
      </c>
      <c r="D187" s="8" t="str">
        <f t="shared" si="10"/>
        <v>1PremiumW4</v>
      </c>
      <c r="E187" s="10">
        <v>1</v>
      </c>
      <c r="F187" s="6">
        <v>143</v>
      </c>
      <c r="G187" s="8" t="str">
        <f>VLOOKUP(F187,[1]characters!$A:$C,3,FALSE)</f>
        <v>深紅の死神 赤ずきん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balance</v>
      </c>
      <c r="L187" s="8" t="str">
        <f>VLOOKUP(F187,[1]characters!$A:$M,13,FALSE)</f>
        <v>human</v>
      </c>
      <c r="M187" s="16">
        <f>VLOOKUP(D187,gacha_196_base!A:B,2,FALSE)</f>
        <v>2349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18"/>
        <v>1961144</v>
      </c>
      <c r="B188" s="2" t="str">
        <f t="shared" si="11"/>
        <v>1961</v>
      </c>
      <c r="C188" s="8" t="str">
        <f t="shared" si="17"/>
        <v>1PremiumW3</v>
      </c>
      <c r="D188" s="8" t="str">
        <f t="shared" si="10"/>
        <v>1PremiumW3</v>
      </c>
      <c r="E188" s="10">
        <v>1</v>
      </c>
      <c r="F188" s="12">
        <v>144</v>
      </c>
      <c r="G188" s="8" t="str">
        <f>VLOOKUP(F188,[1]characters!$A:$C,3,FALSE)</f>
        <v>かぐや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green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VLOOKUP(D188,gacha_196_base!A:B,2,FALSE)</f>
        <v>7440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18"/>
        <v>1961145</v>
      </c>
      <c r="B189" s="2" t="str">
        <f t="shared" si="11"/>
        <v>1961</v>
      </c>
      <c r="C189" s="8" t="str">
        <f t="shared" si="17"/>
        <v>1PremiumW4</v>
      </c>
      <c r="D189" s="8" t="str">
        <f t="shared" si="10"/>
        <v>1PremiumW4</v>
      </c>
      <c r="E189" s="10">
        <v>1</v>
      </c>
      <c r="F189" s="6">
        <v>145</v>
      </c>
      <c r="G189" s="8" t="str">
        <f>VLOOKUP(F189,[1]characters!$A:$C,3,FALSE)</f>
        <v>魔性妖艶 かぐや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hp</v>
      </c>
      <c r="L189" s="8" t="str">
        <f>VLOOKUP(F189,[1]characters!$A:$M,13,FALSE)</f>
        <v>human</v>
      </c>
      <c r="M189" s="16">
        <f>VLOOKUP(D189,gacha_196_base!A:B,2,FALSE)</f>
        <v>2349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18"/>
        <v>1961146</v>
      </c>
      <c r="B190" s="2" t="str">
        <f t="shared" si="11"/>
        <v>1961</v>
      </c>
      <c r="C190" s="8" t="str">
        <f t="shared" si="17"/>
        <v>1PremiumW3</v>
      </c>
      <c r="D190" s="8" t="str">
        <f t="shared" si="10"/>
        <v>1PremiumW3</v>
      </c>
      <c r="E190" s="10">
        <v>1</v>
      </c>
      <c r="F190" s="6">
        <v>146</v>
      </c>
      <c r="G190" s="8" t="str">
        <f>VLOOKUP(F190,[1]characters!$A:$C,3,FALSE)</f>
        <v>マーメイド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blue</v>
      </c>
      <c r="K190" s="8" t="str">
        <f>VLOOKUP(F190,[1]characters!$A:$K,11,FALSE)</f>
        <v>hp</v>
      </c>
      <c r="L190" s="8" t="str">
        <f>VLOOKUP(F190,[1]characters!$A:$M,13,FALSE)</f>
        <v>human</v>
      </c>
      <c r="M190" s="16">
        <f>VLOOKUP(D190,gacha_196_base!A:B,2,FALSE)</f>
        <v>7440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18"/>
        <v>1961147</v>
      </c>
      <c r="B191" s="2" t="str">
        <f t="shared" si="11"/>
        <v>1961</v>
      </c>
      <c r="C191" s="8" t="str">
        <f t="shared" si="17"/>
        <v>1PremiumW4</v>
      </c>
      <c r="D191" s="8" t="str">
        <f t="shared" si="10"/>
        <v>1PremiumW4</v>
      </c>
      <c r="E191" s="10">
        <v>1</v>
      </c>
      <c r="F191" s="6">
        <v>147</v>
      </c>
      <c r="G191" s="8" t="str">
        <f>VLOOKUP(F191,[1]characters!$A:$C,3,FALSE)</f>
        <v>蒼き閃光 元マーメイド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hp</v>
      </c>
      <c r="L191" s="8" t="str">
        <f>VLOOKUP(F191,[1]characters!$A:$M,13,FALSE)</f>
        <v>human</v>
      </c>
      <c r="M191" s="16">
        <f>VLOOKUP(D191,gacha_196_base!A:B,2,FALSE)</f>
        <v>2349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18"/>
        <v>1961148</v>
      </c>
      <c r="B192" s="2" t="str">
        <f t="shared" si="11"/>
        <v>1961</v>
      </c>
      <c r="C192" s="8" t="str">
        <f t="shared" si="17"/>
        <v>1PremiumW3</v>
      </c>
      <c r="D192" s="8" t="str">
        <f t="shared" si="10"/>
        <v>1PremiumW3</v>
      </c>
      <c r="E192" s="10">
        <v>1</v>
      </c>
      <c r="F192" s="6">
        <v>148</v>
      </c>
      <c r="G192" s="8" t="str">
        <f>VLOOKUP(F192,[1]characters!$A:$C,3,FALSE)</f>
        <v>シンデレラ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yellow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VLOOKUP(D192,gacha_196_base!A:B,2,FALSE)</f>
        <v>7440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18"/>
        <v>1961149</v>
      </c>
      <c r="B193" s="2" t="str">
        <f t="shared" si="11"/>
        <v>1961</v>
      </c>
      <c r="C193" s="8" t="str">
        <f t="shared" si="17"/>
        <v>1PremiumW4</v>
      </c>
      <c r="D193" s="8" t="str">
        <f t="shared" si="10"/>
        <v>1PremiumW4</v>
      </c>
      <c r="E193" s="10">
        <v>1</v>
      </c>
      <c r="F193" s="6">
        <v>149</v>
      </c>
      <c r="G193" s="8" t="str">
        <f>VLOOKUP(F193,[1]characters!$A:$C,3,FALSE)</f>
        <v>雷撃蹴技を極めし者 シンデレラ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yellow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VLOOKUP(D193,gacha_196_base!A:B,2,FALSE)</f>
        <v>2349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18"/>
        <v>1961150</v>
      </c>
      <c r="B194" s="2" t="str">
        <f t="shared" si="11"/>
        <v>1961</v>
      </c>
      <c r="C194" s="8" t="str">
        <f t="shared" si="17"/>
        <v>1PremiumW3</v>
      </c>
      <c r="D194" s="8" t="str">
        <f t="shared" si="10"/>
        <v>1PremiumW3</v>
      </c>
      <c r="E194" s="10">
        <v>1</v>
      </c>
      <c r="F194" s="6">
        <v>150</v>
      </c>
      <c r="G194" s="8" t="str">
        <f>VLOOKUP(F194,[1]characters!$A:$C,3,FALSE)</f>
        <v>ポイズンマスターサキ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red</v>
      </c>
      <c r="K194" s="8" t="str">
        <f>VLOOKUP(F194,[1]characters!$A:$K,11,FALSE)</f>
        <v>technical</v>
      </c>
      <c r="L194" s="8" t="str">
        <f>VLOOKUP(F194,[1]characters!$A:$M,13,FALSE)</f>
        <v>human</v>
      </c>
      <c r="M194" s="16">
        <f>VLOOKUP(D194,gacha_196_base!A:B,2,FALSE)</f>
        <v>7440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18"/>
        <v>1961151</v>
      </c>
      <c r="B195" s="2" t="str">
        <f t="shared" ref="B195:B258" si="19">196&amp;E195</f>
        <v>1961</v>
      </c>
      <c r="C195" s="8" t="str">
        <f t="shared" si="17"/>
        <v>1PremiumW4</v>
      </c>
      <c r="D195" s="8" t="str">
        <f t="shared" si="10"/>
        <v>1PremiumW4</v>
      </c>
      <c r="E195" s="10">
        <v>1</v>
      </c>
      <c r="F195" s="6">
        <v>151</v>
      </c>
      <c r="G195" s="8" t="str">
        <f>VLOOKUP(F195,[1]characters!$A:$C,3,FALSE)</f>
        <v>毒煙の処刑人サキ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red</v>
      </c>
      <c r="K195" s="8" t="str">
        <f>VLOOKUP(F195,[1]characters!$A:$K,11,FALSE)</f>
        <v>technical</v>
      </c>
      <c r="L195" s="8" t="str">
        <f>VLOOKUP(F195,[1]characters!$A:$M,13,FALSE)</f>
        <v>human</v>
      </c>
      <c r="M195" s="16">
        <f>VLOOKUP(D195,gacha_196_base!A:B,2,FALSE)</f>
        <v>2349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18"/>
        <v>1961152</v>
      </c>
      <c r="B196" s="2" t="str">
        <f t="shared" si="19"/>
        <v>1961</v>
      </c>
      <c r="C196" s="8" t="str">
        <f t="shared" si="17"/>
        <v>1PremiumW3</v>
      </c>
      <c r="D196" s="8" t="str">
        <f t="shared" si="10"/>
        <v>1PremiumW3</v>
      </c>
      <c r="E196" s="10">
        <v>1</v>
      </c>
      <c r="F196" s="6">
        <v>152</v>
      </c>
      <c r="G196" s="8" t="str">
        <f>VLOOKUP(F196,[1]characters!$A:$C,3,FALSE)</f>
        <v>功夫少女ランラン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green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16">
        <f>VLOOKUP(D196,gacha_196_base!A:B,2,FALSE)</f>
        <v>7440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18"/>
        <v>1961153</v>
      </c>
      <c r="B197" s="2" t="str">
        <f t="shared" si="19"/>
        <v>1961</v>
      </c>
      <c r="C197" s="8" t="str">
        <f t="shared" si="17"/>
        <v>1PremiumW4</v>
      </c>
      <c r="D197" s="8" t="str">
        <f t="shared" si="10"/>
        <v>1PremiumW4</v>
      </c>
      <c r="E197" s="10">
        <v>1</v>
      </c>
      <c r="F197" s="6">
        <v>153</v>
      </c>
      <c r="G197" s="8" t="str">
        <f>VLOOKUP(F197,[1]characters!$A:$C,3,FALSE)</f>
        <v>拳聖ランラン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16">
        <f>VLOOKUP(D197,gacha_196_base!A:B,2,FALSE)</f>
        <v>2349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18"/>
        <v>1961154</v>
      </c>
      <c r="B198" s="2" t="str">
        <f t="shared" si="19"/>
        <v>1961</v>
      </c>
      <c r="C198" s="8" t="str">
        <f t="shared" si="17"/>
        <v>1PremiumW3</v>
      </c>
      <c r="D198" s="8" t="str">
        <f t="shared" ref="D198:D261" si="20">E198&amp;H198&amp;I198</f>
        <v>1PremiumW3</v>
      </c>
      <c r="E198" s="10">
        <v>1</v>
      </c>
      <c r="F198" s="6">
        <v>154</v>
      </c>
      <c r="G198" s="8" t="str">
        <f>VLOOKUP(F198,[1]characters!$A:$C,3,FALSE)</f>
        <v>始末屋 ハンナ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blue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16">
        <f>VLOOKUP(D198,gacha_196_base!A:B,2,FALSE)</f>
        <v>7440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ht="21" customHeight="1">
      <c r="A199" s="7" t="str">
        <f t="shared" si="18"/>
        <v>1961155</v>
      </c>
      <c r="B199" s="2" t="str">
        <f t="shared" si="19"/>
        <v>1961</v>
      </c>
      <c r="C199" s="8" t="str">
        <f t="shared" si="17"/>
        <v>1PremiumW4</v>
      </c>
      <c r="D199" s="8" t="str">
        <f t="shared" si="20"/>
        <v>1PremiumW4</v>
      </c>
      <c r="E199" s="10">
        <v>1</v>
      </c>
      <c r="F199" s="6">
        <v>155</v>
      </c>
      <c r="G199" s="8" t="str">
        <f>VLOOKUP(F199,[1]characters!$A:$C,3,FALSE)</f>
        <v>隻眼の掃除屋 ハンナ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blue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16">
        <f>VLOOKUP(D199,gacha_196_base!A:B,2,FALSE)</f>
        <v>2349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18"/>
        <v>1961156</v>
      </c>
      <c r="B200" s="2" t="str">
        <f t="shared" si="19"/>
        <v>1961</v>
      </c>
      <c r="C200" s="8" t="str">
        <f t="shared" si="17"/>
        <v>1PremiumW3</v>
      </c>
      <c r="D200" s="8" t="str">
        <f t="shared" si="20"/>
        <v>1PremiumW3</v>
      </c>
      <c r="E200" s="10">
        <v>1</v>
      </c>
      <c r="F200" s="6">
        <v>156</v>
      </c>
      <c r="G200" s="8" t="str">
        <f>VLOOKUP(F200,[1]characters!$A:$C,3,FALSE)</f>
        <v>踊り子 エレナ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yellow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VLOOKUP(D200,gacha_196_base!A:B,2,FALSE)</f>
        <v>7440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18"/>
        <v>1961157</v>
      </c>
      <c r="B201" s="2" t="str">
        <f t="shared" si="19"/>
        <v>1961</v>
      </c>
      <c r="C201" s="8" t="str">
        <f t="shared" si="17"/>
        <v>1PremiumW4</v>
      </c>
      <c r="D201" s="8" t="str">
        <f t="shared" si="20"/>
        <v>1PremiumW4</v>
      </c>
      <c r="E201" s="10">
        <v>1</v>
      </c>
      <c r="F201" s="6">
        <v>157</v>
      </c>
      <c r="G201" s="8" t="str">
        <f>VLOOKUP(F201,[1]characters!$A:$C,3,FALSE)</f>
        <v>雷光舞姫 エレナ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yellow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VLOOKUP(D201,gacha_196_base!A:B,2,FALSE)</f>
        <v>2349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18"/>
        <v>1961158</v>
      </c>
      <c r="B202" s="2" t="str">
        <f t="shared" si="19"/>
        <v>1961</v>
      </c>
      <c r="C202" s="8" t="str">
        <f t="shared" si="17"/>
        <v>1PremiumW3</v>
      </c>
      <c r="D202" s="8" t="str">
        <f t="shared" si="20"/>
        <v>1PremiumW3</v>
      </c>
      <c r="E202" s="10">
        <v>1</v>
      </c>
      <c r="F202" s="6">
        <v>158</v>
      </c>
      <c r="G202" s="8" t="str">
        <f>VLOOKUP(F202,[1]characters!$A:$C,3,FALSE)</f>
        <v>シスター シャルロッテ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red</v>
      </c>
      <c r="K202" s="8" t="str">
        <f>VLOOKUP(F202,[1]characters!$A:$K,11,FALSE)</f>
        <v>heal</v>
      </c>
      <c r="L202" s="8" t="str">
        <f>VLOOKUP(F202,[1]characters!$A:$M,13,FALSE)</f>
        <v>human</v>
      </c>
      <c r="M202" s="16">
        <f>VLOOKUP(D202,gacha_196_base!A:B,2,FALSE)</f>
        <v>7440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18"/>
        <v>1961159</v>
      </c>
      <c r="B203" s="2" t="str">
        <f t="shared" si="19"/>
        <v>1961</v>
      </c>
      <c r="C203" s="8" t="str">
        <f t="shared" si="17"/>
        <v>1PremiumW4</v>
      </c>
      <c r="D203" s="8" t="str">
        <f t="shared" si="20"/>
        <v>1PremiumW4</v>
      </c>
      <c r="E203" s="10">
        <v>1</v>
      </c>
      <c r="F203" s="6">
        <v>159</v>
      </c>
      <c r="G203" s="8" t="str">
        <f>VLOOKUP(F203,[1]characters!$A:$C,3,FALSE)</f>
        <v>邪を狩りし者 シャルロッテ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red</v>
      </c>
      <c r="K203" s="8" t="str">
        <f>VLOOKUP(F203,[1]characters!$A:$K,11,FALSE)</f>
        <v>heal</v>
      </c>
      <c r="L203" s="8" t="str">
        <f>VLOOKUP(F203,[1]characters!$A:$M,13,FALSE)</f>
        <v>human</v>
      </c>
      <c r="M203" s="16">
        <f>VLOOKUP(D203,gacha_196_base!A:B,2,FALSE)</f>
        <v>2349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18"/>
        <v>1961160</v>
      </c>
      <c r="B204" s="2" t="str">
        <f t="shared" si="19"/>
        <v>1961</v>
      </c>
      <c r="C204" s="8" t="str">
        <f t="shared" si="17"/>
        <v>1PremiumW3</v>
      </c>
      <c r="D204" s="8" t="str">
        <f t="shared" si="20"/>
        <v>1PremiumW3</v>
      </c>
      <c r="E204" s="10">
        <v>1</v>
      </c>
      <c r="F204" s="6">
        <v>160</v>
      </c>
      <c r="G204" s="8" t="str">
        <f>VLOOKUP(F204,[1]characters!$A:$C,3,FALSE)</f>
        <v>反逆者 クリエ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green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16">
        <f>VLOOKUP(D204,gacha_196_base!A:B,2,FALSE)</f>
        <v>7440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18"/>
        <v>1961161</v>
      </c>
      <c r="B205" s="2" t="str">
        <f t="shared" si="19"/>
        <v>1961</v>
      </c>
      <c r="C205" s="8" t="str">
        <f t="shared" si="17"/>
        <v>1PremiumW4</v>
      </c>
      <c r="D205" s="8" t="str">
        <f t="shared" si="20"/>
        <v>1PremiumW4</v>
      </c>
      <c r="E205" s="10">
        <v>1</v>
      </c>
      <c r="F205" s="6">
        <v>161</v>
      </c>
      <c r="G205" s="8" t="str">
        <f>VLOOKUP(F205,[1]characters!$A:$C,3,FALSE)</f>
        <v>咆哮の先導者 クリエ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balance</v>
      </c>
      <c r="L205" s="8" t="str">
        <f>VLOOKUP(F205,[1]characters!$A:$M,13,FALSE)</f>
        <v>human</v>
      </c>
      <c r="M205" s="16">
        <f>VLOOKUP(D205,gacha_196_base!A:B,2,FALSE)</f>
        <v>2349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18"/>
        <v>1961162</v>
      </c>
      <c r="B206" s="2" t="str">
        <f t="shared" si="19"/>
        <v>1961</v>
      </c>
      <c r="C206" s="8" t="str">
        <f t="shared" si="17"/>
        <v>1PremiumW3</v>
      </c>
      <c r="D206" s="8" t="str">
        <f t="shared" si="20"/>
        <v>1PremiumW3</v>
      </c>
      <c r="E206" s="10">
        <v>1</v>
      </c>
      <c r="F206" s="6">
        <v>162</v>
      </c>
      <c r="G206" s="8" t="str">
        <f>VLOOKUP(F206,[1]characters!$A:$C,3,FALSE)</f>
        <v>狂女 クララ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human</v>
      </c>
      <c r="M206" s="16">
        <f>VLOOKUP(D206,gacha_196_base!A:B,2,FALSE)</f>
        <v>7440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18"/>
        <v>1961163</v>
      </c>
      <c r="B207" s="2" t="str">
        <f t="shared" si="19"/>
        <v>1961</v>
      </c>
      <c r="C207" s="8" t="str">
        <f t="shared" si="17"/>
        <v>1PremiumW4</v>
      </c>
      <c r="D207" s="8" t="str">
        <f t="shared" si="20"/>
        <v>1PremiumW4</v>
      </c>
      <c r="E207" s="10">
        <v>1</v>
      </c>
      <c r="F207" s="6">
        <v>163</v>
      </c>
      <c r="G207" s="8" t="str">
        <f>VLOOKUP(F207,[1]characters!$A:$C,3,FALSE)</f>
        <v>冷酷な狂嬢 クララ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blue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VLOOKUP(D207,gacha_196_base!A:B,2,FALSE)</f>
        <v>2349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18"/>
        <v>1961164</v>
      </c>
      <c r="B208" s="2" t="str">
        <f t="shared" si="19"/>
        <v>1961</v>
      </c>
      <c r="C208" s="8" t="str">
        <f t="shared" si="17"/>
        <v>1PremiumW3</v>
      </c>
      <c r="D208" s="8" t="str">
        <f t="shared" si="20"/>
        <v>1PremiumW3</v>
      </c>
      <c r="E208" s="10">
        <v>1</v>
      </c>
      <c r="F208" s="6">
        <v>164</v>
      </c>
      <c r="G208" s="8" t="str">
        <f>VLOOKUP(F208,[1]characters!$A:$C,3,FALSE)</f>
        <v>イブとトモダチ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yellow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VLOOKUP(D208,gacha_196_base!A:B,2,FALSE)</f>
        <v>7440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18"/>
        <v>1961165</v>
      </c>
      <c r="B209" s="2" t="str">
        <f t="shared" si="19"/>
        <v>1961</v>
      </c>
      <c r="C209" s="8" t="str">
        <f t="shared" si="17"/>
        <v>1PremiumW4</v>
      </c>
      <c r="D209" s="8" t="str">
        <f t="shared" si="20"/>
        <v>1PremiumW4</v>
      </c>
      <c r="E209" s="10">
        <v>1</v>
      </c>
      <c r="F209" s="6">
        <v>165</v>
      </c>
      <c r="G209" s="8" t="str">
        <f>VLOOKUP(F209,[1]characters!$A:$C,3,FALSE)</f>
        <v>イブとたったひとりのトモダチ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yellow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VLOOKUP(D209,gacha_196_base!A:B,2,FALSE)</f>
        <v>2349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18"/>
        <v>1961166</v>
      </c>
      <c r="B210" s="2" t="str">
        <f t="shared" si="19"/>
        <v>1961</v>
      </c>
      <c r="C210" s="8" t="str">
        <f t="shared" si="17"/>
        <v>1PremiumW3</v>
      </c>
      <c r="D210" s="8" t="str">
        <f t="shared" si="20"/>
        <v>1PremiumW3</v>
      </c>
      <c r="E210" s="10">
        <v>1</v>
      </c>
      <c r="F210" s="6">
        <v>166</v>
      </c>
      <c r="G210" s="8" t="str">
        <f>VLOOKUP(F210,[1]characters!$A:$C,3,FALSE)</f>
        <v>ベリアル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red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16">
        <f>VLOOKUP(D210,gacha_196_base!A:B,2,FALSE)</f>
        <v>7440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18"/>
        <v>1961167</v>
      </c>
      <c r="B211" s="2" t="str">
        <f t="shared" si="19"/>
        <v>1961</v>
      </c>
      <c r="C211" s="8" t="str">
        <f t="shared" si="17"/>
        <v>1PremiumN4</v>
      </c>
      <c r="D211" s="8" t="str">
        <f t="shared" si="20"/>
        <v>1PremiumN4</v>
      </c>
      <c r="E211" s="10">
        <v>1</v>
      </c>
      <c r="F211" s="6">
        <v>167</v>
      </c>
      <c r="G211" s="8" t="str">
        <f>VLOOKUP(F211,[1]characters!$A:$C,3,FALSE)</f>
        <v>逆徒 ベリアル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red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16">
        <f>VLOOKUP(D211,gacha_196_base!A:B,2,FALSE)</f>
        <v>2614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18"/>
        <v>1961168</v>
      </c>
      <c r="B212" s="2" t="str">
        <f t="shared" si="19"/>
        <v>1961</v>
      </c>
      <c r="C212" s="8" t="str">
        <f t="shared" si="17"/>
        <v>1PremiumN5</v>
      </c>
      <c r="D212" s="8" t="str">
        <f t="shared" si="20"/>
        <v>1PremiumN5</v>
      </c>
      <c r="E212" s="10">
        <v>1</v>
      </c>
      <c r="F212" s="6">
        <v>168</v>
      </c>
      <c r="G212" s="8" t="str">
        <f>VLOOKUP(F212,[1]characters!$A:$C,3,FALSE)</f>
        <v>猛進の大逆者 ベリアル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red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16">
        <f>VLOOKUP(D212,gacha_196_base!A:B,2,FALSE)</f>
        <v>910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18"/>
        <v>1961169</v>
      </c>
      <c r="B213" s="2" t="str">
        <f t="shared" si="19"/>
        <v>1961</v>
      </c>
      <c r="C213" s="8" t="str">
        <f t="shared" si="17"/>
        <v>1PremiumN3</v>
      </c>
      <c r="D213" s="8" t="str">
        <f t="shared" si="20"/>
        <v>1PremiumN3</v>
      </c>
      <c r="E213" s="10">
        <v>1</v>
      </c>
      <c r="F213" s="6">
        <v>169</v>
      </c>
      <c r="G213" s="8" t="str">
        <f>VLOOKUP(F213,[1]characters!$A:$C,3,FALSE)</f>
        <v>オセ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green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16">
        <f>VLOOKUP(D213,gacha_196_base!A:B,2,FALSE)</f>
        <v>11160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18"/>
        <v>1961170</v>
      </c>
      <c r="B214" s="2" t="str">
        <f t="shared" si="19"/>
        <v>1961</v>
      </c>
      <c r="C214" s="8" t="str">
        <f t="shared" si="17"/>
        <v>1PremiumN4</v>
      </c>
      <c r="D214" s="8" t="str">
        <f t="shared" si="20"/>
        <v>1PremiumN4</v>
      </c>
      <c r="E214" s="10">
        <v>1</v>
      </c>
      <c r="F214" s="6">
        <v>170</v>
      </c>
      <c r="G214" s="8" t="str">
        <f>VLOOKUP(F214,[1]characters!$A:$C,3,FALSE)</f>
        <v>識徒 オセ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green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16">
        <f>VLOOKUP(D214,gacha_196_base!A:B,2,FALSE)</f>
        <v>2614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18"/>
        <v>1961171</v>
      </c>
      <c r="B215" s="2" t="str">
        <f t="shared" si="19"/>
        <v>1961</v>
      </c>
      <c r="C215" s="8" t="str">
        <f t="shared" si="17"/>
        <v>1PremiumN5</v>
      </c>
      <c r="D215" s="8" t="str">
        <f t="shared" si="20"/>
        <v>1PremiumN5</v>
      </c>
      <c r="E215" s="10">
        <v>1</v>
      </c>
      <c r="F215" s="6">
        <v>171</v>
      </c>
      <c r="G215" s="8" t="str">
        <f>VLOOKUP(F215,[1]characters!$A:$C,3,FALSE)</f>
        <v>精解の預知者 オセ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green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16">
        <f>VLOOKUP(D215,gacha_196_base!A:B,2,FALSE)</f>
        <v>910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18"/>
        <v>1961172</v>
      </c>
      <c r="B216" s="2" t="str">
        <f t="shared" si="19"/>
        <v>1961</v>
      </c>
      <c r="C216" s="8" t="str">
        <f t="shared" si="17"/>
        <v>1PremiumN3</v>
      </c>
      <c r="D216" s="8" t="str">
        <f t="shared" si="20"/>
        <v>1PremiumN3</v>
      </c>
      <c r="E216" s="10">
        <v>1</v>
      </c>
      <c r="F216" s="6">
        <v>172</v>
      </c>
      <c r="G216" s="8" t="str">
        <f>VLOOKUP(F216,[1]characters!$A:$C,3,FALSE)</f>
        <v>フォルネウス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blue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16">
        <f>VLOOKUP(D216,gacha_196_base!A:B,2,FALSE)</f>
        <v>11160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18"/>
        <v>1961173</v>
      </c>
      <c r="B217" s="2" t="str">
        <f t="shared" si="19"/>
        <v>1961</v>
      </c>
      <c r="C217" s="8" t="str">
        <f t="shared" si="17"/>
        <v>1PremiumN4</v>
      </c>
      <c r="D217" s="8" t="str">
        <f t="shared" si="20"/>
        <v>1PremiumN4</v>
      </c>
      <c r="E217" s="10">
        <v>1</v>
      </c>
      <c r="F217" s="6">
        <v>173</v>
      </c>
      <c r="G217" s="8" t="str">
        <f>VLOOKUP(F217,[1]characters!$A:$C,3,FALSE)</f>
        <v>公爵 フォルネウス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blue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16">
        <f>VLOOKUP(D217,gacha_196_base!A:B,2,FALSE)</f>
        <v>2614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18"/>
        <v>1961174</v>
      </c>
      <c r="B218" s="2" t="str">
        <f t="shared" si="19"/>
        <v>1961</v>
      </c>
      <c r="C218" s="8" t="str">
        <f t="shared" si="17"/>
        <v>1PremiumN5</v>
      </c>
      <c r="D218" s="8" t="str">
        <f t="shared" si="20"/>
        <v>1PremiumN5</v>
      </c>
      <c r="E218" s="10">
        <v>1</v>
      </c>
      <c r="F218" s="6">
        <v>174</v>
      </c>
      <c r="G218" s="8" t="str">
        <f>VLOOKUP(F218,[1]characters!$A:$C,3,FALSE)</f>
        <v>偽愛の大公爵 フォルネウス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16">
        <f>VLOOKUP(D218,gacha_196_base!A:B,2,FALSE)</f>
        <v>910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18"/>
        <v>1961175</v>
      </c>
      <c r="B219" s="2" t="str">
        <f t="shared" si="19"/>
        <v>1961</v>
      </c>
      <c r="C219" s="8" t="str">
        <f t="shared" si="17"/>
        <v>1PremiumN3</v>
      </c>
      <c r="D219" s="8" t="str">
        <f t="shared" si="20"/>
        <v>1PremiumN3</v>
      </c>
      <c r="E219" s="10">
        <v>1</v>
      </c>
      <c r="F219" s="6">
        <v>175</v>
      </c>
      <c r="G219" s="8" t="str">
        <f>VLOOKUP(F219,[1]characters!$A:$C,3,FALSE)</f>
        <v>バフォメット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yellow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16">
        <f>VLOOKUP(D219,gacha_196_base!A:B,2,FALSE)</f>
        <v>11160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18"/>
        <v>1961176</v>
      </c>
      <c r="B220" s="2" t="str">
        <f t="shared" si="19"/>
        <v>1961</v>
      </c>
      <c r="C220" s="8" t="str">
        <f t="shared" si="17"/>
        <v>1PremiumN4</v>
      </c>
      <c r="D220" s="8" t="str">
        <f t="shared" si="20"/>
        <v>1PremiumN4</v>
      </c>
      <c r="E220" s="10">
        <v>1</v>
      </c>
      <c r="F220" s="6">
        <v>176</v>
      </c>
      <c r="G220" s="8" t="str">
        <f>VLOOKUP(F220,[1]characters!$A:$C,3,FALSE)</f>
        <v>異教徒 バフォメット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yellow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16">
        <f>VLOOKUP(D220,gacha_196_base!A:B,2,FALSE)</f>
        <v>2614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18"/>
        <v>1961177</v>
      </c>
      <c r="B221" s="2" t="str">
        <f t="shared" si="19"/>
        <v>1961</v>
      </c>
      <c r="C221" s="8" t="str">
        <f t="shared" si="17"/>
        <v>1PremiumN5</v>
      </c>
      <c r="D221" s="8" t="str">
        <f t="shared" si="20"/>
        <v>1PremiumN5</v>
      </c>
      <c r="E221" s="10">
        <v>1</v>
      </c>
      <c r="F221" s="6">
        <v>177</v>
      </c>
      <c r="G221" s="8" t="str">
        <f>VLOOKUP(F221,[1]characters!$A:$C,3,FALSE)</f>
        <v>黒魔の異端師 バフォメット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yellow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16">
        <f>VLOOKUP(D221,gacha_196_base!A:B,2,FALSE)</f>
        <v>910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18"/>
        <v>1961178</v>
      </c>
      <c r="B222" s="2" t="str">
        <f t="shared" si="19"/>
        <v>1961</v>
      </c>
      <c r="C222" s="8" t="str">
        <f t="shared" si="17"/>
        <v>1PremiumN3</v>
      </c>
      <c r="D222" s="8" t="str">
        <f t="shared" si="20"/>
        <v>1PremiumN3</v>
      </c>
      <c r="E222" s="10">
        <v>1</v>
      </c>
      <c r="F222" s="6">
        <v>178</v>
      </c>
      <c r="G222" s="8" t="str">
        <f>VLOOKUP(F222,[1]characters!$A:$C,3,FALSE)</f>
        <v>ケルベロス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balance</v>
      </c>
      <c r="L222" s="8" t="str">
        <f>VLOOKUP(F222,[1]characters!$A:$M,13,FALSE)</f>
        <v>animal</v>
      </c>
      <c r="M222" s="16">
        <f>VLOOKUP(D222,gacha_196_base!A:B,2,FALSE)</f>
        <v>11160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18"/>
        <v>1961179</v>
      </c>
      <c r="B223" s="2" t="str">
        <f t="shared" si="19"/>
        <v>1961</v>
      </c>
      <c r="C223" s="8" t="str">
        <f t="shared" si="17"/>
        <v>1PremiumN4</v>
      </c>
      <c r="D223" s="8" t="str">
        <f t="shared" si="20"/>
        <v>1PremiumN4</v>
      </c>
      <c r="E223" s="10">
        <v>1</v>
      </c>
      <c r="F223" s="6">
        <v>179</v>
      </c>
      <c r="G223" s="8" t="str">
        <f>VLOOKUP(F223,[1]characters!$A:$C,3,FALSE)</f>
        <v>番犬 ケルベロス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balance</v>
      </c>
      <c r="L223" s="8" t="str">
        <f>VLOOKUP(F223,[1]characters!$A:$M,13,FALSE)</f>
        <v>animal</v>
      </c>
      <c r="M223" s="16">
        <f>VLOOKUP(D223,gacha_196_base!A:B,2,FALSE)</f>
        <v>2614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18"/>
        <v>1961180</v>
      </c>
      <c r="B224" s="2" t="str">
        <f t="shared" si="19"/>
        <v>1961</v>
      </c>
      <c r="C224" s="8" t="str">
        <f t="shared" si="17"/>
        <v>1PremiumN5</v>
      </c>
      <c r="D224" s="8" t="str">
        <f t="shared" si="20"/>
        <v>1PremiumN5</v>
      </c>
      <c r="E224" s="10">
        <v>1</v>
      </c>
      <c r="F224" s="6">
        <v>180</v>
      </c>
      <c r="G224" s="8" t="str">
        <f>VLOOKUP(F224,[1]characters!$A:$C,3,FALSE)</f>
        <v>地獄の大門番 ケルベロス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16">
        <f>VLOOKUP(D224,gacha_196_base!A:B,2,FALSE)</f>
        <v>910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18"/>
        <v>1961181</v>
      </c>
      <c r="B225" s="2" t="str">
        <f t="shared" si="19"/>
        <v>1961</v>
      </c>
      <c r="C225" s="8" t="str">
        <f t="shared" si="17"/>
        <v>1PremiumN3</v>
      </c>
      <c r="D225" s="8" t="str">
        <f t="shared" si="20"/>
        <v>1PremiumN3</v>
      </c>
      <c r="E225" s="10">
        <v>1</v>
      </c>
      <c r="F225" s="6">
        <v>181</v>
      </c>
      <c r="G225" s="8" t="str">
        <f>VLOOKUP(F225,[1]characters!$A:$C,3,FALSE)</f>
        <v>ベヒモス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hp</v>
      </c>
      <c r="L225" s="8" t="str">
        <f>VLOOKUP(F225,[1]characters!$A:$M,13,FALSE)</f>
        <v>animal</v>
      </c>
      <c r="M225" s="16">
        <f>VLOOKUP(D225,gacha_196_base!A:B,2,FALSE)</f>
        <v>11160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18"/>
        <v>1961182</v>
      </c>
      <c r="B226" s="2" t="str">
        <f t="shared" si="19"/>
        <v>1961</v>
      </c>
      <c r="C226" s="8" t="str">
        <f t="shared" si="17"/>
        <v>1PremiumN4</v>
      </c>
      <c r="D226" s="8" t="str">
        <f t="shared" si="20"/>
        <v>1PremiumN4</v>
      </c>
      <c r="E226" s="10">
        <v>1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16">
        <f>VLOOKUP(D226,gacha_196_base!A:B,2,FALSE)</f>
        <v>2614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18"/>
        <v>1961183</v>
      </c>
      <c r="B227" s="2" t="str">
        <f t="shared" si="19"/>
        <v>1961</v>
      </c>
      <c r="C227" s="8" t="str">
        <f t="shared" si="17"/>
        <v>1PremiumN5</v>
      </c>
      <c r="D227" s="8" t="str">
        <f t="shared" si="20"/>
        <v>1PremiumN5</v>
      </c>
      <c r="E227" s="10">
        <v>1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16">
        <f>VLOOKUP(D227,gacha_196_base!A:B,2,FALSE)</f>
        <v>910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18"/>
        <v>1961184</v>
      </c>
      <c r="B228" s="2" t="str">
        <f t="shared" si="19"/>
        <v>1961</v>
      </c>
      <c r="C228" s="8" t="str">
        <f t="shared" si="17"/>
        <v>1PremiumN3</v>
      </c>
      <c r="D228" s="8" t="str">
        <f t="shared" si="20"/>
        <v>1PremiumN3</v>
      </c>
      <c r="E228" s="10">
        <v>1</v>
      </c>
      <c r="F228" s="6">
        <v>184</v>
      </c>
      <c r="G228" s="8" t="str">
        <f>VLOOKUP(F228,[1]characters!$A:$C,3,FALSE)</f>
        <v>クラーケン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16">
        <f>VLOOKUP(D228,gacha_196_base!A:B,2,FALSE)</f>
        <v>11160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18"/>
        <v>1961185</v>
      </c>
      <c r="B229" s="2" t="str">
        <f t="shared" si="19"/>
        <v>1961</v>
      </c>
      <c r="C229" s="8" t="str">
        <f t="shared" si="17"/>
        <v>1PremiumN4</v>
      </c>
      <c r="D229" s="8" t="str">
        <f t="shared" si="20"/>
        <v>1PremiumN4</v>
      </c>
      <c r="E229" s="10">
        <v>1</v>
      </c>
      <c r="F229" s="6">
        <v>185</v>
      </c>
      <c r="G229" s="8" t="str">
        <f>VLOOKUP(F229,[1]characters!$A:$C,3,FALSE)</f>
        <v>海姫 クラーケン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16">
        <f>VLOOKUP(D229,gacha_196_base!A:B,2,FALSE)</f>
        <v>2614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18"/>
        <v>1961186</v>
      </c>
      <c r="B230" s="2" t="str">
        <f t="shared" si="19"/>
        <v>1961</v>
      </c>
      <c r="C230" s="8" t="str">
        <f t="shared" si="17"/>
        <v>1PremiumN5</v>
      </c>
      <c r="D230" s="8" t="str">
        <f t="shared" si="20"/>
        <v>1PremiumN5</v>
      </c>
      <c r="E230" s="10">
        <v>1</v>
      </c>
      <c r="F230" s="9">
        <v>186</v>
      </c>
      <c r="G230" s="8" t="str">
        <f>VLOOKUP(F230,[1]characters!$A:$C,3,FALSE)</f>
        <v>誇り高き多触姫・クラーケン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blue</v>
      </c>
      <c r="K230" s="8" t="str">
        <f>VLOOKUP(F230,[1]characters!$A:$K,11,FALSE)</f>
        <v>heal</v>
      </c>
      <c r="L230" s="8" t="str">
        <f>VLOOKUP(F230,[1]characters!$A:$M,13,FALSE)</f>
        <v>animal</v>
      </c>
      <c r="M230" s="16">
        <f>VLOOKUP(D230,gacha_196_base!A:B,2,FALSE)</f>
        <v>910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18"/>
        <v>1961187</v>
      </c>
      <c r="B231" s="2" t="str">
        <f t="shared" si="19"/>
        <v>1961</v>
      </c>
      <c r="C231" s="8" t="str">
        <f t="shared" si="17"/>
        <v>1PremiumN3</v>
      </c>
      <c r="D231" s="8" t="str">
        <f t="shared" si="20"/>
        <v>1PremiumN3</v>
      </c>
      <c r="E231" s="10">
        <v>1</v>
      </c>
      <c r="F231" s="9">
        <v>187</v>
      </c>
      <c r="G231" s="8" t="str">
        <f>VLOOKUP(F231,[1]characters!$A:$C,3,FALSE)</f>
        <v>ホルス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16">
        <f>VLOOKUP(D231,gacha_196_base!A:B,2,FALSE)</f>
        <v>11160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18"/>
        <v>1961188</v>
      </c>
      <c r="B232" s="2" t="str">
        <f t="shared" si="19"/>
        <v>1961</v>
      </c>
      <c r="C232" s="8" t="str">
        <f t="shared" si="17"/>
        <v>1PremiumN4</v>
      </c>
      <c r="D232" s="8" t="str">
        <f t="shared" si="20"/>
        <v>1PremiumN4</v>
      </c>
      <c r="E232" s="10">
        <v>1</v>
      </c>
      <c r="F232" s="9">
        <v>188</v>
      </c>
      <c r="G232" s="8" t="str">
        <f>VLOOKUP(F232,[1]characters!$A:$C,3,FALSE)</f>
        <v>猛禽 ホルス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animal</v>
      </c>
      <c r="M232" s="16">
        <f>VLOOKUP(D232,gacha_196_base!A:B,2,FALSE)</f>
        <v>2614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18"/>
        <v>1961189</v>
      </c>
      <c r="B233" s="2" t="str">
        <f t="shared" si="19"/>
        <v>1961</v>
      </c>
      <c r="C233" s="8" t="str">
        <f t="shared" si="17"/>
        <v>1PremiumN5</v>
      </c>
      <c r="D233" s="8" t="str">
        <f t="shared" si="20"/>
        <v>1PremiumN5</v>
      </c>
      <c r="E233" s="10">
        <v>1</v>
      </c>
      <c r="F233" s="9">
        <v>189</v>
      </c>
      <c r="G233" s="8" t="str">
        <f>VLOOKUP(F233,[1]characters!$A:$C,3,FALSE)</f>
        <v>迅雷の王禽 ホルス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animal</v>
      </c>
      <c r="M233" s="16">
        <f>VLOOKUP(D233,gacha_196_base!A:B,2,FALSE)</f>
        <v>910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s="11" customFormat="1" ht="21" customHeight="1" thickBot="1">
      <c r="A234" s="7" t="str">
        <f t="shared" si="18"/>
        <v>1961190</v>
      </c>
      <c r="B234" s="2" t="str">
        <f t="shared" si="19"/>
        <v>1961</v>
      </c>
      <c r="C234" s="8" t="str">
        <f t="shared" ref="C234:C297" si="21">E234&amp;H234&amp;I234</f>
        <v>1PremiumN3</v>
      </c>
      <c r="D234" s="8" t="str">
        <f t="shared" si="20"/>
        <v>1PremiumN3</v>
      </c>
      <c r="E234" s="10">
        <v>1</v>
      </c>
      <c r="F234" s="6">
        <v>190</v>
      </c>
      <c r="G234" s="8" t="str">
        <f>VLOOKUP(F234,[1]characters!$A:$C,3,FALSE)</f>
        <v>卑弥呼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16">
        <f>VLOOKUP(D234,gacha_196_base!A:B,2,FALSE)</f>
        <v>11160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ref="A235:A298" si="22">B235&amp;F235</f>
        <v>1961191</v>
      </c>
      <c r="B235" s="2" t="str">
        <f t="shared" si="19"/>
        <v>1961</v>
      </c>
      <c r="C235" s="8" t="str">
        <f t="shared" si="21"/>
        <v>1PremiumN4</v>
      </c>
      <c r="D235" s="8" t="str">
        <f t="shared" si="20"/>
        <v>1PremiumN4</v>
      </c>
      <c r="E235" s="10">
        <v>1</v>
      </c>
      <c r="F235" s="6">
        <v>191</v>
      </c>
      <c r="G235" s="8" t="str">
        <f>VLOOKUP(F235,[1]characters!$A:$C,3,FALSE)</f>
        <v>始祖 卑弥呼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16">
        <f>VLOOKUP(D235,gacha_196_base!A:B,2,FALSE)</f>
        <v>2614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2"/>
        <v>1961192</v>
      </c>
      <c r="B236" s="2" t="str">
        <f t="shared" si="19"/>
        <v>1961</v>
      </c>
      <c r="C236" s="8" t="str">
        <f t="shared" si="21"/>
        <v>1PremiumN5</v>
      </c>
      <c r="D236" s="8" t="str">
        <f t="shared" si="20"/>
        <v>1PremiumN5</v>
      </c>
      <c r="E236" s="10">
        <v>1</v>
      </c>
      <c r="F236" s="6">
        <v>192</v>
      </c>
      <c r="G236" s="8" t="str">
        <f>VLOOKUP(F236,[1]characters!$A:$C,3,FALSE)</f>
        <v>荘厳なる始祖帝 卑弥呼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16">
        <f>VLOOKUP(D236,gacha_196_base!A:B,2,FALSE)</f>
        <v>910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2"/>
        <v>1961193</v>
      </c>
      <c r="B237" s="2" t="str">
        <f t="shared" si="19"/>
        <v>1961</v>
      </c>
      <c r="C237" s="8" t="str">
        <f t="shared" si="21"/>
        <v>1PremiumN3</v>
      </c>
      <c r="D237" s="8" t="str">
        <f t="shared" si="20"/>
        <v>1PremiumN3</v>
      </c>
      <c r="E237" s="10">
        <v>1</v>
      </c>
      <c r="F237" s="6">
        <v>193</v>
      </c>
      <c r="G237" s="8" t="str">
        <f>VLOOKUP(F237,[1]characters!$A:$C,3,FALSE)</f>
        <v>ロビンフッド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16">
        <f>VLOOKUP(D237,gacha_196_base!A:B,2,FALSE)</f>
        <v>11160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2"/>
        <v>1961194</v>
      </c>
      <c r="B238" s="2" t="str">
        <f t="shared" si="19"/>
        <v>1961</v>
      </c>
      <c r="C238" s="8" t="str">
        <f t="shared" si="21"/>
        <v>1PremiumN4</v>
      </c>
      <c r="D238" s="8" t="str">
        <f t="shared" si="20"/>
        <v>1PremiumN4</v>
      </c>
      <c r="E238" s="10">
        <v>1</v>
      </c>
      <c r="F238" s="12">
        <v>194</v>
      </c>
      <c r="G238" s="8" t="str">
        <f>VLOOKUP(F238,[1]characters!$A:$C,3,FALSE)</f>
        <v>スナイパー ロビンフッド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16">
        <f>VLOOKUP(D238,gacha_196_base!A:B,2,FALSE)</f>
        <v>2614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2"/>
        <v>1961195</v>
      </c>
      <c r="B239" s="2" t="str">
        <f t="shared" si="19"/>
        <v>1961</v>
      </c>
      <c r="C239" s="8" t="str">
        <f t="shared" si="21"/>
        <v>1PremiumN5</v>
      </c>
      <c r="D239" s="8" t="str">
        <f t="shared" si="20"/>
        <v>1PremiumN5</v>
      </c>
      <c r="E239" s="10">
        <v>1</v>
      </c>
      <c r="F239" s="6">
        <v>195</v>
      </c>
      <c r="G239" s="8" t="str">
        <f>VLOOKUP(F239,[1]characters!$A:$C,3,FALSE)</f>
        <v>グランドハンター ロビンフッド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16">
        <f>VLOOKUP(D239,gacha_196_base!A:B,2,FALSE)</f>
        <v>910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2"/>
        <v>1961196</v>
      </c>
      <c r="B240" s="2" t="str">
        <f t="shared" si="19"/>
        <v>1961</v>
      </c>
      <c r="C240" s="8" t="str">
        <f t="shared" si="21"/>
        <v>1PremiumN3</v>
      </c>
      <c r="D240" s="8" t="str">
        <f t="shared" si="20"/>
        <v>1PremiumN3</v>
      </c>
      <c r="E240" s="10">
        <v>1</v>
      </c>
      <c r="F240" s="12">
        <v>196</v>
      </c>
      <c r="G240" s="8" t="str">
        <f>VLOOKUP(F240,[1]characters!$A:$C,3,FALSE)</f>
        <v>アキレス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yellow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VLOOKUP(D240,gacha_196_base!A:B,2,FALSE)</f>
        <v>11160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2"/>
        <v>1961197</v>
      </c>
      <c r="B241" s="2" t="str">
        <f t="shared" si="19"/>
        <v>1961</v>
      </c>
      <c r="C241" s="8" t="str">
        <f t="shared" si="21"/>
        <v>1PremiumN4</v>
      </c>
      <c r="D241" s="8" t="str">
        <f t="shared" si="20"/>
        <v>1PremiumN4</v>
      </c>
      <c r="E241" s="10">
        <v>1</v>
      </c>
      <c r="F241" s="13">
        <v>197</v>
      </c>
      <c r="G241" s="8" t="str">
        <f>VLOOKUP(F241,[1]characters!$A:$C,3,FALSE)</f>
        <v>鉄腕 アキレス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yellow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VLOOKUP(D241,gacha_196_base!A:B,2,FALSE)</f>
        <v>2614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2"/>
        <v>1961198</v>
      </c>
      <c r="B242" s="2" t="str">
        <f t="shared" si="19"/>
        <v>1961</v>
      </c>
      <c r="C242" s="8" t="str">
        <f t="shared" si="21"/>
        <v>1PremiumN5</v>
      </c>
      <c r="D242" s="8" t="str">
        <f t="shared" si="20"/>
        <v>1PremiumN5</v>
      </c>
      <c r="E242" s="10">
        <v>1</v>
      </c>
      <c r="F242" s="6">
        <v>198</v>
      </c>
      <c r="G242" s="8" t="str">
        <f>VLOOKUP(F242,[1]characters!$A:$C,3,FALSE)</f>
        <v>砕骨の剛腕 アキレス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yellow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VLOOKUP(D242,gacha_196_base!A:B,2,FALSE)</f>
        <v>910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2"/>
        <v>1961199</v>
      </c>
      <c r="B243" s="2" t="str">
        <f t="shared" si="19"/>
        <v>1961</v>
      </c>
      <c r="C243" s="8" t="str">
        <f t="shared" si="21"/>
        <v>1PremiumN3</v>
      </c>
      <c r="D243" s="8" t="str">
        <f t="shared" si="20"/>
        <v>1PremiumN3</v>
      </c>
      <c r="E243" s="10">
        <v>1</v>
      </c>
      <c r="F243" s="6">
        <v>199</v>
      </c>
      <c r="G243" s="8" t="str">
        <f>VLOOKUP(F243,[1]characters!$A:$C,3,FALSE)</f>
        <v>ジークフリート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blue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VLOOKUP(D243,gacha_196_base!A:B,2,FALSE)</f>
        <v>11160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2"/>
        <v>1961200</v>
      </c>
      <c r="B244" s="2" t="str">
        <f t="shared" si="19"/>
        <v>1961</v>
      </c>
      <c r="C244" s="8" t="str">
        <f t="shared" si="21"/>
        <v>1PremiumN4</v>
      </c>
      <c r="D244" s="8" t="str">
        <f t="shared" si="20"/>
        <v>1PremiumN4</v>
      </c>
      <c r="E244" s="10">
        <v>1</v>
      </c>
      <c r="F244" s="6">
        <v>200</v>
      </c>
      <c r="G244" s="8" t="str">
        <f>VLOOKUP(F244,[1]characters!$A:$C,3,FALSE)</f>
        <v>大剣士 ジークフリート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VLOOKUP(D244,gacha_196_base!A:B,2,FALSE)</f>
        <v>2614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2"/>
        <v>1961201</v>
      </c>
      <c r="B245" s="2" t="str">
        <f t="shared" si="19"/>
        <v>1961</v>
      </c>
      <c r="C245" s="8" t="str">
        <f t="shared" si="21"/>
        <v>1PremiumN5</v>
      </c>
      <c r="D245" s="8" t="str">
        <f t="shared" si="20"/>
        <v>1PremiumN5</v>
      </c>
      <c r="E245" s="10">
        <v>1</v>
      </c>
      <c r="F245" s="5">
        <v>201</v>
      </c>
      <c r="G245" s="8" t="str">
        <f>VLOOKUP(F245,[1]characters!$A:$C,3,FALSE)</f>
        <v>斬空の大破剣 ジークフリート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VLOOKUP(D245,gacha_196_base!A:B,2,FALSE)</f>
        <v>910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ht="21" customHeight="1">
      <c r="A246" s="7" t="str">
        <f t="shared" si="22"/>
        <v>1961202</v>
      </c>
      <c r="B246" s="2" t="str">
        <f t="shared" si="19"/>
        <v>1961</v>
      </c>
      <c r="C246" s="8" t="str">
        <f t="shared" si="21"/>
        <v>1PremiumN3</v>
      </c>
      <c r="D246" s="8" t="str">
        <f t="shared" si="20"/>
        <v>1PremiumN3</v>
      </c>
      <c r="E246" s="10">
        <v>1</v>
      </c>
      <c r="F246" s="5">
        <v>202</v>
      </c>
      <c r="G246" s="8" t="str">
        <f>VLOOKUP(F246,[1]characters!$A:$C,3,FALSE)</f>
        <v>プロメテウス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hp</v>
      </c>
      <c r="L246" s="8" t="str">
        <f>VLOOKUP(F246,[1]characters!$A:$M,13,FALSE)</f>
        <v>god</v>
      </c>
      <c r="M246" s="16">
        <f>VLOOKUP(D246,gacha_196_base!A:B,2,FALSE)</f>
        <v>11160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si="22"/>
        <v>1961203</v>
      </c>
      <c r="B247" s="2" t="str">
        <f t="shared" si="19"/>
        <v>1961</v>
      </c>
      <c r="C247" s="8" t="str">
        <f t="shared" si="21"/>
        <v>1PremiumN4</v>
      </c>
      <c r="D247" s="8" t="str">
        <f t="shared" si="20"/>
        <v>1PremiumN4</v>
      </c>
      <c r="E247" s="10">
        <v>1</v>
      </c>
      <c r="F247" s="5">
        <v>203</v>
      </c>
      <c r="G247" s="8" t="str">
        <f>VLOOKUP(F247,[1]characters!$A:$C,3,FALSE)</f>
        <v>焔神 プロメテウス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hp</v>
      </c>
      <c r="L247" s="8" t="str">
        <f>VLOOKUP(F247,[1]characters!$A:$M,13,FALSE)</f>
        <v>god</v>
      </c>
      <c r="M247" s="16">
        <f>VLOOKUP(D247,gacha_196_base!A:B,2,FALSE)</f>
        <v>2614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2"/>
        <v>1961204</v>
      </c>
      <c r="B248" s="2" t="str">
        <f t="shared" si="19"/>
        <v>1961</v>
      </c>
      <c r="C248" s="8" t="str">
        <f t="shared" si="21"/>
        <v>1PremiumN5</v>
      </c>
      <c r="D248" s="8" t="str">
        <f t="shared" si="20"/>
        <v>1PremiumN5</v>
      </c>
      <c r="E248" s="10">
        <v>1</v>
      </c>
      <c r="F248" s="5">
        <v>204</v>
      </c>
      <c r="G248" s="8" t="str">
        <f>VLOOKUP(F248,[1]characters!$A:$C,3,FALSE)</f>
        <v>慟哭の巨焔 プロメテウス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VLOOKUP(D248,gacha_196_base!A:B,2,FALSE)</f>
        <v>910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2"/>
        <v>1961205</v>
      </c>
      <c r="B249" s="2" t="str">
        <f t="shared" si="19"/>
        <v>1961</v>
      </c>
      <c r="C249" s="8" t="str">
        <f t="shared" si="21"/>
        <v>1PremiumN3</v>
      </c>
      <c r="D249" s="8" t="str">
        <f t="shared" si="20"/>
        <v>1PremiumN3</v>
      </c>
      <c r="E249" s="10">
        <v>1</v>
      </c>
      <c r="F249" s="5">
        <v>205</v>
      </c>
      <c r="G249" s="8" t="str">
        <f>VLOOKUP(F249,[1]characters!$A:$C,3,FALSE)</f>
        <v>アフロディーテ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VLOOKUP(D249,gacha_196_base!A:B,2,FALSE)</f>
        <v>11160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2"/>
        <v>1961206</v>
      </c>
      <c r="B250" s="2" t="str">
        <f t="shared" si="19"/>
        <v>1961</v>
      </c>
      <c r="C250" s="8" t="str">
        <f t="shared" si="21"/>
        <v>1PremiumN4</v>
      </c>
      <c r="D250" s="8" t="str">
        <f t="shared" si="20"/>
        <v>1PremiumN4</v>
      </c>
      <c r="E250" s="10">
        <v>1</v>
      </c>
      <c r="F250" s="5">
        <v>206</v>
      </c>
      <c r="G250" s="8" t="str">
        <f>VLOOKUP(F250,[1]characters!$A:$C,3,FALSE)</f>
        <v>美神 アフロディーテ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VLOOKUP(D250,gacha_196_base!A:B,2,FALSE)</f>
        <v>2614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2"/>
        <v>1961207</v>
      </c>
      <c r="B251" s="2" t="str">
        <f t="shared" si="19"/>
        <v>1961</v>
      </c>
      <c r="C251" s="8" t="str">
        <f t="shared" si="21"/>
        <v>1PremiumN5</v>
      </c>
      <c r="D251" s="8" t="str">
        <f t="shared" si="20"/>
        <v>1PremiumN5</v>
      </c>
      <c r="E251" s="10">
        <v>1</v>
      </c>
      <c r="F251" s="5">
        <v>207</v>
      </c>
      <c r="G251" s="8" t="str">
        <f>VLOOKUP(F251,[1]characters!$A:$C,3,FALSE)</f>
        <v>豊穣の麗神・アフロディーテ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VLOOKUP(D251,gacha_196_base!A:B,2,FALSE)</f>
        <v>910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2"/>
        <v>1961208</v>
      </c>
      <c r="B252" s="2" t="str">
        <f t="shared" si="19"/>
        <v>1961</v>
      </c>
      <c r="C252" s="8" t="str">
        <f t="shared" si="21"/>
        <v>1PremiumN3</v>
      </c>
      <c r="D252" s="8" t="str">
        <f t="shared" si="20"/>
        <v>1PremiumN3</v>
      </c>
      <c r="E252" s="10">
        <v>1</v>
      </c>
      <c r="F252" s="5">
        <v>208</v>
      </c>
      <c r="G252" s="8" t="str">
        <f>VLOOKUP(F252,[1]characters!$A:$C,3,FALSE)</f>
        <v>テティス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blue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VLOOKUP(D252,gacha_196_base!A:B,2,FALSE)</f>
        <v>11160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2"/>
        <v>1961209</v>
      </c>
      <c r="B253" s="2" t="str">
        <f t="shared" si="19"/>
        <v>1961</v>
      </c>
      <c r="C253" s="8" t="str">
        <f t="shared" si="21"/>
        <v>1PremiumN4</v>
      </c>
      <c r="D253" s="8" t="str">
        <f t="shared" si="20"/>
        <v>1PremiumN4</v>
      </c>
      <c r="E253" s="10">
        <v>1</v>
      </c>
      <c r="F253" s="5">
        <v>209</v>
      </c>
      <c r="G253" s="8" t="str">
        <f>VLOOKUP(F253,[1]characters!$A:$C,3,FALSE)</f>
        <v>孤神 テティス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blue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VLOOKUP(D253,gacha_196_base!A:B,2,FALSE)</f>
        <v>2614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2"/>
        <v>1961210</v>
      </c>
      <c r="B254" s="2" t="str">
        <f t="shared" si="19"/>
        <v>1961</v>
      </c>
      <c r="C254" s="8" t="str">
        <f t="shared" si="21"/>
        <v>1PremiumN5</v>
      </c>
      <c r="D254" s="8" t="str">
        <f t="shared" si="20"/>
        <v>1PremiumN5</v>
      </c>
      <c r="E254" s="10">
        <v>1</v>
      </c>
      <c r="F254" s="5">
        <v>210</v>
      </c>
      <c r="G254" s="8" t="str">
        <f>VLOOKUP(F254,[1]characters!$A:$C,3,FALSE)</f>
        <v>海底の孤高神 テティス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blue</v>
      </c>
      <c r="K254" s="8" t="str">
        <f>VLOOKUP(F254,[1]characters!$A:$K,11,FALSE)</f>
        <v>hp</v>
      </c>
      <c r="L254" s="8" t="str">
        <f>VLOOKUP(F254,[1]characters!$A:$M,13,FALSE)</f>
        <v>god</v>
      </c>
      <c r="M254" s="16">
        <f>VLOOKUP(D254,gacha_196_base!A:B,2,FALSE)</f>
        <v>910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2"/>
        <v>1961211</v>
      </c>
      <c r="B255" s="2" t="str">
        <f t="shared" si="19"/>
        <v>1961</v>
      </c>
      <c r="C255" s="8" t="str">
        <f t="shared" si="21"/>
        <v>1PremiumN3</v>
      </c>
      <c r="D255" s="8" t="str">
        <f t="shared" si="20"/>
        <v>1PremiumN3</v>
      </c>
      <c r="E255" s="10">
        <v>1</v>
      </c>
      <c r="F255" s="5">
        <v>211</v>
      </c>
      <c r="G255" s="8" t="str">
        <f>VLOOKUP(F255,[1]characters!$A:$C,3,FALSE)</f>
        <v>アストライアー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VLOOKUP(D255,gacha_196_base!A:B,2,FALSE)</f>
        <v>11160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2"/>
        <v>1961212</v>
      </c>
      <c r="B256" s="2" t="str">
        <f t="shared" si="19"/>
        <v>1961</v>
      </c>
      <c r="C256" s="8" t="str">
        <f t="shared" si="21"/>
        <v>1PremiumN4</v>
      </c>
      <c r="D256" s="8" t="str">
        <f t="shared" si="20"/>
        <v>1PremiumN4</v>
      </c>
      <c r="E256" s="10">
        <v>1</v>
      </c>
      <c r="F256" s="5">
        <v>212</v>
      </c>
      <c r="G256" s="8" t="str">
        <f>VLOOKUP(F256,[1]characters!$A:$C,3,FALSE)</f>
        <v>星神 アストライアー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yellow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VLOOKUP(D256,gacha_196_base!A:B,2,FALSE)</f>
        <v>2614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2"/>
        <v>1961213</v>
      </c>
      <c r="B257" s="2" t="str">
        <f t="shared" si="19"/>
        <v>1961</v>
      </c>
      <c r="C257" s="8" t="str">
        <f t="shared" si="21"/>
        <v>1PremiumN5</v>
      </c>
      <c r="D257" s="8" t="str">
        <f t="shared" si="20"/>
        <v>1PremiumN5</v>
      </c>
      <c r="E257" s="10">
        <v>1</v>
      </c>
      <c r="F257" s="5">
        <v>213</v>
      </c>
      <c r="G257" s="8" t="str">
        <f>VLOOKUP(F257,[1]characters!$A:$C,3,FALSE)</f>
        <v>満天の星降神 アストライアー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yellow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VLOOKUP(D257,gacha_196_base!A:B,2,FALSE)</f>
        <v>910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2"/>
        <v>1961214</v>
      </c>
      <c r="B258" s="2" t="str">
        <f t="shared" si="19"/>
        <v>1961</v>
      </c>
      <c r="C258" s="8" t="str">
        <f t="shared" si="21"/>
        <v>1PremiumN3</v>
      </c>
      <c r="D258" s="8" t="str">
        <f t="shared" si="20"/>
        <v>1PremiumN3</v>
      </c>
      <c r="E258" s="10">
        <v>1</v>
      </c>
      <c r="F258" s="5">
        <v>214</v>
      </c>
      <c r="G258" s="8" t="str">
        <f>VLOOKUP(F258,[1]characters!$A:$C,3,FALSE)</f>
        <v>アズラエル</v>
      </c>
      <c r="H258" s="8" t="str">
        <f>VLOOKUP(F258,[1]characters!$A:$J,10,FALSE)</f>
        <v>PremiumN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balance</v>
      </c>
      <c r="L258" s="8" t="str">
        <f>VLOOKUP(F258,[1]characters!$A:$M,13,FALSE)</f>
        <v>god</v>
      </c>
      <c r="M258" s="16">
        <f>VLOOKUP(D258,gacha_196_base!A:B,2,FALSE)</f>
        <v>11160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2"/>
        <v>1961215</v>
      </c>
      <c r="B259" s="2" t="str">
        <f t="shared" ref="B259:B322" si="23">196&amp;E259</f>
        <v>1961</v>
      </c>
      <c r="C259" s="8" t="str">
        <f t="shared" si="21"/>
        <v>1PremiumN4</v>
      </c>
      <c r="D259" s="8" t="str">
        <f t="shared" si="20"/>
        <v>1PremiumN4</v>
      </c>
      <c r="E259" s="10">
        <v>1</v>
      </c>
      <c r="F259" s="5">
        <v>215</v>
      </c>
      <c r="G259" s="8" t="str">
        <f>VLOOKUP(F259,[1]characters!$A:$C,3,FALSE)</f>
        <v>死導者 アズラエル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balance</v>
      </c>
      <c r="L259" s="8" t="str">
        <f>VLOOKUP(F259,[1]characters!$A:$M,13,FALSE)</f>
        <v>god</v>
      </c>
      <c r="M259" s="16">
        <f>VLOOKUP(D259,gacha_196_base!A:B,2,FALSE)</f>
        <v>2614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2"/>
        <v>1961216</v>
      </c>
      <c r="B260" s="2" t="str">
        <f t="shared" si="23"/>
        <v>1961</v>
      </c>
      <c r="C260" s="8" t="str">
        <f t="shared" si="21"/>
        <v>1PremiumN5</v>
      </c>
      <c r="D260" s="8" t="str">
        <f t="shared" si="20"/>
        <v>1PremiumN5</v>
      </c>
      <c r="E260" s="10">
        <v>1</v>
      </c>
      <c r="F260" s="5">
        <v>216</v>
      </c>
      <c r="G260" s="8" t="str">
        <f>VLOOKUP(F260,[1]characters!$A:$C,3,FALSE)</f>
        <v>百読の死導司書 アズラエル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VLOOKUP(D260,gacha_196_base!A:B,2,FALSE)</f>
        <v>910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2"/>
        <v>1961217</v>
      </c>
      <c r="B261" s="2" t="str">
        <f t="shared" si="23"/>
        <v>1961</v>
      </c>
      <c r="C261" s="8" t="str">
        <f t="shared" si="21"/>
        <v>1PremiumN3</v>
      </c>
      <c r="D261" s="8" t="str">
        <f t="shared" si="20"/>
        <v>1PremiumN3</v>
      </c>
      <c r="E261" s="10">
        <v>1</v>
      </c>
      <c r="F261" s="5">
        <v>217</v>
      </c>
      <c r="G261" s="8" t="str">
        <f>VLOOKUP(F261,[1]characters!$A:$C,3,FALSE)</f>
        <v>ケツァクアトル</v>
      </c>
      <c r="H261" s="8" t="str">
        <f>VLOOKUP(F261,[1]characters!$A:$J,10,FALSE)</f>
        <v>PremiumN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dragon</v>
      </c>
      <c r="M261" s="16">
        <f>VLOOKUP(D261,gacha_196_base!A:B,2,FALSE)</f>
        <v>11160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2"/>
        <v>1961218</v>
      </c>
      <c r="B262" s="2" t="str">
        <f t="shared" si="23"/>
        <v>1961</v>
      </c>
      <c r="C262" s="8" t="str">
        <f t="shared" si="21"/>
        <v>1PremiumN4</v>
      </c>
      <c r="D262" s="8" t="str">
        <f t="shared" ref="D262:D325" si="24">E262&amp;H262&amp;I262</f>
        <v>1PremiumN4</v>
      </c>
      <c r="E262" s="10">
        <v>1</v>
      </c>
      <c r="F262" s="5">
        <v>218</v>
      </c>
      <c r="G262" s="8" t="str">
        <f>VLOOKUP(F262,[1]characters!$A:$C,3,FALSE)</f>
        <v>聖蛇 ケツァクアトル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dragon</v>
      </c>
      <c r="M262" s="16">
        <f>VLOOKUP(D262,gacha_196_base!A:B,2,FALSE)</f>
        <v>2614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2"/>
        <v>1961219</v>
      </c>
      <c r="B263" s="2" t="str">
        <f t="shared" si="23"/>
        <v>1961</v>
      </c>
      <c r="C263" s="8" t="str">
        <f t="shared" si="21"/>
        <v>1PremiumN5</v>
      </c>
      <c r="D263" s="8" t="str">
        <f t="shared" si="24"/>
        <v>1PremiumN5</v>
      </c>
      <c r="E263" s="10">
        <v>1</v>
      </c>
      <c r="F263" s="5">
        <v>219</v>
      </c>
      <c r="G263" s="8" t="str">
        <f>VLOOKUP(F263,[1]characters!$A:$C,3,FALSE)</f>
        <v>覇翼の聖蛇竜 ケツァクアトル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dragon</v>
      </c>
      <c r="M263" s="16">
        <f>VLOOKUP(D263,gacha_196_base!A:B,2,FALSE)</f>
        <v>910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2"/>
        <v>1961220</v>
      </c>
      <c r="B264" s="2" t="str">
        <f t="shared" si="23"/>
        <v>1961</v>
      </c>
      <c r="C264" s="8" t="str">
        <f t="shared" si="21"/>
        <v>1PremiumN3</v>
      </c>
      <c r="D264" s="8" t="str">
        <f t="shared" si="24"/>
        <v>1PremiumN3</v>
      </c>
      <c r="E264" s="10">
        <v>1</v>
      </c>
      <c r="F264" s="5">
        <v>220</v>
      </c>
      <c r="G264" s="8" t="str">
        <f>VLOOKUP(F264,[1]characters!$A:$C,3,FALSE)</f>
        <v>ルキフグス</v>
      </c>
      <c r="H264" s="8" t="str">
        <f>VLOOKUP(F264,[1]characters!$A:$J,10,FALSE)</f>
        <v>PremiumN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balance</v>
      </c>
      <c r="L264" s="8" t="str">
        <f>VLOOKUP(F264,[1]characters!$A:$M,13,FALSE)</f>
        <v>god</v>
      </c>
      <c r="M264" s="16">
        <f>VLOOKUP(D264,gacha_196_base!A:B,2,FALSE)</f>
        <v>11160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2"/>
        <v>1961221</v>
      </c>
      <c r="B265" s="2" t="str">
        <f t="shared" si="23"/>
        <v>1961</v>
      </c>
      <c r="C265" s="8" t="str">
        <f t="shared" si="21"/>
        <v>1PremiumN4</v>
      </c>
      <c r="D265" s="8" t="str">
        <f t="shared" si="24"/>
        <v>1PremiumN4</v>
      </c>
      <c r="E265" s="10">
        <v>1</v>
      </c>
      <c r="F265" s="5">
        <v>221</v>
      </c>
      <c r="G265" s="8" t="str">
        <f>VLOOKUP(F265,[1]characters!$A:$C,3,FALSE)</f>
        <v>宰相 ルキフグス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balance</v>
      </c>
      <c r="L265" s="8" t="str">
        <f>VLOOKUP(F265,[1]characters!$A:$M,13,FALSE)</f>
        <v>god</v>
      </c>
      <c r="M265" s="16">
        <f>VLOOKUP(D265,gacha_196_base!A:B,2,FALSE)</f>
        <v>2614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2"/>
        <v>1961222</v>
      </c>
      <c r="B266" s="2" t="str">
        <f t="shared" si="23"/>
        <v>1961</v>
      </c>
      <c r="C266" s="8" t="str">
        <f t="shared" si="21"/>
        <v>1PremiumN5</v>
      </c>
      <c r="D266" s="8" t="str">
        <f t="shared" si="24"/>
        <v>1PremiumN5</v>
      </c>
      <c r="E266" s="10">
        <v>1</v>
      </c>
      <c r="F266" s="5">
        <v>222</v>
      </c>
      <c r="G266" s="8" t="str">
        <f>VLOOKUP(F266,[1]characters!$A:$C,3,FALSE)</f>
        <v>避光の鉄鎖宰相 ルキフグス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balance</v>
      </c>
      <c r="L266" s="8" t="str">
        <f>VLOOKUP(F266,[1]characters!$A:$M,13,FALSE)</f>
        <v>god</v>
      </c>
      <c r="M266" s="16">
        <f>VLOOKUP(D266,gacha_196_base!A:B,2,FALSE)</f>
        <v>910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2"/>
        <v>1961223</v>
      </c>
      <c r="B267" s="2" t="str">
        <f t="shared" si="23"/>
        <v>1961</v>
      </c>
      <c r="C267" s="8" t="str">
        <f t="shared" si="21"/>
        <v>1PremiumN3</v>
      </c>
      <c r="D267" s="8" t="str">
        <f t="shared" si="24"/>
        <v>1PremiumN3</v>
      </c>
      <c r="E267" s="10">
        <v>1</v>
      </c>
      <c r="F267" s="5">
        <v>223</v>
      </c>
      <c r="G267" s="8" t="str">
        <f>VLOOKUP(F267,[1]characters!$A:$C,3,FALSE)</f>
        <v>ヘラクレス</v>
      </c>
      <c r="H267" s="8" t="str">
        <f>VLOOKUP(F267,[1]characters!$A:$J,10,FALSE)</f>
        <v>PremiumN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human</v>
      </c>
      <c r="M267" s="16">
        <f>VLOOKUP(D267,gacha_196_base!A:B,2,FALSE)</f>
        <v>11160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2"/>
        <v>1961224</v>
      </c>
      <c r="B268" s="2" t="str">
        <f t="shared" si="23"/>
        <v>1961</v>
      </c>
      <c r="C268" s="8" t="str">
        <f t="shared" si="21"/>
        <v>1PremiumN4</v>
      </c>
      <c r="D268" s="8" t="str">
        <f t="shared" si="24"/>
        <v>1PremiumN4</v>
      </c>
      <c r="E268" s="10">
        <v>1</v>
      </c>
      <c r="F268" s="5">
        <v>224</v>
      </c>
      <c r="G268" s="8" t="str">
        <f>VLOOKUP(F268,[1]characters!$A:$C,3,FALSE)</f>
        <v>巨腕 ヘラクレス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16">
        <f>VLOOKUP(D268,gacha_196_base!A:B,2,FALSE)</f>
        <v>2614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2"/>
        <v>1961225</v>
      </c>
      <c r="B269" s="2" t="str">
        <f t="shared" si="23"/>
        <v>1961</v>
      </c>
      <c r="C269" s="8" t="str">
        <f t="shared" si="21"/>
        <v>1PremiumN5</v>
      </c>
      <c r="D269" s="8" t="str">
        <f t="shared" si="24"/>
        <v>1PremiumN5</v>
      </c>
      <c r="E269" s="10">
        <v>1</v>
      </c>
      <c r="F269" s="5">
        <v>225</v>
      </c>
      <c r="G269" s="8" t="str">
        <f>VLOOKUP(F269,[1]characters!$A:$C,3,FALSE)</f>
        <v>咆哮の巨獅腕 ヘラクレス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16">
        <f>VLOOKUP(D269,gacha_196_base!A:B,2,FALSE)</f>
        <v>910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2"/>
        <v>1961226</v>
      </c>
      <c r="B270" s="2" t="str">
        <f t="shared" si="23"/>
        <v>1961</v>
      </c>
      <c r="C270" s="8" t="str">
        <f t="shared" si="21"/>
        <v>1PremiumS3</v>
      </c>
      <c r="D270" s="8" t="str">
        <f t="shared" si="24"/>
        <v>1PremiumS3</v>
      </c>
      <c r="E270" s="10">
        <v>1</v>
      </c>
      <c r="F270" s="5">
        <v>226</v>
      </c>
      <c r="G270" s="8" t="str">
        <f>VLOOKUP(F270,[1]characters!$A:$C,3,FALSE)</f>
        <v>アレス</v>
      </c>
      <c r="H270" s="8" t="str">
        <f>VLOOKUP(F270,[1]characters!$A:$J,10,FALSE)</f>
        <v>PremiumS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attack</v>
      </c>
      <c r="L270" s="8" t="str">
        <f>VLOOKUP(F270,[1]characters!$A:$M,13,FALSE)</f>
        <v>god</v>
      </c>
      <c r="M270" s="16">
        <f>VLOOKUP(D270,gacha_196_base!A:B,2,FALSE)</f>
        <v>11160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2"/>
        <v>1961227</v>
      </c>
      <c r="B271" s="2" t="str">
        <f t="shared" si="23"/>
        <v>1961</v>
      </c>
      <c r="C271" s="8" t="str">
        <f t="shared" si="21"/>
        <v>1PremiumS4</v>
      </c>
      <c r="D271" s="8" t="str">
        <f t="shared" si="24"/>
        <v>1PremiumS4</v>
      </c>
      <c r="E271" s="10">
        <v>1</v>
      </c>
      <c r="F271" s="5">
        <v>227</v>
      </c>
      <c r="G271" s="8" t="str">
        <f>VLOOKUP(F271,[1]characters!$A:$C,3,FALSE)</f>
        <v>滅弾 アレス</v>
      </c>
      <c r="H271" s="8" t="str">
        <f>VLOOKUP(F271,[1]characters!$A:$J,10,FALSE)</f>
        <v>PremiumS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attack</v>
      </c>
      <c r="L271" s="8" t="str">
        <f>VLOOKUP(F271,[1]characters!$A:$M,13,FALSE)</f>
        <v>god</v>
      </c>
      <c r="M271" s="16">
        <f>VLOOKUP(D271,gacha_196_base!A:B,2,FALSE)</f>
        <v>2614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2"/>
        <v>1961228</v>
      </c>
      <c r="B272" s="2" t="str">
        <f t="shared" si="23"/>
        <v>1961</v>
      </c>
      <c r="C272" s="8" t="str">
        <f t="shared" si="21"/>
        <v>1PremiumS5</v>
      </c>
      <c r="D272" s="8" t="str">
        <f t="shared" si="24"/>
        <v>1PremiumS5</v>
      </c>
      <c r="E272" s="10">
        <v>1</v>
      </c>
      <c r="F272" s="5">
        <v>228</v>
      </c>
      <c r="G272" s="8" t="str">
        <f>VLOOKUP(F272,[1]characters!$A:$C,3,FALSE)</f>
        <v>殲滅の掃射砲 アレス</v>
      </c>
      <c r="H272" s="8" t="str">
        <f>VLOOKUP(F272,[1]characters!$A:$J,10,FALSE)</f>
        <v>PremiumS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attack</v>
      </c>
      <c r="L272" s="8" t="str">
        <f>VLOOKUP(F272,[1]characters!$A:$M,13,FALSE)</f>
        <v>god</v>
      </c>
      <c r="M272" s="16">
        <f>VLOOKUP(D272,gacha_196_base!A:B,2,FALSE)</f>
        <v>910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2"/>
        <v>1961229</v>
      </c>
      <c r="B273" s="2" t="str">
        <f t="shared" si="23"/>
        <v>1961</v>
      </c>
      <c r="C273" s="8" t="str">
        <f t="shared" si="21"/>
        <v>1PremiumS3</v>
      </c>
      <c r="D273" s="8" t="str">
        <f t="shared" si="24"/>
        <v>1PremiumS3</v>
      </c>
      <c r="E273" s="10">
        <v>1</v>
      </c>
      <c r="F273" s="5">
        <v>229</v>
      </c>
      <c r="G273" s="8" t="str">
        <f>VLOOKUP(F273,[1]characters!$A:$C,3,FALSE)</f>
        <v>ヨルムンガンド</v>
      </c>
      <c r="H273" s="8" t="str">
        <f>VLOOKUP(F273,[1]characters!$A:$J,10,FALSE)</f>
        <v>PremiumS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technical</v>
      </c>
      <c r="L273" s="8" t="str">
        <f>VLOOKUP(F273,[1]characters!$A:$M,13,FALSE)</f>
        <v>dragon</v>
      </c>
      <c r="M273" s="16">
        <f>VLOOKUP(D273,gacha_196_base!A:B,2,FALSE)</f>
        <v>11160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2"/>
        <v>1961230</v>
      </c>
      <c r="B274" s="2" t="str">
        <f t="shared" si="23"/>
        <v>1961</v>
      </c>
      <c r="C274" s="8" t="str">
        <f t="shared" si="21"/>
        <v>1PremiumS4</v>
      </c>
      <c r="D274" s="8" t="str">
        <f t="shared" si="24"/>
        <v>1PremiumS4</v>
      </c>
      <c r="E274" s="10">
        <v>1</v>
      </c>
      <c r="F274" s="5">
        <v>230</v>
      </c>
      <c r="G274" s="8" t="str">
        <f>VLOOKUP(F274,[1]characters!$A:$C,3,FALSE)</f>
        <v>毒銃 ヨルムンガンド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dragon</v>
      </c>
      <c r="M274" s="16">
        <f>VLOOKUP(D274,gacha_196_base!A:B,2,FALSE)</f>
        <v>2614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2"/>
        <v>1961231</v>
      </c>
      <c r="B275" s="2" t="str">
        <f t="shared" si="23"/>
        <v>1961</v>
      </c>
      <c r="C275" s="8" t="str">
        <f t="shared" si="21"/>
        <v>1PremiumS5</v>
      </c>
      <c r="D275" s="8" t="str">
        <f t="shared" si="24"/>
        <v>1PremiumS5</v>
      </c>
      <c r="E275" s="10">
        <v>1</v>
      </c>
      <c r="F275" s="5">
        <v>231</v>
      </c>
      <c r="G275" s="8" t="str">
        <f>VLOOKUP(F275,[1]characters!$A:$C,3,FALSE)</f>
        <v>必中の咬銃 ヨルムンガンド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dragon</v>
      </c>
      <c r="M275" s="16">
        <f>VLOOKUP(D275,gacha_196_base!A:B,2,FALSE)</f>
        <v>910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2"/>
        <v>1961232</v>
      </c>
      <c r="B276" s="2" t="str">
        <f t="shared" si="23"/>
        <v>1961</v>
      </c>
      <c r="C276" s="8" t="str">
        <f t="shared" si="21"/>
        <v>1PremiumS3</v>
      </c>
      <c r="D276" s="8" t="str">
        <f t="shared" si="24"/>
        <v>1PremiumS3</v>
      </c>
      <c r="E276" s="10">
        <v>1</v>
      </c>
      <c r="F276" s="5">
        <v>232</v>
      </c>
      <c r="G276" s="8" t="str">
        <f>VLOOKUP(F276,[1]characters!$A:$C,3,FALSE)</f>
        <v>パーシヴァル</v>
      </c>
      <c r="H276" s="8" t="str">
        <f>VLOOKUP(F276,[1]characters!$A:$J,10,FALSE)</f>
        <v>PremiumS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technical</v>
      </c>
      <c r="L276" s="8" t="str">
        <f>VLOOKUP(F276,[1]characters!$A:$M,13,FALSE)</f>
        <v>human</v>
      </c>
      <c r="M276" s="16">
        <f>VLOOKUP(D276,gacha_196_base!A:B,2,FALSE)</f>
        <v>11160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2"/>
        <v>1961233</v>
      </c>
      <c r="B277" s="2" t="str">
        <f t="shared" si="23"/>
        <v>1961</v>
      </c>
      <c r="C277" s="8" t="str">
        <f t="shared" si="21"/>
        <v>1PremiumS4</v>
      </c>
      <c r="D277" s="8" t="str">
        <f t="shared" si="24"/>
        <v>1PremiumS4</v>
      </c>
      <c r="E277" s="10">
        <v>1</v>
      </c>
      <c r="F277" s="5">
        <v>233</v>
      </c>
      <c r="G277" s="8" t="str">
        <f>VLOOKUP(F277,[1]characters!$A:$C,3,FALSE)</f>
        <v>遂行 パーシヴァル</v>
      </c>
      <c r="H277" s="8" t="str">
        <f>VLOOKUP(F277,[1]characters!$A:$J,10,FALSE)</f>
        <v>PremiumS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technical</v>
      </c>
      <c r="L277" s="8" t="str">
        <f>VLOOKUP(F277,[1]characters!$A:$M,13,FALSE)</f>
        <v>human</v>
      </c>
      <c r="M277" s="16">
        <f>VLOOKUP(D277,gacha_196_base!A:B,2,FALSE)</f>
        <v>2614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2"/>
        <v>1961234</v>
      </c>
      <c r="B278" s="2" t="str">
        <f t="shared" si="23"/>
        <v>1961</v>
      </c>
      <c r="C278" s="8" t="str">
        <f t="shared" si="21"/>
        <v>1PremiumS5</v>
      </c>
      <c r="D278" s="8" t="str">
        <f t="shared" si="24"/>
        <v>1PremiumS5</v>
      </c>
      <c r="E278" s="10">
        <v>1</v>
      </c>
      <c r="F278" s="5">
        <v>234</v>
      </c>
      <c r="G278" s="8" t="str">
        <f>VLOOKUP(F278,[1]characters!$A:$C,3,FALSE)</f>
        <v>精密なる照準 パーシヴァル</v>
      </c>
      <c r="H278" s="8" t="str">
        <f>VLOOKUP(F278,[1]characters!$A:$J,10,FALSE)</f>
        <v>PremiumS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technical</v>
      </c>
      <c r="L278" s="8" t="str">
        <f>VLOOKUP(F278,[1]characters!$A:$M,13,FALSE)</f>
        <v>human</v>
      </c>
      <c r="M278" s="16">
        <f>VLOOKUP(D278,gacha_196_base!A:B,2,FALSE)</f>
        <v>910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2"/>
        <v>1961235</v>
      </c>
      <c r="B279" s="2" t="str">
        <f t="shared" si="23"/>
        <v>1961</v>
      </c>
      <c r="C279" s="8" t="str">
        <f t="shared" si="21"/>
        <v>1PremiumS3</v>
      </c>
      <c r="D279" s="8" t="str">
        <f t="shared" si="24"/>
        <v>1PremiumS3</v>
      </c>
      <c r="E279" s="10">
        <v>1</v>
      </c>
      <c r="F279" s="5">
        <v>235</v>
      </c>
      <c r="G279" s="8" t="str">
        <f>VLOOKUP(F279,[1]characters!$A:$C,3,FALSE)</f>
        <v>イザナミ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attack</v>
      </c>
      <c r="L279" s="8" t="str">
        <f>VLOOKUP(F279,[1]characters!$A:$M,13,FALSE)</f>
        <v>god</v>
      </c>
      <c r="M279" s="16">
        <f>VLOOKUP(D279,gacha_196_base!A:B,2,FALSE)</f>
        <v>11160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2"/>
        <v>1961236</v>
      </c>
      <c r="B280" s="2" t="str">
        <f t="shared" si="23"/>
        <v>1961</v>
      </c>
      <c r="C280" s="8" t="str">
        <f t="shared" si="21"/>
        <v>1PremiumS4</v>
      </c>
      <c r="D280" s="8" t="str">
        <f t="shared" si="24"/>
        <v>1PremiumS4</v>
      </c>
      <c r="E280" s="10">
        <v>1</v>
      </c>
      <c r="F280" s="5">
        <v>236</v>
      </c>
      <c r="G280" s="8" t="str">
        <f>VLOOKUP(F280,[1]characters!$A:$C,3,FALSE)</f>
        <v>神産 イザナミ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attack</v>
      </c>
      <c r="L280" s="8" t="str">
        <f>VLOOKUP(F280,[1]characters!$A:$M,13,FALSE)</f>
        <v>god</v>
      </c>
      <c r="M280" s="16">
        <f>VLOOKUP(D280,gacha_196_base!A:B,2,FALSE)</f>
        <v>2614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2"/>
        <v>1961237</v>
      </c>
      <c r="B281" s="2" t="str">
        <f t="shared" si="23"/>
        <v>1961</v>
      </c>
      <c r="C281" s="8" t="str">
        <f t="shared" si="21"/>
        <v>1PremiumS5</v>
      </c>
      <c r="D281" s="8" t="str">
        <f t="shared" si="24"/>
        <v>1PremiumS5</v>
      </c>
      <c r="E281" s="10">
        <v>1</v>
      </c>
      <c r="F281" s="5">
        <v>237</v>
      </c>
      <c r="G281" s="8" t="str">
        <f>VLOOKUP(F281,[1]characters!$A:$C,3,FALSE)</f>
        <v>森羅万象の神母 イザナミ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attack</v>
      </c>
      <c r="L281" s="8" t="str">
        <f>VLOOKUP(F281,[1]characters!$A:$M,13,FALSE)</f>
        <v>god</v>
      </c>
      <c r="M281" s="16">
        <f>VLOOKUP(D281,gacha_196_base!A:B,2,FALSE)</f>
        <v>910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2"/>
        <v>1961238</v>
      </c>
      <c r="B282" s="2" t="str">
        <f t="shared" si="23"/>
        <v>1961</v>
      </c>
      <c r="C282" s="8" t="str">
        <f t="shared" si="21"/>
        <v>1PremiumS3</v>
      </c>
      <c r="D282" s="8" t="str">
        <f t="shared" si="24"/>
        <v>1PremiumS3</v>
      </c>
      <c r="E282" s="10">
        <v>1</v>
      </c>
      <c r="F282" s="5">
        <v>238</v>
      </c>
      <c r="G282" s="8" t="str">
        <f>VLOOKUP(F282,[1]characters!$A:$C,3,FALSE)</f>
        <v>ウリエル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hp</v>
      </c>
      <c r="L282" s="8" t="str">
        <f>VLOOKUP(F282,[1]characters!$A:$M,13,FALSE)</f>
        <v>machine</v>
      </c>
      <c r="M282" s="16">
        <f>VLOOKUP(D282,gacha_196_base!A:B,2,FALSE)</f>
        <v>11160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2"/>
        <v>1961239</v>
      </c>
      <c r="B283" s="2" t="str">
        <f t="shared" si="23"/>
        <v>1961</v>
      </c>
      <c r="C283" s="8" t="str">
        <f t="shared" si="21"/>
        <v>1PremiumS4</v>
      </c>
      <c r="D283" s="8" t="str">
        <f t="shared" si="24"/>
        <v>1PremiumS4</v>
      </c>
      <c r="E283" s="10">
        <v>1</v>
      </c>
      <c r="F283" s="5">
        <v>239</v>
      </c>
      <c r="G283" s="8" t="str">
        <f>VLOOKUP(F283,[1]characters!$A:$C,3,FALSE)</f>
        <v>豪炎の天使 ウリエル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hp</v>
      </c>
      <c r="L283" s="8" t="str">
        <f>VLOOKUP(F283,[1]characters!$A:$M,13,FALSE)</f>
        <v>machine</v>
      </c>
      <c r="M283" s="16">
        <f>VLOOKUP(D283,gacha_196_base!A:B,2,FALSE)</f>
        <v>2614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2"/>
        <v>1961240</v>
      </c>
      <c r="B284" s="2" t="str">
        <f t="shared" si="23"/>
        <v>1961</v>
      </c>
      <c r="C284" s="8" t="str">
        <f t="shared" si="21"/>
        <v>1PremiumS5</v>
      </c>
      <c r="D284" s="8" t="str">
        <f t="shared" si="24"/>
        <v>1PremiumS5</v>
      </c>
      <c r="E284" s="10">
        <v>1</v>
      </c>
      <c r="F284" s="5">
        <v>240</v>
      </c>
      <c r="G284" s="8" t="str">
        <f>VLOOKUP(F284,[1]characters!$A:$C,3,FALSE)</f>
        <v>轟炎の天使 ウリエル・スレイヤー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hp</v>
      </c>
      <c r="L284" s="8" t="str">
        <f>VLOOKUP(F284,[1]characters!$A:$M,13,FALSE)</f>
        <v>machine</v>
      </c>
      <c r="M284" s="16">
        <f>VLOOKUP(D284,gacha_196_base!A:B,2,FALSE)</f>
        <v>910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2"/>
        <v>1961241</v>
      </c>
      <c r="B285" s="2" t="str">
        <f t="shared" si="23"/>
        <v>1961</v>
      </c>
      <c r="C285" s="8" t="str">
        <f t="shared" si="21"/>
        <v>1PremiumS3</v>
      </c>
      <c r="D285" s="8" t="str">
        <f t="shared" si="24"/>
        <v>1PremiumS3</v>
      </c>
      <c r="E285" s="10">
        <v>1</v>
      </c>
      <c r="F285" s="5">
        <v>241</v>
      </c>
      <c r="G285" s="8" t="str">
        <f>VLOOKUP(F285,[1]characters!$A:$C,3,FALSE)</f>
        <v>ガブリエル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16">
        <f>VLOOKUP(D285,gacha_196_base!A:B,2,FALSE)</f>
        <v>11160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2"/>
        <v>1961242</v>
      </c>
      <c r="B286" s="2" t="str">
        <f t="shared" si="23"/>
        <v>1961</v>
      </c>
      <c r="C286" s="8" t="str">
        <f t="shared" si="21"/>
        <v>1PremiumS4</v>
      </c>
      <c r="D286" s="8" t="str">
        <f t="shared" si="24"/>
        <v>1PremiumS4</v>
      </c>
      <c r="E286" s="10">
        <v>1</v>
      </c>
      <c r="F286" s="5">
        <v>242</v>
      </c>
      <c r="G286" s="8" t="str">
        <f>VLOOKUP(F286,[1]characters!$A:$C,3,FALSE)</f>
        <v>百花の天使 ガブリエル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16">
        <f>VLOOKUP(D286,gacha_196_base!A:B,2,FALSE)</f>
        <v>2614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2"/>
        <v>1961243</v>
      </c>
      <c r="B287" s="2" t="str">
        <f t="shared" si="23"/>
        <v>1961</v>
      </c>
      <c r="C287" s="8" t="str">
        <f t="shared" si="21"/>
        <v>1PremiumS5</v>
      </c>
      <c r="D287" s="8" t="str">
        <f t="shared" si="24"/>
        <v>1PremiumS5</v>
      </c>
      <c r="E287" s="10">
        <v>1</v>
      </c>
      <c r="F287" s="5">
        <v>243</v>
      </c>
      <c r="G287" s="8" t="str">
        <f>VLOOKUP(F287,[1]characters!$A:$C,3,FALSE)</f>
        <v>万花の天使 ガブリエル・ブルーム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balance</v>
      </c>
      <c r="L287" s="8" t="str">
        <f>VLOOKUP(F287,[1]characters!$A:$M,13,FALSE)</f>
        <v>machine</v>
      </c>
      <c r="M287" s="16">
        <f>VLOOKUP(D287,gacha_196_base!A:B,2,FALSE)</f>
        <v>910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2"/>
        <v>1961244</v>
      </c>
      <c r="B288" s="2" t="str">
        <f t="shared" si="23"/>
        <v>1961</v>
      </c>
      <c r="C288" s="8" t="str">
        <f t="shared" si="21"/>
        <v>1PremiumS3</v>
      </c>
      <c r="D288" s="8" t="str">
        <f t="shared" si="24"/>
        <v>1PremiumS3</v>
      </c>
      <c r="E288" s="10">
        <v>1</v>
      </c>
      <c r="F288" s="5">
        <v>244</v>
      </c>
      <c r="G288" s="8" t="str">
        <f>VLOOKUP(F288,[1]characters!$A:$C,3,FALSE)</f>
        <v>ラファエル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balance</v>
      </c>
      <c r="L288" s="8" t="str">
        <f>VLOOKUP(F288,[1]characters!$A:$M,13,FALSE)</f>
        <v>machine</v>
      </c>
      <c r="M288" s="16">
        <f>VLOOKUP(D288,gacha_196_base!A:B,2,FALSE)</f>
        <v>11160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2"/>
        <v>1961245</v>
      </c>
      <c r="B289" s="2" t="str">
        <f t="shared" si="23"/>
        <v>1961</v>
      </c>
      <c r="C289" s="8" t="str">
        <f t="shared" si="21"/>
        <v>1PremiumS4</v>
      </c>
      <c r="D289" s="8" t="str">
        <f t="shared" si="24"/>
        <v>1PremiumS4</v>
      </c>
      <c r="E289" s="10">
        <v>1</v>
      </c>
      <c r="F289" s="5">
        <v>245</v>
      </c>
      <c r="G289" s="8" t="str">
        <f>VLOOKUP(F289,[1]characters!$A:$C,3,FALSE)</f>
        <v>鎮癒の天使 ラファエル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balance</v>
      </c>
      <c r="L289" s="8" t="str">
        <f>VLOOKUP(F289,[1]characters!$A:$M,13,FALSE)</f>
        <v>machine</v>
      </c>
      <c r="M289" s="16">
        <f>VLOOKUP(D289,gacha_196_base!A:B,2,FALSE)</f>
        <v>2614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2"/>
        <v>1961246</v>
      </c>
      <c r="B290" s="2" t="str">
        <f t="shared" si="23"/>
        <v>1961</v>
      </c>
      <c r="C290" s="8" t="str">
        <f t="shared" si="21"/>
        <v>1PremiumS5</v>
      </c>
      <c r="D290" s="8" t="str">
        <f t="shared" si="24"/>
        <v>1PremiumS5</v>
      </c>
      <c r="E290" s="10">
        <v>1</v>
      </c>
      <c r="F290" s="5">
        <v>246</v>
      </c>
      <c r="G290" s="8" t="str">
        <f>VLOOKUP(F290,[1]characters!$A:$C,3,FALSE)</f>
        <v>真癒の天使 ラファエル・メディカ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balance</v>
      </c>
      <c r="L290" s="8" t="str">
        <f>VLOOKUP(F290,[1]characters!$A:$M,13,FALSE)</f>
        <v>machine</v>
      </c>
      <c r="M290" s="16">
        <f>VLOOKUP(D290,gacha_196_base!A:B,2,FALSE)</f>
        <v>910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2"/>
        <v>1961247</v>
      </c>
      <c r="B291" s="2" t="str">
        <f t="shared" si="23"/>
        <v>1961</v>
      </c>
      <c r="C291" s="8" t="str">
        <f t="shared" si="21"/>
        <v>1PremiumS3</v>
      </c>
      <c r="D291" s="8" t="str">
        <f t="shared" si="24"/>
        <v>1PremiumS3</v>
      </c>
      <c r="E291" s="10">
        <v>1</v>
      </c>
      <c r="F291" s="5">
        <v>247</v>
      </c>
      <c r="G291" s="8" t="str">
        <f>VLOOKUP(F291,[1]characters!$A:$C,3,FALSE)</f>
        <v>ミカエル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machine</v>
      </c>
      <c r="M291" s="16">
        <f>VLOOKUP(D291,gacha_196_base!A:B,2,FALSE)</f>
        <v>11160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2"/>
        <v>1961248</v>
      </c>
      <c r="B292" s="2" t="str">
        <f t="shared" si="23"/>
        <v>1961</v>
      </c>
      <c r="C292" s="8" t="str">
        <f t="shared" si="21"/>
        <v>1PremiumS4</v>
      </c>
      <c r="D292" s="8" t="str">
        <f t="shared" si="24"/>
        <v>1PremiumS4</v>
      </c>
      <c r="E292" s="10">
        <v>1</v>
      </c>
      <c r="F292" s="5">
        <v>248</v>
      </c>
      <c r="G292" s="8" t="str">
        <f>VLOOKUP(F292,[1]characters!$A:$C,3,FALSE)</f>
        <v>彩電の天使 ミカエル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attack</v>
      </c>
      <c r="L292" s="8" t="str">
        <f>VLOOKUP(F292,[1]characters!$A:$M,13,FALSE)</f>
        <v>machine</v>
      </c>
      <c r="M292" s="16">
        <f>VLOOKUP(D292,gacha_196_base!A:B,2,FALSE)</f>
        <v>2614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2"/>
        <v>1961249</v>
      </c>
      <c r="B293" s="2" t="str">
        <f t="shared" si="23"/>
        <v>1961</v>
      </c>
      <c r="C293" s="8" t="str">
        <f t="shared" si="21"/>
        <v>1PremiumS5</v>
      </c>
      <c r="D293" s="8" t="str">
        <f t="shared" si="24"/>
        <v>1PremiumS5</v>
      </c>
      <c r="E293" s="10">
        <v>1</v>
      </c>
      <c r="F293" s="6">
        <v>249</v>
      </c>
      <c r="G293" s="8" t="str">
        <f>VLOOKUP(F293,[1]characters!$A:$C,3,FALSE)</f>
        <v>雷電の天使 ミカエル・ゲイナー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attack</v>
      </c>
      <c r="L293" s="8" t="str">
        <f>VLOOKUP(F293,[1]characters!$A:$M,13,FALSE)</f>
        <v>machine</v>
      </c>
      <c r="M293" s="16">
        <f>VLOOKUP(D293,gacha_196_base!A:B,2,FALSE)</f>
        <v>910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2"/>
        <v>1961250</v>
      </c>
      <c r="B294" s="2" t="str">
        <f t="shared" si="23"/>
        <v>1961</v>
      </c>
      <c r="C294" s="8" t="str">
        <f t="shared" si="21"/>
        <v>1PremiumS3</v>
      </c>
      <c r="D294" s="8" t="str">
        <f t="shared" si="24"/>
        <v>1PremiumS3</v>
      </c>
      <c r="E294" s="10">
        <v>1</v>
      </c>
      <c r="F294" s="6">
        <v>250</v>
      </c>
      <c r="G294" s="8" t="str">
        <f>VLOOKUP(F294,[1]characters!$A:$C,3,FALSE)</f>
        <v>マンモン</v>
      </c>
      <c r="H294" s="8" t="str">
        <f>VLOOKUP(F294,[1]characters!$A:$J,10,FALSE)</f>
        <v>PremiumS</v>
      </c>
      <c r="I294" s="8">
        <f>VLOOKUP(F294,[1]characters!$A:$I,9,FALSE)</f>
        <v>3</v>
      </c>
      <c r="J294" s="8" t="str">
        <f>VLOOKUP(F294,[1]characters!$A:$H,8,FALSE)</f>
        <v>red</v>
      </c>
      <c r="K294" s="8" t="str">
        <f>VLOOKUP(F294,[1]characters!$A:$K,11,FALSE)</f>
        <v>balance</v>
      </c>
      <c r="L294" s="8" t="str">
        <f>VLOOKUP(F294,[1]characters!$A:$M,13,FALSE)</f>
        <v>god</v>
      </c>
      <c r="M294" s="16">
        <f>VLOOKUP(D294,gacha_196_base!A:B,2,FALSE)</f>
        <v>11160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2"/>
        <v>1961251</v>
      </c>
      <c r="B295" s="2" t="str">
        <f t="shared" si="23"/>
        <v>1961</v>
      </c>
      <c r="C295" s="8" t="str">
        <f t="shared" si="21"/>
        <v>1PremiumS4</v>
      </c>
      <c r="D295" s="8" t="str">
        <f t="shared" si="24"/>
        <v>1PremiumS4</v>
      </c>
      <c r="E295" s="10">
        <v>1</v>
      </c>
      <c r="F295" s="6">
        <v>251</v>
      </c>
      <c r="G295" s="8" t="str">
        <f>VLOOKUP(F295,[1]characters!$A:$C,3,FALSE)</f>
        <v>強欲 マンモン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red</v>
      </c>
      <c r="K295" s="8" t="str">
        <f>VLOOKUP(F295,[1]characters!$A:$K,11,FALSE)</f>
        <v>balance</v>
      </c>
      <c r="L295" s="8" t="str">
        <f>VLOOKUP(F295,[1]characters!$A:$M,13,FALSE)</f>
        <v>god</v>
      </c>
      <c r="M295" s="16">
        <f>VLOOKUP(D295,gacha_196_base!A:B,2,FALSE)</f>
        <v>2614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2"/>
        <v>1961252</v>
      </c>
      <c r="B296" s="2" t="str">
        <f t="shared" si="23"/>
        <v>1961</v>
      </c>
      <c r="C296" s="8" t="str">
        <f t="shared" si="21"/>
        <v>1PremiumS5</v>
      </c>
      <c r="D296" s="8" t="str">
        <f t="shared" si="24"/>
        <v>1PremiumS5</v>
      </c>
      <c r="E296" s="10">
        <v>1</v>
      </c>
      <c r="F296" s="6">
        <v>252</v>
      </c>
      <c r="G296" s="8" t="str">
        <f>VLOOKUP(F296,[1]characters!$A:$C,3,FALSE)</f>
        <v>強欲の沸騰 マンモン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red</v>
      </c>
      <c r="K296" s="8" t="str">
        <f>VLOOKUP(F296,[1]characters!$A:$K,11,FALSE)</f>
        <v>balance</v>
      </c>
      <c r="L296" s="8" t="str">
        <f>VLOOKUP(F296,[1]characters!$A:$M,13,FALSE)</f>
        <v>god</v>
      </c>
      <c r="M296" s="16">
        <f>VLOOKUP(D296,gacha_196_base!A:B,2,FALSE)</f>
        <v>910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2"/>
        <v>1961253</v>
      </c>
      <c r="B297" s="2" t="str">
        <f t="shared" si="23"/>
        <v>1961</v>
      </c>
      <c r="C297" s="8" t="str">
        <f t="shared" si="21"/>
        <v>1PremiumS3</v>
      </c>
      <c r="D297" s="8" t="str">
        <f t="shared" si="24"/>
        <v>1PremiumS3</v>
      </c>
      <c r="E297" s="10">
        <v>1</v>
      </c>
      <c r="F297" s="6">
        <v>253</v>
      </c>
      <c r="G297" s="8" t="str">
        <f>VLOOKUP(F297,[1]characters!$A:$C,3,FALSE)</f>
        <v>ベルフェゴール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green</v>
      </c>
      <c r="K297" s="8" t="str">
        <f>VLOOKUP(F297,[1]characters!$A:$K,11,FALSE)</f>
        <v>technical</v>
      </c>
      <c r="L297" s="8" t="str">
        <f>VLOOKUP(F297,[1]characters!$A:$M,13,FALSE)</f>
        <v>god</v>
      </c>
      <c r="M297" s="16">
        <f>VLOOKUP(D297,gacha_196_base!A:B,2,FALSE)</f>
        <v>11160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2"/>
        <v>1961254</v>
      </c>
      <c r="B298" s="2" t="str">
        <f t="shared" si="23"/>
        <v>1961</v>
      </c>
      <c r="C298" s="8" t="str">
        <f t="shared" ref="C298:C361" si="25">E298&amp;H298&amp;I298</f>
        <v>1PremiumS4</v>
      </c>
      <c r="D298" s="8" t="str">
        <f t="shared" si="24"/>
        <v>1PremiumS4</v>
      </c>
      <c r="E298" s="10">
        <v>1</v>
      </c>
      <c r="F298" s="6">
        <v>254</v>
      </c>
      <c r="G298" s="8" t="str">
        <f>VLOOKUP(F298,[1]characters!$A:$C,3,FALSE)</f>
        <v>怠惰 ベルフェゴール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god</v>
      </c>
      <c r="M298" s="16">
        <f>VLOOKUP(D298,gacha_196_base!A:B,2,FALSE)</f>
        <v>2614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26">B299&amp;F299</f>
        <v>1961255</v>
      </c>
      <c r="B299" s="2" t="str">
        <f t="shared" si="23"/>
        <v>1961</v>
      </c>
      <c r="C299" s="8" t="str">
        <f t="shared" si="25"/>
        <v>1PremiumS5</v>
      </c>
      <c r="D299" s="8" t="str">
        <f t="shared" si="24"/>
        <v>1PremiumS5</v>
      </c>
      <c r="E299" s="10">
        <v>1</v>
      </c>
      <c r="F299" s="6">
        <v>255</v>
      </c>
      <c r="G299" s="8" t="str">
        <f>VLOOKUP(F299,[1]characters!$A:$C,3,FALSE)</f>
        <v>怠惰の頂点 ベルフェゴール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god</v>
      </c>
      <c r="M299" s="16">
        <f>VLOOKUP(D299,gacha_196_base!A:B,2,FALSE)</f>
        <v>910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6"/>
        <v>1961256</v>
      </c>
      <c r="B300" s="2" t="str">
        <f t="shared" si="23"/>
        <v>1961</v>
      </c>
      <c r="C300" s="8" t="str">
        <f t="shared" si="25"/>
        <v>1PremiumS3</v>
      </c>
      <c r="D300" s="8" t="str">
        <f t="shared" si="24"/>
        <v>1PremiumS3</v>
      </c>
      <c r="E300" s="10">
        <v>1</v>
      </c>
      <c r="F300" s="6">
        <v>256</v>
      </c>
      <c r="G300" s="8" t="str">
        <f>VLOOKUP(F300,[1]characters!$A:$C,3,FALSE)</f>
        <v>アスモデウス</v>
      </c>
      <c r="H300" s="8" t="str">
        <f>VLOOKUP(F300,[1]characters!$A:$J,10,FALSE)</f>
        <v>PremiumS</v>
      </c>
      <c r="I300" s="8">
        <f>VLOOKUP(F300,[1]characters!$A:$I,9,FALSE)</f>
        <v>3</v>
      </c>
      <c r="J300" s="8" t="str">
        <f>VLOOKUP(F300,[1]characters!$A:$H,8,FALSE)</f>
        <v>blue</v>
      </c>
      <c r="K300" s="8" t="str">
        <f>VLOOKUP(F300,[1]characters!$A:$K,11,FALSE)</f>
        <v>attack</v>
      </c>
      <c r="L300" s="8" t="str">
        <f>VLOOKUP(F300,[1]characters!$A:$M,13,FALSE)</f>
        <v>god</v>
      </c>
      <c r="M300" s="16">
        <f>VLOOKUP(D300,gacha_196_base!A:B,2,FALSE)</f>
        <v>11160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6"/>
        <v>1961257</v>
      </c>
      <c r="B301" s="2" t="str">
        <f t="shared" si="23"/>
        <v>1961</v>
      </c>
      <c r="C301" s="8" t="str">
        <f t="shared" si="25"/>
        <v>1PremiumS4</v>
      </c>
      <c r="D301" s="8" t="str">
        <f t="shared" si="24"/>
        <v>1PremiumS4</v>
      </c>
      <c r="E301" s="10">
        <v>1</v>
      </c>
      <c r="F301" s="6">
        <v>257</v>
      </c>
      <c r="G301" s="8" t="str">
        <f>VLOOKUP(F301,[1]characters!$A:$C,3,FALSE)</f>
        <v>色欲 アスモデウス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blue</v>
      </c>
      <c r="K301" s="8" t="str">
        <f>VLOOKUP(F301,[1]characters!$A:$K,11,FALSE)</f>
        <v>attack</v>
      </c>
      <c r="L301" s="8" t="str">
        <f>VLOOKUP(F301,[1]characters!$A:$M,13,FALSE)</f>
        <v>god</v>
      </c>
      <c r="M301" s="16">
        <f>VLOOKUP(D301,gacha_196_base!A:B,2,FALSE)</f>
        <v>2614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6"/>
        <v>1961258</v>
      </c>
      <c r="B302" s="2" t="str">
        <f t="shared" si="23"/>
        <v>1961</v>
      </c>
      <c r="C302" s="8" t="str">
        <f t="shared" si="25"/>
        <v>1PremiumS5</v>
      </c>
      <c r="D302" s="8" t="str">
        <f t="shared" si="24"/>
        <v>1PremiumS5</v>
      </c>
      <c r="E302" s="10">
        <v>1</v>
      </c>
      <c r="F302" s="6">
        <v>258</v>
      </c>
      <c r="G302" s="8" t="str">
        <f>VLOOKUP(F302,[1]characters!$A:$C,3,FALSE)</f>
        <v>色欲の源流 アスモデウス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blue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VLOOKUP(D302,gacha_196_base!A:B,2,FALSE)</f>
        <v>910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6"/>
        <v>1961259</v>
      </c>
      <c r="B303" s="2" t="str">
        <f t="shared" si="23"/>
        <v>1961</v>
      </c>
      <c r="C303" s="8" t="str">
        <f t="shared" si="25"/>
        <v>1PremiumS3</v>
      </c>
      <c r="D303" s="8" t="str">
        <f t="shared" si="24"/>
        <v>1PremiumS3</v>
      </c>
      <c r="E303" s="10">
        <v>1</v>
      </c>
      <c r="F303" s="6">
        <v>259</v>
      </c>
      <c r="G303" s="8" t="str">
        <f>VLOOKUP(F303,[1]characters!$A:$C,3,FALSE)</f>
        <v>ウロボロス</v>
      </c>
      <c r="H303" s="8" t="str">
        <f>VLOOKUP(F303,[1]characters!$A:$J,10,FALSE)</f>
        <v>PremiumS</v>
      </c>
      <c r="I303" s="8">
        <f>VLOOKUP(F303,[1]characters!$A:$I,9,FALSE)</f>
        <v>3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dragon</v>
      </c>
      <c r="M303" s="16">
        <f>VLOOKUP(D303,gacha_196_base!A:B,2,FALSE)</f>
        <v>11160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6"/>
        <v>1961260</v>
      </c>
      <c r="B304" s="2" t="str">
        <f t="shared" si="23"/>
        <v>1961</v>
      </c>
      <c r="C304" s="8" t="str">
        <f t="shared" si="25"/>
        <v>1PremiumS4</v>
      </c>
      <c r="D304" s="8" t="str">
        <f t="shared" si="24"/>
        <v>1PremiumS4</v>
      </c>
      <c r="E304" s="10">
        <v>1</v>
      </c>
      <c r="F304" s="9">
        <v>260</v>
      </c>
      <c r="G304" s="8" t="str">
        <f>VLOOKUP(F304,[1]characters!$A:$C,3,FALSE)</f>
        <v>輪廻 ウロボロス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balance</v>
      </c>
      <c r="L304" s="8" t="str">
        <f>VLOOKUP(F304,[1]characters!$A:$M,13,FALSE)</f>
        <v>dragon</v>
      </c>
      <c r="M304" s="16">
        <f>VLOOKUP(D304,gacha_196_base!A:B,2,FALSE)</f>
        <v>2614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6"/>
        <v>1961261</v>
      </c>
      <c r="B305" s="2" t="str">
        <f t="shared" si="23"/>
        <v>1961</v>
      </c>
      <c r="C305" s="8" t="str">
        <f t="shared" si="25"/>
        <v>1PremiumS5</v>
      </c>
      <c r="D305" s="8" t="str">
        <f t="shared" si="24"/>
        <v>1PremiumS5</v>
      </c>
      <c r="E305" s="10">
        <v>1</v>
      </c>
      <c r="F305" s="9">
        <v>261</v>
      </c>
      <c r="G305" s="8" t="str">
        <f>VLOOKUP(F305,[1]characters!$A:$C,3,FALSE)</f>
        <v>輪廻の蛇龍 ウロボロス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balance</v>
      </c>
      <c r="L305" s="8" t="str">
        <f>VLOOKUP(F305,[1]characters!$A:$M,13,FALSE)</f>
        <v>dragon</v>
      </c>
      <c r="M305" s="16">
        <f>VLOOKUP(D305,gacha_196_base!A:B,2,FALSE)</f>
        <v>910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6"/>
        <v>1961320</v>
      </c>
      <c r="B306" s="2" t="str">
        <f t="shared" si="23"/>
        <v>1961</v>
      </c>
      <c r="C306" s="8" t="str">
        <f t="shared" si="25"/>
        <v>1PremiumSS4</v>
      </c>
      <c r="D306" s="8" t="str">
        <f t="shared" si="24"/>
        <v>1PremiumSS4</v>
      </c>
      <c r="E306" s="10">
        <v>1</v>
      </c>
      <c r="F306" s="6">
        <v>320</v>
      </c>
      <c r="G306" s="8" t="str">
        <f>VLOOKUP(F306,[1]characters!$A:$C,3,FALSE)</f>
        <v>烈志士 近藤勇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red</v>
      </c>
      <c r="K306" s="8" t="str">
        <f>VLOOKUP(F306,[1]characters!$A:$K,11,FALSE)</f>
        <v>hp</v>
      </c>
      <c r="L306" s="8" t="str">
        <f>VLOOKUP(F306,[1]characters!$A:$M,13,FALSE)</f>
        <v>human</v>
      </c>
      <c r="M306" s="16">
        <f>VLOOKUP(D306,gacha_196_base!A:B,2,FALSE)</f>
        <v>2558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6"/>
        <v>1961321</v>
      </c>
      <c r="B307" s="2" t="str">
        <f t="shared" si="23"/>
        <v>1961</v>
      </c>
      <c r="C307" s="8" t="str">
        <f t="shared" si="25"/>
        <v>1PremiumSS5</v>
      </c>
      <c r="D307" s="8" t="str">
        <f t="shared" si="24"/>
        <v>1PremiumSS5</v>
      </c>
      <c r="E307" s="10">
        <v>1</v>
      </c>
      <c r="F307" s="6">
        <v>321</v>
      </c>
      <c r="G307" s="8" t="str">
        <f>VLOOKUP(F307,[1]characters!$A:$C,3,FALSE)</f>
        <v>巌鉄の烈志士 近藤勇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red</v>
      </c>
      <c r="K307" s="8" t="str">
        <f>VLOOKUP(F307,[1]characters!$A:$K,11,FALSE)</f>
        <v>hp</v>
      </c>
      <c r="L307" s="8" t="str">
        <f>VLOOKUP(F307,[1]characters!$A:$M,13,FALSE)</f>
        <v>human</v>
      </c>
      <c r="M307" s="16">
        <f>VLOOKUP(D307,gacha_196_base!A:B,2,FALSE)</f>
        <v>169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6"/>
        <v>1961322</v>
      </c>
      <c r="B308" s="2" t="str">
        <f t="shared" si="23"/>
        <v>1961</v>
      </c>
      <c r="C308" s="8" t="str">
        <f t="shared" si="25"/>
        <v>1PremiumSS4</v>
      </c>
      <c r="D308" s="8" t="str">
        <f t="shared" si="24"/>
        <v>1PremiumSS4</v>
      </c>
      <c r="E308" s="10">
        <v>1</v>
      </c>
      <c r="F308" s="6">
        <v>322</v>
      </c>
      <c r="G308" s="8" t="str">
        <f>VLOOKUP(F308,[1]characters!$A:$C,3,FALSE)</f>
        <v>愛志士 土方歳三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green</v>
      </c>
      <c r="K308" s="8" t="str">
        <f>VLOOKUP(F308,[1]characters!$A:$K,11,FALSE)</f>
        <v>attack</v>
      </c>
      <c r="L308" s="8" t="str">
        <f>VLOOKUP(F308,[1]characters!$A:$M,13,FALSE)</f>
        <v>human</v>
      </c>
      <c r="M308" s="16">
        <f>VLOOKUP(D308,gacha_196_base!A:B,2,FALSE)</f>
        <v>2558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6"/>
        <v>1961323</v>
      </c>
      <c r="B309" s="2" t="str">
        <f t="shared" si="23"/>
        <v>1961</v>
      </c>
      <c r="C309" s="8" t="str">
        <f t="shared" si="25"/>
        <v>1PremiumSS5</v>
      </c>
      <c r="D309" s="8" t="str">
        <f t="shared" si="24"/>
        <v>1PremiumSS5</v>
      </c>
      <c r="E309" s="10">
        <v>1</v>
      </c>
      <c r="F309" s="6">
        <v>323</v>
      </c>
      <c r="G309" s="8" t="str">
        <f>VLOOKUP(F309,[1]characters!$A:$C,3,FALSE)</f>
        <v>流麗の愛志士 土方歳三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green</v>
      </c>
      <c r="K309" s="8" t="str">
        <f>VLOOKUP(F309,[1]characters!$A:$K,11,FALSE)</f>
        <v>attack</v>
      </c>
      <c r="L309" s="8" t="str">
        <f>VLOOKUP(F309,[1]characters!$A:$M,13,FALSE)</f>
        <v>human</v>
      </c>
      <c r="M309" s="16">
        <f>VLOOKUP(D309,gacha_196_base!A:B,2,FALSE)</f>
        <v>169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6"/>
        <v>1961324</v>
      </c>
      <c r="B310" s="2" t="str">
        <f t="shared" si="23"/>
        <v>1961</v>
      </c>
      <c r="C310" s="8" t="str">
        <f t="shared" si="25"/>
        <v>1PremiumSS4</v>
      </c>
      <c r="D310" s="8" t="str">
        <f t="shared" si="24"/>
        <v>1PremiumSS4</v>
      </c>
      <c r="E310" s="10">
        <v>1</v>
      </c>
      <c r="F310" s="6">
        <v>324</v>
      </c>
      <c r="G310" s="8" t="str">
        <f>VLOOKUP(F310,[1]characters!$A:$C,3,FALSE)</f>
        <v>凛志士 沖田総司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blue</v>
      </c>
      <c r="K310" s="8" t="str">
        <f>VLOOKUP(F310,[1]characters!$A:$K,11,FALSE)</f>
        <v>balance</v>
      </c>
      <c r="L310" s="8" t="str">
        <f>VLOOKUP(F310,[1]characters!$A:$M,13,FALSE)</f>
        <v>human</v>
      </c>
      <c r="M310" s="16">
        <f>VLOOKUP(D310,gacha_196_base!A:B,2,FALSE)</f>
        <v>2558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s="14" customFormat="1" ht="21" customHeight="1" thickBot="1">
      <c r="A311" s="7" t="str">
        <f t="shared" si="26"/>
        <v>1961325</v>
      </c>
      <c r="B311" s="2" t="str">
        <f t="shared" si="23"/>
        <v>1961</v>
      </c>
      <c r="C311" s="8" t="str">
        <f t="shared" si="25"/>
        <v>1PremiumSS5</v>
      </c>
      <c r="D311" s="8" t="str">
        <f t="shared" si="24"/>
        <v>1PremiumSS5</v>
      </c>
      <c r="E311" s="10">
        <v>1</v>
      </c>
      <c r="F311" s="6">
        <v>325</v>
      </c>
      <c r="G311" s="8" t="str">
        <f>VLOOKUP(F311,[1]characters!$A:$C,3,FALSE)</f>
        <v>天賦の凛志士 沖田総司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blue</v>
      </c>
      <c r="K311" s="8" t="str">
        <f>VLOOKUP(F311,[1]characters!$A:$K,11,FALSE)</f>
        <v>balance</v>
      </c>
      <c r="L311" s="8" t="str">
        <f>VLOOKUP(F311,[1]characters!$A:$M,13,FALSE)</f>
        <v>human</v>
      </c>
      <c r="M311" s="16">
        <f>VLOOKUP(D311,gacha_196_base!A:B,2,FALSE)</f>
        <v>169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26"/>
        <v>1961326</v>
      </c>
      <c r="B312" s="2" t="str">
        <f t="shared" si="23"/>
        <v>1961</v>
      </c>
      <c r="C312" s="8" t="str">
        <f t="shared" si="25"/>
        <v>1PremiumSS4</v>
      </c>
      <c r="D312" s="8" t="str">
        <f t="shared" si="24"/>
        <v>1PremiumSS4</v>
      </c>
      <c r="E312" s="10">
        <v>1</v>
      </c>
      <c r="F312" s="6">
        <v>326</v>
      </c>
      <c r="G312" s="8" t="str">
        <f>VLOOKUP(F312,[1]characters!$A:$C,3,FALSE)</f>
        <v>妖志士 斎藤一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yellow</v>
      </c>
      <c r="K312" s="8" t="str">
        <f>VLOOKUP(F312,[1]characters!$A:$K,11,FALSE)</f>
        <v>technical</v>
      </c>
      <c r="L312" s="8" t="str">
        <f>VLOOKUP(F312,[1]characters!$A:$M,13,FALSE)</f>
        <v>human</v>
      </c>
      <c r="M312" s="16">
        <f>VLOOKUP(D312,gacha_196_base!A:B,2,FALSE)</f>
        <v>2558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26"/>
        <v>1961327</v>
      </c>
      <c r="B313" s="2" t="str">
        <f t="shared" si="23"/>
        <v>1961</v>
      </c>
      <c r="C313" s="8" t="str">
        <f t="shared" si="25"/>
        <v>1PremiumSS5</v>
      </c>
      <c r="D313" s="8" t="str">
        <f t="shared" si="24"/>
        <v>1PremiumSS5</v>
      </c>
      <c r="E313" s="10">
        <v>1</v>
      </c>
      <c r="F313" s="6">
        <v>327</v>
      </c>
      <c r="G313" s="8" t="str">
        <f>VLOOKUP(F313,[1]characters!$A:$C,3,FALSE)</f>
        <v>千殺の妖志士 斎藤一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yellow</v>
      </c>
      <c r="K313" s="8" t="str">
        <f>VLOOKUP(F313,[1]characters!$A:$K,11,FALSE)</f>
        <v>technical</v>
      </c>
      <c r="L313" s="8" t="str">
        <f>VLOOKUP(F313,[1]characters!$A:$M,13,FALSE)</f>
        <v>human</v>
      </c>
      <c r="M313" s="16">
        <f>VLOOKUP(D313,gacha_196_base!A:B,2,FALSE)</f>
        <v>169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26"/>
        <v>1961380</v>
      </c>
      <c r="B314" s="2" t="str">
        <f t="shared" si="23"/>
        <v>1961</v>
      </c>
      <c r="C314" s="8" t="str">
        <f t="shared" si="25"/>
        <v>1PremiumS3</v>
      </c>
      <c r="D314" s="8" t="str">
        <f t="shared" si="24"/>
        <v>1PremiumS3</v>
      </c>
      <c r="E314" s="10">
        <v>1</v>
      </c>
      <c r="F314" s="6">
        <v>380</v>
      </c>
      <c r="G314" s="8" t="str">
        <f>VLOOKUP(F314,[1]characters!$A:$C,3,FALSE)</f>
        <v>バハムート</v>
      </c>
      <c r="H314" s="8" t="str">
        <f>VLOOKUP(F314,[1]characters!$A:$J,10,FALSE)</f>
        <v>PremiumS</v>
      </c>
      <c r="I314" s="8">
        <f>VLOOKUP(F314,[1]characters!$A:$I,9,FALSE)</f>
        <v>3</v>
      </c>
      <c r="J314" s="8" t="str">
        <f>VLOOKUP(F314,[1]characters!$A:$H,8,FALSE)</f>
        <v>red</v>
      </c>
      <c r="K314" s="8" t="str">
        <f>VLOOKUP(F314,[1]characters!$A:$K,11,FALSE)</f>
        <v>technical</v>
      </c>
      <c r="L314" s="8" t="str">
        <f>VLOOKUP(F314,[1]characters!$A:$M,13,FALSE)</f>
        <v>dragon</v>
      </c>
      <c r="M314" s="16">
        <f>VLOOKUP(D314,gacha_196_base!A:B,2,FALSE)</f>
        <v>11160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26"/>
        <v>1961381</v>
      </c>
      <c r="B315" s="2" t="str">
        <f t="shared" si="23"/>
        <v>1961</v>
      </c>
      <c r="C315" s="8" t="str">
        <f t="shared" si="25"/>
        <v>1PremiumS4</v>
      </c>
      <c r="D315" s="8" t="str">
        <f t="shared" si="24"/>
        <v>1PremiumS4</v>
      </c>
      <c r="E315" s="10">
        <v>1</v>
      </c>
      <c r="F315" s="6">
        <v>381</v>
      </c>
      <c r="G315" s="8" t="str">
        <f>VLOOKUP(F315,[1]characters!$A:$C,3,FALSE)</f>
        <v>肉食の恋火 バハムート</v>
      </c>
      <c r="H315" s="8" t="str">
        <f>VLOOKUP(F315,[1]characters!$A:$J,10,FALSE)</f>
        <v>PremiumS</v>
      </c>
      <c r="I315" s="8">
        <f>VLOOKUP(F315,[1]characters!$A:$I,9,FALSE)</f>
        <v>4</v>
      </c>
      <c r="J315" s="8" t="str">
        <f>VLOOKUP(F315,[1]characters!$A:$H,8,FALSE)</f>
        <v>red</v>
      </c>
      <c r="K315" s="8" t="str">
        <f>VLOOKUP(F315,[1]characters!$A:$K,11,FALSE)</f>
        <v>technical</v>
      </c>
      <c r="L315" s="8" t="str">
        <f>VLOOKUP(F315,[1]characters!$A:$M,13,FALSE)</f>
        <v>dragon</v>
      </c>
      <c r="M315" s="16">
        <f>VLOOKUP(D315,gacha_196_base!A:B,2,FALSE)</f>
        <v>2614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26"/>
        <v>1961382</v>
      </c>
      <c r="B316" s="2" t="str">
        <f t="shared" si="23"/>
        <v>1961</v>
      </c>
      <c r="C316" s="8" t="str">
        <f t="shared" si="25"/>
        <v>1PremiumS5</v>
      </c>
      <c r="D316" s="8" t="str">
        <f t="shared" si="24"/>
        <v>1PremiumS5</v>
      </c>
      <c r="E316" s="10">
        <v>1</v>
      </c>
      <c r="F316" s="6">
        <v>382</v>
      </c>
      <c r="G316" s="8" t="str">
        <f>VLOOKUP(F316,[1]characters!$A:$C,3,FALSE)</f>
        <v>激情の愛炎 バハムート</v>
      </c>
      <c r="H316" s="8" t="str">
        <f>VLOOKUP(F316,[1]characters!$A:$J,10,FALSE)</f>
        <v>PremiumS</v>
      </c>
      <c r="I316" s="8">
        <f>VLOOKUP(F316,[1]characters!$A:$I,9,FALSE)</f>
        <v>5</v>
      </c>
      <c r="J316" s="8" t="str">
        <f>VLOOKUP(F316,[1]characters!$A:$H,8,FALSE)</f>
        <v>red</v>
      </c>
      <c r="K316" s="8" t="str">
        <f>VLOOKUP(F316,[1]characters!$A:$K,11,FALSE)</f>
        <v>technical</v>
      </c>
      <c r="L316" s="8" t="str">
        <f>VLOOKUP(F316,[1]characters!$A:$M,13,FALSE)</f>
        <v>dragon</v>
      </c>
      <c r="M316" s="16">
        <f>VLOOKUP(D316,gacha_196_base!A:B,2,FALSE)</f>
        <v>910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26"/>
        <v>1961383</v>
      </c>
      <c r="B317" s="2" t="str">
        <f t="shared" si="23"/>
        <v>1961</v>
      </c>
      <c r="C317" s="8" t="str">
        <f t="shared" si="25"/>
        <v>1PremiumSS4</v>
      </c>
      <c r="D317" s="8" t="str">
        <f t="shared" si="24"/>
        <v>1PremiumSS4</v>
      </c>
      <c r="E317" s="10">
        <v>1</v>
      </c>
      <c r="F317" s="6">
        <v>383</v>
      </c>
      <c r="G317" s="8" t="str">
        <f>VLOOKUP(F317,[1]characters!$A:$C,3,FALSE)</f>
        <v>酒宴の蟒蛇 ヤマタノオロチ</v>
      </c>
      <c r="H317" s="8" t="str">
        <f>VLOOKUP(F317,[1]characters!$A:$J,10,FALSE)</f>
        <v>PremiumSS</v>
      </c>
      <c r="I317" s="8">
        <f>VLOOKUP(F317,[1]characters!$A:$I,9,FALSE)</f>
        <v>4</v>
      </c>
      <c r="J317" s="8" t="str">
        <f>VLOOKUP(F317,[1]characters!$A:$H,8,FALSE)</f>
        <v>green</v>
      </c>
      <c r="K317" s="8" t="str">
        <f>VLOOKUP(F317,[1]characters!$A:$K,11,FALSE)</f>
        <v>hp</v>
      </c>
      <c r="L317" s="8" t="str">
        <f>VLOOKUP(F317,[1]characters!$A:$M,13,FALSE)</f>
        <v>dragon</v>
      </c>
      <c r="M317" s="16">
        <f>VLOOKUP(D317,gacha_196_base!A:B,2,FALSE)</f>
        <v>2558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26"/>
        <v>1961384</v>
      </c>
      <c r="B318" s="2" t="str">
        <f t="shared" si="23"/>
        <v>1961</v>
      </c>
      <c r="C318" s="8" t="str">
        <f t="shared" si="25"/>
        <v>1PremiumSS5</v>
      </c>
      <c r="D318" s="8" t="str">
        <f t="shared" si="24"/>
        <v>1PremiumSS5</v>
      </c>
      <c r="E318" s="10">
        <v>1</v>
      </c>
      <c r="F318" s="6">
        <v>384</v>
      </c>
      <c r="G318" s="8" t="str">
        <f>VLOOKUP(F318,[1]characters!$A:$C,3,FALSE)</f>
        <v>破国の呑龍 ヤマタノオロチ</v>
      </c>
      <c r="H318" s="8" t="str">
        <f>VLOOKUP(F318,[1]characters!$A:$J,10,FALSE)</f>
        <v>PremiumSS</v>
      </c>
      <c r="I318" s="8">
        <f>VLOOKUP(F318,[1]characters!$A:$I,9,FALSE)</f>
        <v>5</v>
      </c>
      <c r="J318" s="8" t="str">
        <f>VLOOKUP(F318,[1]characters!$A:$H,8,FALSE)</f>
        <v>green</v>
      </c>
      <c r="K318" s="8" t="str">
        <f>VLOOKUP(F318,[1]characters!$A:$K,11,FALSE)</f>
        <v>hp</v>
      </c>
      <c r="L318" s="8" t="str">
        <f>VLOOKUP(F318,[1]characters!$A:$M,13,FALSE)</f>
        <v>dragon</v>
      </c>
      <c r="M318" s="16">
        <f>VLOOKUP(D318,gacha_196_base!A:B,2,FALSE)</f>
        <v>169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26"/>
        <v>1961385</v>
      </c>
      <c r="B319" s="2" t="str">
        <f t="shared" si="23"/>
        <v>1961</v>
      </c>
      <c r="C319" s="8" t="str">
        <f t="shared" si="25"/>
        <v>1PremiumSS4</v>
      </c>
      <c r="D319" s="8" t="str">
        <f t="shared" si="24"/>
        <v>1PremiumSS4</v>
      </c>
      <c r="E319" s="10">
        <v>1</v>
      </c>
      <c r="F319" s="6">
        <v>385</v>
      </c>
      <c r="G319" s="8" t="str">
        <f>VLOOKUP(F319,[1]characters!$A:$C,3,FALSE)</f>
        <v>波烈の出奔 リヴァイアサン</v>
      </c>
      <c r="H319" s="8" t="str">
        <f>VLOOKUP(F319,[1]characters!$A:$J,10,FALSE)</f>
        <v>PremiumSS</v>
      </c>
      <c r="I319" s="8">
        <f>VLOOKUP(F319,[1]characters!$A:$I,9,FALSE)</f>
        <v>4</v>
      </c>
      <c r="J319" s="8" t="str">
        <f>VLOOKUP(F319,[1]characters!$A:$H,8,FALSE)</f>
        <v>blue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VLOOKUP(D319,gacha_196_base!A:B,2,FALSE)</f>
        <v>2558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26"/>
        <v>1961386</v>
      </c>
      <c r="B320" s="2" t="str">
        <f t="shared" si="23"/>
        <v>1961</v>
      </c>
      <c r="C320" s="8" t="str">
        <f t="shared" si="25"/>
        <v>1PremiumSS5</v>
      </c>
      <c r="D320" s="8" t="str">
        <f t="shared" si="24"/>
        <v>1PremiumSS5</v>
      </c>
      <c r="E320" s="10">
        <v>1</v>
      </c>
      <c r="F320" s="6">
        <v>386</v>
      </c>
      <c r="G320" s="8" t="str">
        <f>VLOOKUP(F320,[1]characters!$A:$C,3,FALSE)</f>
        <v>氾乱の海龍 リヴァイアサン</v>
      </c>
      <c r="H320" s="8" t="str">
        <f>VLOOKUP(F320,[1]characters!$A:$J,10,FALSE)</f>
        <v>PremiumSS</v>
      </c>
      <c r="I320" s="8">
        <f>VLOOKUP(F320,[1]characters!$A:$I,9,FALSE)</f>
        <v>5</v>
      </c>
      <c r="J320" s="8" t="str">
        <f>VLOOKUP(F320,[1]characters!$A:$H,8,FALSE)</f>
        <v>blue</v>
      </c>
      <c r="K320" s="8" t="str">
        <f>VLOOKUP(F320,[1]characters!$A:$K,11,FALSE)</f>
        <v>balance</v>
      </c>
      <c r="L320" s="8" t="str">
        <f>VLOOKUP(F320,[1]characters!$A:$M,13,FALSE)</f>
        <v>dragon</v>
      </c>
      <c r="M320" s="16">
        <f>VLOOKUP(D320,gacha_196_base!A:B,2,FALSE)</f>
        <v>169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26"/>
        <v>1961387</v>
      </c>
      <c r="B321" s="2" t="str">
        <f t="shared" si="23"/>
        <v>1961</v>
      </c>
      <c r="C321" s="8" t="str">
        <f t="shared" si="25"/>
        <v>1PremiumS3</v>
      </c>
      <c r="D321" s="8" t="str">
        <f t="shared" si="24"/>
        <v>1PremiumS3</v>
      </c>
      <c r="E321" s="10">
        <v>1</v>
      </c>
      <c r="F321" s="6">
        <v>387</v>
      </c>
      <c r="G321" s="8" t="str">
        <f>VLOOKUP(F321,[1]characters!$A:$C,3,FALSE)</f>
        <v>スフィンクス</v>
      </c>
      <c r="H321" s="8" t="str">
        <f>VLOOKUP(F321,[1]characters!$A:$J,10,FALSE)</f>
        <v>PremiumS</v>
      </c>
      <c r="I321" s="8">
        <f>VLOOKUP(F321,[1]characters!$A:$I,9,FALSE)</f>
        <v>3</v>
      </c>
      <c r="J321" s="8" t="str">
        <f>VLOOKUP(F321,[1]characters!$A:$H,8,FALSE)</f>
        <v>yellow</v>
      </c>
      <c r="K321" s="8" t="str">
        <f>VLOOKUP(F321,[1]characters!$A:$K,11,FALSE)</f>
        <v>heal</v>
      </c>
      <c r="L321" s="8" t="str">
        <f>VLOOKUP(F321,[1]characters!$A:$M,13,FALSE)</f>
        <v>animal</v>
      </c>
      <c r="M321" s="16">
        <f>VLOOKUP(D321,gacha_196_base!A:B,2,FALSE)</f>
        <v>11160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26"/>
        <v>1961388</v>
      </c>
      <c r="B322" s="2" t="str">
        <f t="shared" si="23"/>
        <v>1961</v>
      </c>
      <c r="C322" s="8" t="str">
        <f t="shared" si="25"/>
        <v>1PremiumS4</v>
      </c>
      <c r="D322" s="8" t="str">
        <f t="shared" si="24"/>
        <v>1PremiumS4</v>
      </c>
      <c r="E322" s="10">
        <v>1</v>
      </c>
      <c r="F322" s="6">
        <v>388</v>
      </c>
      <c r="G322" s="8" t="str">
        <f>VLOOKUP(F322,[1]characters!$A:$C,3,FALSE)</f>
        <v>神円の恋姫 スフィンクス</v>
      </c>
      <c r="H322" s="8" t="str">
        <f>VLOOKUP(F322,[1]characters!$A:$J,10,FALSE)</f>
        <v>PremiumS</v>
      </c>
      <c r="I322" s="8">
        <f>VLOOKUP(F322,[1]characters!$A:$I,9,FALSE)</f>
        <v>4</v>
      </c>
      <c r="J322" s="8" t="str">
        <f>VLOOKUP(F322,[1]characters!$A:$H,8,FALSE)</f>
        <v>yellow</v>
      </c>
      <c r="K322" s="8" t="str">
        <f>VLOOKUP(F322,[1]characters!$A:$K,11,FALSE)</f>
        <v>heal</v>
      </c>
      <c r="L322" s="8" t="str">
        <f>VLOOKUP(F322,[1]characters!$A:$M,13,FALSE)</f>
        <v>animal</v>
      </c>
      <c r="M322" s="16">
        <f>VLOOKUP(D322,gacha_196_base!A:B,2,FALSE)</f>
        <v>2614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ht="21" customHeight="1">
      <c r="A323" s="7" t="str">
        <f t="shared" si="26"/>
        <v>1961389</v>
      </c>
      <c r="B323" s="2" t="str">
        <f t="shared" ref="B323:B386" si="27">196&amp;E323</f>
        <v>1961</v>
      </c>
      <c r="C323" s="8" t="str">
        <f t="shared" si="25"/>
        <v>1PremiumS5</v>
      </c>
      <c r="D323" s="8" t="str">
        <f t="shared" si="24"/>
        <v>1PremiumS5</v>
      </c>
      <c r="E323" s="10">
        <v>1</v>
      </c>
      <c r="F323" s="6">
        <v>389</v>
      </c>
      <c r="G323" s="8" t="str">
        <f>VLOOKUP(F323,[1]characters!$A:$C,3,FALSE)</f>
        <v>操神の愛姫 スフィンクス</v>
      </c>
      <c r="H323" s="8" t="str">
        <f>VLOOKUP(F323,[1]characters!$A:$J,10,FALSE)</f>
        <v>PremiumS</v>
      </c>
      <c r="I323" s="8">
        <f>VLOOKUP(F323,[1]characters!$A:$I,9,FALSE)</f>
        <v>5</v>
      </c>
      <c r="J323" s="8" t="str">
        <f>VLOOKUP(F323,[1]characters!$A:$H,8,FALSE)</f>
        <v>yellow</v>
      </c>
      <c r="K323" s="8" t="str">
        <f>VLOOKUP(F323,[1]characters!$A:$K,11,FALSE)</f>
        <v>heal</v>
      </c>
      <c r="L323" s="8" t="str">
        <f>VLOOKUP(F323,[1]characters!$A:$M,13,FALSE)</f>
        <v>animal</v>
      </c>
      <c r="M323" s="16">
        <f>VLOOKUP(D323,gacha_196_base!A:B,2,FALSE)</f>
        <v>910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26"/>
        <v>1961390</v>
      </c>
      <c r="B324" s="2" t="str">
        <f t="shared" si="27"/>
        <v>1961</v>
      </c>
      <c r="C324" s="8" t="str">
        <f t="shared" si="25"/>
        <v>1PremiumSS4</v>
      </c>
      <c r="D324" s="8" t="str">
        <f t="shared" si="24"/>
        <v>1PremiumSS4</v>
      </c>
      <c r="E324" s="10">
        <v>1</v>
      </c>
      <c r="F324" s="6">
        <v>390</v>
      </c>
      <c r="G324" s="8" t="str">
        <f>VLOOKUP(F324,[1]characters!$A:$C,3,FALSE)</f>
        <v>華環の旅客 親指姫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red</v>
      </c>
      <c r="K324" s="8" t="str">
        <f>VLOOKUP(F324,[1]characters!$A:$K,11,FALSE)</f>
        <v>heal</v>
      </c>
      <c r="L324" s="8" t="str">
        <f>VLOOKUP(F324,[1]characters!$A:$M,13,FALSE)</f>
        <v>human</v>
      </c>
      <c r="M324" s="16">
        <f>VLOOKUP(D324,gacha_196_base!A:B,2,FALSE)</f>
        <v>2558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26"/>
        <v>1961391</v>
      </c>
      <c r="B325" s="2" t="str">
        <f t="shared" si="27"/>
        <v>1961</v>
      </c>
      <c r="C325" s="8" t="str">
        <f t="shared" si="25"/>
        <v>1PremiumSS5</v>
      </c>
      <c r="D325" s="8" t="str">
        <f t="shared" si="24"/>
        <v>1PremiumSS5</v>
      </c>
      <c r="E325" s="10">
        <v>1</v>
      </c>
      <c r="F325" s="6">
        <v>391</v>
      </c>
      <c r="G325" s="8" t="str">
        <f>VLOOKUP(F325,[1]characters!$A:$C,3,FALSE)</f>
        <v>燕翼の旅人 親指姫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red</v>
      </c>
      <c r="K325" s="8" t="str">
        <f>VLOOKUP(F325,[1]characters!$A:$K,11,FALSE)</f>
        <v>heal</v>
      </c>
      <c r="L325" s="8" t="str">
        <f>VLOOKUP(F325,[1]characters!$A:$M,13,FALSE)</f>
        <v>human</v>
      </c>
      <c r="M325" s="16">
        <f>VLOOKUP(D325,gacha_196_base!A:B,2,FALSE)</f>
        <v>169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26"/>
        <v>1961392</v>
      </c>
      <c r="B326" s="2" t="str">
        <f t="shared" si="27"/>
        <v>1961</v>
      </c>
      <c r="C326" s="8" t="str">
        <f t="shared" si="25"/>
        <v>1PremiumS3</v>
      </c>
      <c r="D326" s="8" t="str">
        <f t="shared" ref="D326:D389" si="28">E326&amp;H326&amp;I326</f>
        <v>1PremiumS3</v>
      </c>
      <c r="E326" s="10">
        <v>1</v>
      </c>
      <c r="F326" s="6">
        <v>392</v>
      </c>
      <c r="G326" s="8" t="str">
        <f>VLOOKUP(F326,[1]characters!$A:$C,3,FALSE)</f>
        <v>ピーターパン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green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16">
        <f>VLOOKUP(D326,gacha_196_base!A:B,2,FALSE)</f>
        <v>11160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26"/>
        <v>1961393</v>
      </c>
      <c r="B327" s="2" t="str">
        <f t="shared" si="27"/>
        <v>1961</v>
      </c>
      <c r="C327" s="8" t="str">
        <f t="shared" si="25"/>
        <v>1PremiumS4</v>
      </c>
      <c r="D327" s="8" t="str">
        <f t="shared" si="28"/>
        <v>1PremiumS4</v>
      </c>
      <c r="E327" s="10">
        <v>1</v>
      </c>
      <c r="F327" s="6">
        <v>393</v>
      </c>
      <c r="G327" s="8" t="str">
        <f>VLOOKUP(F327,[1]characters!$A:$C,3,FALSE)</f>
        <v>影縫い ピーターパン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green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16">
        <f>VLOOKUP(D327,gacha_196_base!A:B,2,FALSE)</f>
        <v>2614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26"/>
        <v>1961394</v>
      </c>
      <c r="B328" s="2" t="str">
        <f t="shared" si="27"/>
        <v>1961</v>
      </c>
      <c r="C328" s="8" t="str">
        <f t="shared" si="25"/>
        <v>1PremiumS5</v>
      </c>
      <c r="D328" s="8" t="str">
        <f t="shared" si="28"/>
        <v>1PremiumS5</v>
      </c>
      <c r="E328" s="10">
        <v>1</v>
      </c>
      <c r="F328" s="6">
        <v>394</v>
      </c>
      <c r="G328" s="8" t="str">
        <f>VLOOKUP(F328,[1]characters!$A:$C,3,FALSE)</f>
        <v>影求の悪童 ピーターパン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green</v>
      </c>
      <c r="K328" s="8" t="str">
        <f>VLOOKUP(F328,[1]characters!$A:$K,11,FALSE)</f>
        <v>attack</v>
      </c>
      <c r="L328" s="8" t="str">
        <f>VLOOKUP(F328,[1]characters!$A:$M,13,FALSE)</f>
        <v>human</v>
      </c>
      <c r="M328" s="16">
        <f>VLOOKUP(D328,gacha_196_base!A:B,2,FALSE)</f>
        <v>910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26"/>
        <v>1961395</v>
      </c>
      <c r="B329" s="2" t="str">
        <f t="shared" si="27"/>
        <v>1961</v>
      </c>
      <c r="C329" s="8" t="str">
        <f t="shared" si="25"/>
        <v>1PremiumS3</v>
      </c>
      <c r="D329" s="8" t="str">
        <f t="shared" si="28"/>
        <v>1PremiumS3</v>
      </c>
      <c r="E329" s="10">
        <v>1</v>
      </c>
      <c r="F329" s="6">
        <v>395</v>
      </c>
      <c r="G329" s="8" t="str">
        <f>VLOOKUP(F329,[1]characters!$A:$C,3,FALSE)</f>
        <v>乙姫</v>
      </c>
      <c r="H329" s="8" t="str">
        <f>VLOOKUP(F329,[1]characters!$A:$J,10,FALSE)</f>
        <v>PremiumS</v>
      </c>
      <c r="I329" s="8">
        <f>VLOOKUP(F329,[1]characters!$A:$I,9,FALSE)</f>
        <v>3</v>
      </c>
      <c r="J329" s="8" t="str">
        <f>VLOOKUP(F329,[1]characters!$A:$H,8,FALSE)</f>
        <v>blue</v>
      </c>
      <c r="K329" s="8" t="str">
        <f>VLOOKUP(F329,[1]characters!$A:$K,11,FALSE)</f>
        <v>hp</v>
      </c>
      <c r="L329" s="8" t="str">
        <f>VLOOKUP(F329,[1]characters!$A:$M,13,FALSE)</f>
        <v>human</v>
      </c>
      <c r="M329" s="16">
        <f>VLOOKUP(D329,gacha_196_base!A:B,2,FALSE)</f>
        <v>11160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26"/>
        <v>1961396</v>
      </c>
      <c r="B330" s="2" t="str">
        <f t="shared" si="27"/>
        <v>1961</v>
      </c>
      <c r="C330" s="8" t="str">
        <f t="shared" si="25"/>
        <v>1PremiumS4</v>
      </c>
      <c r="D330" s="8" t="str">
        <f t="shared" si="28"/>
        <v>1PremiumS4</v>
      </c>
      <c r="E330" s="10">
        <v>1</v>
      </c>
      <c r="F330" s="6">
        <v>396</v>
      </c>
      <c r="G330" s="8" t="str">
        <f>VLOOKUP(F330,[1]characters!$A:$C,3,FALSE)</f>
        <v>竜宮の水雷 乙姫</v>
      </c>
      <c r="H330" s="8" t="str">
        <f>VLOOKUP(F330,[1]characters!$A:$J,10,FALSE)</f>
        <v>PremiumS</v>
      </c>
      <c r="I330" s="8">
        <f>VLOOKUP(F330,[1]characters!$A:$I,9,FALSE)</f>
        <v>4</v>
      </c>
      <c r="J330" s="8" t="str">
        <f>VLOOKUP(F330,[1]characters!$A:$H,8,FALSE)</f>
        <v>blue</v>
      </c>
      <c r="K330" s="8" t="str">
        <f>VLOOKUP(F330,[1]characters!$A:$K,11,FALSE)</f>
        <v>hp</v>
      </c>
      <c r="L330" s="8" t="str">
        <f>VLOOKUP(F330,[1]characters!$A:$M,13,FALSE)</f>
        <v>human</v>
      </c>
      <c r="M330" s="16">
        <f>VLOOKUP(D330,gacha_196_base!A:B,2,FALSE)</f>
        <v>2614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26"/>
        <v>1961397</v>
      </c>
      <c r="B331" s="2" t="str">
        <f t="shared" si="27"/>
        <v>1961</v>
      </c>
      <c r="C331" s="8" t="str">
        <f t="shared" si="25"/>
        <v>1PremiumS5</v>
      </c>
      <c r="D331" s="8" t="str">
        <f t="shared" si="28"/>
        <v>1PremiumS5</v>
      </c>
      <c r="E331" s="10">
        <v>1</v>
      </c>
      <c r="F331" s="6">
        <v>397</v>
      </c>
      <c r="G331" s="8" t="str">
        <f>VLOOKUP(F331,[1]characters!$A:$C,3,FALSE)</f>
        <v>禁断の追箱 乙姫</v>
      </c>
      <c r="H331" s="8" t="str">
        <f>VLOOKUP(F331,[1]characters!$A:$J,10,FALSE)</f>
        <v>PremiumS</v>
      </c>
      <c r="I331" s="8">
        <f>VLOOKUP(F331,[1]characters!$A:$I,9,FALSE)</f>
        <v>5</v>
      </c>
      <c r="J331" s="8" t="str">
        <f>VLOOKUP(F331,[1]characters!$A:$H,8,FALSE)</f>
        <v>blue</v>
      </c>
      <c r="K331" s="8" t="str">
        <f>VLOOKUP(F331,[1]characters!$A:$K,11,FALSE)</f>
        <v>hp</v>
      </c>
      <c r="L331" s="8" t="str">
        <f>VLOOKUP(F331,[1]characters!$A:$M,13,FALSE)</f>
        <v>human</v>
      </c>
      <c r="M331" s="16">
        <f>VLOOKUP(D331,gacha_196_base!A:B,2,FALSE)</f>
        <v>910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26"/>
        <v>1961398</v>
      </c>
      <c r="B332" s="2" t="str">
        <f t="shared" si="27"/>
        <v>1961</v>
      </c>
      <c r="C332" s="8" t="str">
        <f t="shared" si="25"/>
        <v>1PremiumSS4</v>
      </c>
      <c r="D332" s="8" t="str">
        <f t="shared" si="28"/>
        <v>1PremiumSS4</v>
      </c>
      <c r="E332" s="10">
        <v>1</v>
      </c>
      <c r="F332" s="6">
        <v>398</v>
      </c>
      <c r="G332" s="8" t="str">
        <f>VLOOKUP(F332,[1]characters!$A:$C,3,FALSE)</f>
        <v>ヘンゼル＆グレーテル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yellow</v>
      </c>
      <c r="K332" s="8" t="str">
        <f>VLOOKUP(F332,[1]characters!$A:$K,11,FALSE)</f>
        <v>balance</v>
      </c>
      <c r="L332" s="8" t="str">
        <f>VLOOKUP(F332,[1]characters!$A:$M,13,FALSE)</f>
        <v>human</v>
      </c>
      <c r="M332" s="16">
        <f>VLOOKUP(D332,gacha_196_base!A:B,2,FALSE)</f>
        <v>2558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26"/>
        <v>1961399</v>
      </c>
      <c r="B333" s="2" t="str">
        <f t="shared" si="27"/>
        <v>1961</v>
      </c>
      <c r="C333" s="8" t="str">
        <f t="shared" si="25"/>
        <v>1PremiumSS5</v>
      </c>
      <c r="D333" s="8" t="str">
        <f t="shared" si="28"/>
        <v>1PremiumSS5</v>
      </c>
      <c r="E333" s="10">
        <v>1</v>
      </c>
      <c r="F333" s="6">
        <v>399</v>
      </c>
      <c r="G333" s="8" t="str">
        <f>VLOOKUP(F333,[1]characters!$A:$C,3,FALSE)</f>
        <v>信愛の兄妹 ヘンゼル＆グレーテル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yellow</v>
      </c>
      <c r="K333" s="8" t="str">
        <f>VLOOKUP(F333,[1]characters!$A:$K,11,FALSE)</f>
        <v>balance</v>
      </c>
      <c r="L333" s="8" t="str">
        <f>VLOOKUP(F333,[1]characters!$A:$M,13,FALSE)</f>
        <v>human</v>
      </c>
      <c r="M333" s="16">
        <f>VLOOKUP(D333,gacha_196_base!A:B,2,FALSE)</f>
        <v>169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26"/>
        <v>1961400</v>
      </c>
      <c r="B334" s="2" t="str">
        <f t="shared" si="27"/>
        <v>1961</v>
      </c>
      <c r="C334" s="8" t="str">
        <f t="shared" si="25"/>
        <v>1PremiumS3</v>
      </c>
      <c r="D334" s="8" t="str">
        <f t="shared" si="28"/>
        <v>1PremiumS3</v>
      </c>
      <c r="E334" s="10">
        <v>1</v>
      </c>
      <c r="F334" s="6">
        <v>400</v>
      </c>
      <c r="G334" s="8" t="str">
        <f>VLOOKUP(F334,[1]characters!$A:$C,3,FALSE)</f>
        <v>フェンリル</v>
      </c>
      <c r="H334" s="8" t="str">
        <f>VLOOKUP(F334,[1]characters!$A:$J,10,FALSE)</f>
        <v>PremiumS</v>
      </c>
      <c r="I334" s="8">
        <f>VLOOKUP(F334,[1]characters!$A:$I,9,FALSE)</f>
        <v>3</v>
      </c>
      <c r="J334" s="8" t="str">
        <f>VLOOKUP(F334,[1]characters!$A:$H,8,FALSE)</f>
        <v>red</v>
      </c>
      <c r="K334" s="8" t="str">
        <f>VLOOKUP(F334,[1]characters!$A:$K,11,FALSE)</f>
        <v>attack</v>
      </c>
      <c r="L334" s="8" t="str">
        <f>VLOOKUP(F334,[1]characters!$A:$M,13,FALSE)</f>
        <v>animal</v>
      </c>
      <c r="M334" s="16">
        <f>VLOOKUP(D334,gacha_196_base!A:B,2,FALSE)</f>
        <v>11160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26"/>
        <v>1961401</v>
      </c>
      <c r="B335" s="2" t="str">
        <f t="shared" si="27"/>
        <v>1961</v>
      </c>
      <c r="C335" s="8" t="str">
        <f t="shared" si="25"/>
        <v>1PremiumS4</v>
      </c>
      <c r="D335" s="8" t="str">
        <f t="shared" si="28"/>
        <v>1PremiumS4</v>
      </c>
      <c r="E335" s="10">
        <v>1</v>
      </c>
      <c r="F335" s="6">
        <v>401</v>
      </c>
      <c r="G335" s="8" t="str">
        <f>VLOOKUP(F335,[1]characters!$A:$C,3,FALSE)</f>
        <v>紅銀の孤狼 フェンリル</v>
      </c>
      <c r="H335" s="8" t="str">
        <f>VLOOKUP(F335,[1]characters!$A:$J,10,FALSE)</f>
        <v>PremiumS</v>
      </c>
      <c r="I335" s="8">
        <f>VLOOKUP(F335,[1]characters!$A:$I,9,FALSE)</f>
        <v>4</v>
      </c>
      <c r="J335" s="8" t="str">
        <f>VLOOKUP(F335,[1]characters!$A:$H,8,FALSE)</f>
        <v>red</v>
      </c>
      <c r="K335" s="8" t="str">
        <f>VLOOKUP(F335,[1]characters!$A:$K,11,FALSE)</f>
        <v>attack</v>
      </c>
      <c r="L335" s="8" t="str">
        <f>VLOOKUP(F335,[1]characters!$A:$M,13,FALSE)</f>
        <v>animal</v>
      </c>
      <c r="M335" s="16">
        <f>VLOOKUP(D335,gacha_196_base!A:B,2,FALSE)</f>
        <v>2614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26"/>
        <v>1961402</v>
      </c>
      <c r="B336" s="2" t="str">
        <f t="shared" si="27"/>
        <v>1961</v>
      </c>
      <c r="C336" s="8" t="str">
        <f t="shared" si="25"/>
        <v>1PremiumS5</v>
      </c>
      <c r="D336" s="8" t="str">
        <f t="shared" si="28"/>
        <v>1PremiumS5</v>
      </c>
      <c r="E336" s="10">
        <v>1</v>
      </c>
      <c r="F336" s="6">
        <v>402</v>
      </c>
      <c r="G336" s="8" t="str">
        <f>VLOOKUP(F336,[1]characters!$A:$C,3,FALSE)</f>
        <v>天災の神狼 フェンリル</v>
      </c>
      <c r="H336" s="8" t="str">
        <f>VLOOKUP(F336,[1]characters!$A:$J,10,FALSE)</f>
        <v>PremiumS</v>
      </c>
      <c r="I336" s="8">
        <f>VLOOKUP(F336,[1]characters!$A:$I,9,FALSE)</f>
        <v>5</v>
      </c>
      <c r="J336" s="8" t="str">
        <f>VLOOKUP(F336,[1]characters!$A:$H,8,FALSE)</f>
        <v>red</v>
      </c>
      <c r="K336" s="8" t="str">
        <f>VLOOKUP(F336,[1]characters!$A:$K,11,FALSE)</f>
        <v>attack</v>
      </c>
      <c r="L336" s="8" t="str">
        <f>VLOOKUP(F336,[1]characters!$A:$M,13,FALSE)</f>
        <v>animal</v>
      </c>
      <c r="M336" s="16">
        <f>VLOOKUP(D336,gacha_196_base!A:B,2,FALSE)</f>
        <v>910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26"/>
        <v>1961403</v>
      </c>
      <c r="B337" s="2" t="str">
        <f t="shared" si="27"/>
        <v>1961</v>
      </c>
      <c r="C337" s="8" t="str">
        <f t="shared" si="25"/>
        <v>1PremiumSS4</v>
      </c>
      <c r="D337" s="8" t="str">
        <f t="shared" si="28"/>
        <v>1PremiumSS4</v>
      </c>
      <c r="E337" s="10">
        <v>1</v>
      </c>
      <c r="F337" s="6">
        <v>403</v>
      </c>
      <c r="G337" s="8" t="str">
        <f>VLOOKUP(F337,[1]characters!$A:$C,3,FALSE)</f>
        <v>静撃の翠眼 八咫烏</v>
      </c>
      <c r="H337" s="8" t="str">
        <f>VLOOKUP(F337,[1]characters!$A:$J,10,FALSE)</f>
        <v>PremiumSS</v>
      </c>
      <c r="I337" s="8">
        <f>VLOOKUP(F337,[1]characters!$A:$I,9,FALSE)</f>
        <v>4</v>
      </c>
      <c r="J337" s="8" t="str">
        <f>VLOOKUP(F337,[1]characters!$A:$H,8,FALSE)</f>
        <v>green</v>
      </c>
      <c r="K337" s="8" t="str">
        <f>VLOOKUP(F337,[1]characters!$A:$K,11,FALSE)</f>
        <v>balance</v>
      </c>
      <c r="L337" s="8" t="str">
        <f>VLOOKUP(F337,[1]characters!$A:$M,13,FALSE)</f>
        <v>animal</v>
      </c>
      <c r="M337" s="16">
        <f>VLOOKUP(D337,gacha_196_base!A:B,2,FALSE)</f>
        <v>2558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26"/>
        <v>1961404</v>
      </c>
      <c r="B338" s="2" t="str">
        <f t="shared" si="27"/>
        <v>1961</v>
      </c>
      <c r="C338" s="8" t="str">
        <f t="shared" si="25"/>
        <v>1PremiumSS5</v>
      </c>
      <c r="D338" s="8" t="str">
        <f t="shared" si="28"/>
        <v>1PremiumSS5</v>
      </c>
      <c r="E338" s="10">
        <v>1</v>
      </c>
      <c r="F338" s="6">
        <v>404</v>
      </c>
      <c r="G338" s="8" t="str">
        <f>VLOOKUP(F338,[1]characters!$A:$C,3,FALSE)</f>
        <v>空襲の神眼 八咫烏</v>
      </c>
      <c r="H338" s="8" t="str">
        <f>VLOOKUP(F338,[1]characters!$A:$J,10,FALSE)</f>
        <v>PremiumSS</v>
      </c>
      <c r="I338" s="8">
        <f>VLOOKUP(F338,[1]characters!$A:$I,9,FALSE)</f>
        <v>5</v>
      </c>
      <c r="J338" s="8" t="str">
        <f>VLOOKUP(F338,[1]characters!$A:$H,8,FALSE)</f>
        <v>green</v>
      </c>
      <c r="K338" s="8" t="str">
        <f>VLOOKUP(F338,[1]characters!$A:$K,11,FALSE)</f>
        <v>balance</v>
      </c>
      <c r="L338" s="8" t="str">
        <f>VLOOKUP(F338,[1]characters!$A:$M,13,FALSE)</f>
        <v>animal</v>
      </c>
      <c r="M338" s="16">
        <f>VLOOKUP(D338,gacha_196_base!A:B,2,FALSE)</f>
        <v>169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26"/>
        <v>1961405</v>
      </c>
      <c r="B339" s="2" t="str">
        <f t="shared" si="27"/>
        <v>1961</v>
      </c>
      <c r="C339" s="8" t="str">
        <f t="shared" si="25"/>
        <v>1PremiumS3</v>
      </c>
      <c r="D339" s="8" t="str">
        <f t="shared" si="28"/>
        <v>1PremiumS3</v>
      </c>
      <c r="E339" s="10">
        <v>1</v>
      </c>
      <c r="F339" s="6">
        <v>405</v>
      </c>
      <c r="G339" s="8" t="str">
        <f>VLOOKUP(F339,[1]characters!$A:$C,3,FALSE)</f>
        <v>エキドナ</v>
      </c>
      <c r="H339" s="8" t="str">
        <f>VLOOKUP(F339,[1]characters!$A:$J,10,FALSE)</f>
        <v>PremiumS</v>
      </c>
      <c r="I339" s="8">
        <f>VLOOKUP(F339,[1]characters!$A:$I,9,FALSE)</f>
        <v>3</v>
      </c>
      <c r="J339" s="8" t="str">
        <f>VLOOKUP(F339,[1]characters!$A:$H,8,FALSE)</f>
        <v>blue</v>
      </c>
      <c r="K339" s="8" t="str">
        <f>VLOOKUP(F339,[1]characters!$A:$K,11,FALSE)</f>
        <v>technical</v>
      </c>
      <c r="L339" s="8" t="str">
        <f>VLOOKUP(F339,[1]characters!$A:$M,13,FALSE)</f>
        <v>animal</v>
      </c>
      <c r="M339" s="16">
        <f>VLOOKUP(D339,gacha_196_base!A:B,2,FALSE)</f>
        <v>11160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26"/>
        <v>1961406</v>
      </c>
      <c r="B340" s="2" t="str">
        <f t="shared" si="27"/>
        <v>1961</v>
      </c>
      <c r="C340" s="8" t="str">
        <f t="shared" si="25"/>
        <v>1PremiumS4</v>
      </c>
      <c r="D340" s="8" t="str">
        <f t="shared" si="28"/>
        <v>1PremiumS4</v>
      </c>
      <c r="E340" s="10">
        <v>1</v>
      </c>
      <c r="F340" s="6">
        <v>406</v>
      </c>
      <c r="G340" s="8" t="str">
        <f>VLOOKUP(F340,[1]characters!$A:$C,3,FALSE)</f>
        <v>美笑の蒼蛇 エキドナ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technical</v>
      </c>
      <c r="L340" s="8" t="str">
        <f>VLOOKUP(F340,[1]characters!$A:$M,13,FALSE)</f>
        <v>animal</v>
      </c>
      <c r="M340" s="16">
        <f>VLOOKUP(D340,gacha_196_base!A:B,2,FALSE)</f>
        <v>2614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26"/>
        <v>1961407</v>
      </c>
      <c r="B341" s="2" t="str">
        <f t="shared" si="27"/>
        <v>1961</v>
      </c>
      <c r="C341" s="8" t="str">
        <f t="shared" si="25"/>
        <v>1PremiumS5</v>
      </c>
      <c r="D341" s="8" t="str">
        <f t="shared" si="28"/>
        <v>1PremiumS5</v>
      </c>
      <c r="E341" s="10">
        <v>1</v>
      </c>
      <c r="F341" s="6">
        <v>407</v>
      </c>
      <c r="G341" s="8" t="str">
        <f>VLOOKUP(F341,[1]characters!$A:$C,3,FALSE)</f>
        <v>蠱惑の飛刀 エキドナ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technical</v>
      </c>
      <c r="L341" s="8" t="str">
        <f>VLOOKUP(F341,[1]characters!$A:$M,13,FALSE)</f>
        <v>animal</v>
      </c>
      <c r="M341" s="16">
        <f>VLOOKUP(D341,gacha_196_base!A:B,2,FALSE)</f>
        <v>910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26"/>
        <v>1961408</v>
      </c>
      <c r="B342" s="2" t="str">
        <f t="shared" si="27"/>
        <v>1961</v>
      </c>
      <c r="C342" s="8" t="str">
        <f t="shared" si="25"/>
        <v>1PremiumSS4</v>
      </c>
      <c r="D342" s="8" t="str">
        <f t="shared" si="28"/>
        <v>1PremiumSS4</v>
      </c>
      <c r="E342" s="10">
        <v>1</v>
      </c>
      <c r="F342" s="6">
        <v>408</v>
      </c>
      <c r="G342" s="8" t="str">
        <f>VLOOKUP(F342,[1]characters!$A:$C,3,FALSE)</f>
        <v>皇魔 アスタロト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attack</v>
      </c>
      <c r="L342" s="8" t="str">
        <f>VLOOKUP(F342,[1]characters!$A:$M,13,FALSE)</f>
        <v>god</v>
      </c>
      <c r="M342" s="16">
        <f>VLOOKUP(D342,gacha_196_base!A:B,2,FALSE)</f>
        <v>2558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26"/>
        <v>1961409</v>
      </c>
      <c r="B343" s="2" t="str">
        <f t="shared" si="27"/>
        <v>1961</v>
      </c>
      <c r="C343" s="8" t="str">
        <f t="shared" si="25"/>
        <v>1PremiumSS5</v>
      </c>
      <c r="D343" s="8" t="str">
        <f t="shared" si="28"/>
        <v>1PremiumSS5</v>
      </c>
      <c r="E343" s="10">
        <v>1</v>
      </c>
      <c r="F343" s="6">
        <v>409</v>
      </c>
      <c r="G343" s="8" t="str">
        <f>VLOOKUP(F343,[1]characters!$A:$C,3,FALSE)</f>
        <v>天眼の皇貴魔 アスタロト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attack</v>
      </c>
      <c r="L343" s="8" t="str">
        <f>VLOOKUP(F343,[1]characters!$A:$M,13,FALSE)</f>
        <v>god</v>
      </c>
      <c r="M343" s="16">
        <f>VLOOKUP(D343,gacha_196_base!A:B,2,FALSE)</f>
        <v>169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26"/>
        <v>1961434</v>
      </c>
      <c r="B344" s="2" t="str">
        <f t="shared" si="27"/>
        <v>1961</v>
      </c>
      <c r="C344" s="8" t="str">
        <f t="shared" si="25"/>
        <v>1PremiumSS4</v>
      </c>
      <c r="D344" s="8" t="str">
        <f t="shared" si="28"/>
        <v>1PremiumSS4</v>
      </c>
      <c r="E344" s="10">
        <v>1</v>
      </c>
      <c r="F344" s="6">
        <v>434</v>
      </c>
      <c r="G344" s="8" t="str">
        <f>VLOOKUP(F344,[1]characters!$A:$C,3,FALSE)</f>
        <v>D.R.T.H.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16">
        <f>VLOOKUP(D344,gacha_196_base!A:B,2,FALSE)</f>
        <v>2558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26"/>
        <v>1961435</v>
      </c>
      <c r="B345" s="2" t="str">
        <f t="shared" si="27"/>
        <v>1961</v>
      </c>
      <c r="C345" s="8" t="str">
        <f t="shared" si="25"/>
        <v>1PremiumSS5</v>
      </c>
      <c r="D345" s="8" t="str">
        <f t="shared" si="28"/>
        <v>1PremiumSS5</v>
      </c>
      <c r="E345" s="10">
        <v>1</v>
      </c>
      <c r="F345" s="6">
        <v>435</v>
      </c>
      <c r="G345" s="8" t="str">
        <f>VLOOKUP(F345,[1]characters!$A:$C,3,FALSE)</f>
        <v>曝弾の密偵 D.R.T.H.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VLOOKUP(D345,gacha_196_base!A:B,2,FALSE)</f>
        <v>169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26"/>
        <v>1961436</v>
      </c>
      <c r="B346" s="2" t="str">
        <f t="shared" si="27"/>
        <v>1961</v>
      </c>
      <c r="C346" s="8" t="str">
        <f t="shared" si="25"/>
        <v>1PremiumS3</v>
      </c>
      <c r="D346" s="8" t="str">
        <f t="shared" si="28"/>
        <v>1PremiumS3</v>
      </c>
      <c r="E346" s="10">
        <v>1</v>
      </c>
      <c r="F346" s="6">
        <v>436</v>
      </c>
      <c r="G346" s="8" t="str">
        <f>VLOOKUP(F346,[1]characters!$A:$C,3,FALSE)</f>
        <v>カカシ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green</v>
      </c>
      <c r="K346" s="8" t="str">
        <f>VLOOKUP(F346,[1]characters!$A:$K,11,FALSE)</f>
        <v>technical</v>
      </c>
      <c r="L346" s="8" t="str">
        <f>VLOOKUP(F346,[1]characters!$A:$M,13,FALSE)</f>
        <v>human</v>
      </c>
      <c r="M346" s="16">
        <f>VLOOKUP(D346,gacha_196_base!A:B,2,FALSE)</f>
        <v>11160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26"/>
        <v>1961437</v>
      </c>
      <c r="B347" s="2" t="str">
        <f t="shared" si="27"/>
        <v>1961</v>
      </c>
      <c r="C347" s="8" t="str">
        <f t="shared" si="25"/>
        <v>1PremiumS4</v>
      </c>
      <c r="D347" s="8" t="str">
        <f t="shared" si="28"/>
        <v>1PremiumS4</v>
      </c>
      <c r="E347" s="10">
        <v>1</v>
      </c>
      <c r="F347" s="6">
        <v>437</v>
      </c>
      <c r="G347" s="8" t="str">
        <f>VLOOKUP(F347,[1]characters!$A:$C,3,FALSE)</f>
        <v>忘却者 カカシ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green</v>
      </c>
      <c r="K347" s="8" t="str">
        <f>VLOOKUP(F347,[1]characters!$A:$K,11,FALSE)</f>
        <v>technical</v>
      </c>
      <c r="L347" s="8" t="str">
        <f>VLOOKUP(F347,[1]characters!$A:$M,13,FALSE)</f>
        <v>human</v>
      </c>
      <c r="M347" s="16">
        <f>VLOOKUP(D347,gacha_196_base!A:B,2,FALSE)</f>
        <v>2614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26"/>
        <v>1961438</v>
      </c>
      <c r="B348" s="2" t="str">
        <f t="shared" si="27"/>
        <v>1961</v>
      </c>
      <c r="C348" s="8" t="str">
        <f t="shared" si="25"/>
        <v>1PremiumS5</v>
      </c>
      <c r="D348" s="8" t="str">
        <f t="shared" si="28"/>
        <v>1PremiumS5</v>
      </c>
      <c r="E348" s="10">
        <v>1</v>
      </c>
      <c r="F348" s="6">
        <v>438</v>
      </c>
      <c r="G348" s="8" t="str">
        <f>VLOOKUP(F348,[1]characters!$A:$C,3,FALSE)</f>
        <v>記憶の奪還 カカシ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green</v>
      </c>
      <c r="K348" s="8" t="str">
        <f>VLOOKUP(F348,[1]characters!$A:$K,11,FALSE)</f>
        <v>technical</v>
      </c>
      <c r="L348" s="8" t="str">
        <f>VLOOKUP(F348,[1]characters!$A:$M,13,FALSE)</f>
        <v>human</v>
      </c>
      <c r="M348" s="16">
        <f>VLOOKUP(D348,gacha_196_base!A:B,2,FALSE)</f>
        <v>910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26"/>
        <v>1961439</v>
      </c>
      <c r="B349" s="2" t="str">
        <f t="shared" si="27"/>
        <v>1961</v>
      </c>
      <c r="C349" s="8" t="str">
        <f t="shared" si="25"/>
        <v>1PremiumS3</v>
      </c>
      <c r="D349" s="8" t="str">
        <f t="shared" si="28"/>
        <v>1PremiumS3</v>
      </c>
      <c r="E349" s="10">
        <v>1</v>
      </c>
      <c r="F349" s="6">
        <v>439</v>
      </c>
      <c r="G349" s="8" t="str">
        <f>VLOOKUP(F349,[1]characters!$A:$C,3,FALSE)</f>
        <v>ブリキロガー</v>
      </c>
      <c r="H349" s="8" t="str">
        <f>VLOOKUP(F349,[1]characters!$A:$J,10,FALSE)</f>
        <v>PremiumS</v>
      </c>
      <c r="I349" s="8">
        <f>VLOOKUP(F349,[1]characters!$A:$I,9,FALSE)</f>
        <v>3</v>
      </c>
      <c r="J349" s="8" t="str">
        <f>VLOOKUP(F349,[1]characters!$A:$H,8,FALSE)</f>
        <v>blue</v>
      </c>
      <c r="K349" s="8" t="str">
        <f>VLOOKUP(F349,[1]characters!$A:$K,11,FALSE)</f>
        <v>attack</v>
      </c>
      <c r="L349" s="8" t="str">
        <f>VLOOKUP(F349,[1]characters!$A:$M,13,FALSE)</f>
        <v>machine</v>
      </c>
      <c r="M349" s="16">
        <f>VLOOKUP(D349,gacha_196_base!A:B,2,FALSE)</f>
        <v>11160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26"/>
        <v>1961440</v>
      </c>
      <c r="B350" s="2" t="str">
        <f t="shared" si="27"/>
        <v>1961</v>
      </c>
      <c r="C350" s="8" t="str">
        <f t="shared" si="25"/>
        <v>1PremiumS4</v>
      </c>
      <c r="D350" s="8" t="str">
        <f t="shared" si="28"/>
        <v>1PremiumS4</v>
      </c>
      <c r="E350" s="10">
        <v>1</v>
      </c>
      <c r="F350" s="6">
        <v>440</v>
      </c>
      <c r="G350" s="8" t="str">
        <f>VLOOKUP(F350,[1]characters!$A:$C,3,FALSE)</f>
        <v>改良型 ブリキロガー</v>
      </c>
      <c r="H350" s="8" t="str">
        <f>VLOOKUP(F350,[1]characters!$A:$J,10,FALSE)</f>
        <v>PremiumS</v>
      </c>
      <c r="I350" s="8">
        <f>VLOOKUP(F350,[1]characters!$A:$I,9,FALSE)</f>
        <v>4</v>
      </c>
      <c r="J350" s="8" t="str">
        <f>VLOOKUP(F350,[1]characters!$A:$H,8,FALSE)</f>
        <v>blue</v>
      </c>
      <c r="K350" s="8" t="str">
        <f>VLOOKUP(F350,[1]characters!$A:$K,11,FALSE)</f>
        <v>attack</v>
      </c>
      <c r="L350" s="8" t="str">
        <f>VLOOKUP(F350,[1]characters!$A:$M,13,FALSE)</f>
        <v>machine</v>
      </c>
      <c r="M350" s="16">
        <f>VLOOKUP(D350,gacha_196_base!A:B,2,FALSE)</f>
        <v>2614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26"/>
        <v>1961441</v>
      </c>
      <c r="B351" s="2" t="str">
        <f t="shared" si="27"/>
        <v>1961</v>
      </c>
      <c r="C351" s="8" t="str">
        <f t="shared" si="25"/>
        <v>1PremiumS5</v>
      </c>
      <c r="D351" s="8" t="str">
        <f t="shared" si="28"/>
        <v>1PremiumS5</v>
      </c>
      <c r="E351" s="10">
        <v>1</v>
      </c>
      <c r="F351" s="6">
        <v>441</v>
      </c>
      <c r="G351" s="8" t="str">
        <f>VLOOKUP(F351,[1]characters!$A:$C,3,FALSE)</f>
        <v>求心の錻装 ブリキロガー</v>
      </c>
      <c r="H351" s="8" t="str">
        <f>VLOOKUP(F351,[1]characters!$A:$J,10,FALSE)</f>
        <v>PremiumS</v>
      </c>
      <c r="I351" s="8">
        <f>VLOOKUP(F351,[1]characters!$A:$I,9,FALSE)</f>
        <v>5</v>
      </c>
      <c r="J351" s="8" t="str">
        <f>VLOOKUP(F351,[1]characters!$A:$H,8,FALSE)</f>
        <v>blue</v>
      </c>
      <c r="K351" s="8" t="str">
        <f>VLOOKUP(F351,[1]characters!$A:$K,11,FALSE)</f>
        <v>attack</v>
      </c>
      <c r="L351" s="8" t="str">
        <f>VLOOKUP(F351,[1]characters!$A:$M,13,FALSE)</f>
        <v>machine</v>
      </c>
      <c r="M351" s="16">
        <f>VLOOKUP(D351,gacha_196_base!A:B,2,FALSE)</f>
        <v>910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26"/>
        <v>1961442</v>
      </c>
      <c r="B352" s="2" t="str">
        <f t="shared" si="27"/>
        <v>1961</v>
      </c>
      <c r="C352" s="8" t="str">
        <f t="shared" si="25"/>
        <v>1PremiumSS4</v>
      </c>
      <c r="D352" s="8" t="str">
        <f t="shared" si="28"/>
        <v>1PremiumSS4</v>
      </c>
      <c r="E352" s="10">
        <v>1</v>
      </c>
      <c r="F352" s="6">
        <v>442</v>
      </c>
      <c r="G352" s="8" t="str">
        <f>VLOOKUP(F352,[1]characters!$A:$C,3,FALSE)</f>
        <v>ブレイブリー・ライオン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yellow</v>
      </c>
      <c r="K352" s="8" t="str">
        <f>VLOOKUP(F352,[1]characters!$A:$K,11,FALSE)</f>
        <v>hp</v>
      </c>
      <c r="L352" s="8" t="str">
        <f>VLOOKUP(F352,[1]characters!$A:$M,13,FALSE)</f>
        <v>animal</v>
      </c>
      <c r="M352" s="16">
        <f>VLOOKUP(D352,gacha_196_base!A:B,2,FALSE)</f>
        <v>2558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26"/>
        <v>1961443</v>
      </c>
      <c r="B353" s="2" t="str">
        <f t="shared" si="27"/>
        <v>1961</v>
      </c>
      <c r="C353" s="8" t="str">
        <f t="shared" si="25"/>
        <v>1PremiumSS5</v>
      </c>
      <c r="D353" s="8" t="str">
        <f t="shared" si="28"/>
        <v>1PremiumSS5</v>
      </c>
      <c r="E353" s="10">
        <v>1</v>
      </c>
      <c r="F353" s="6">
        <v>443</v>
      </c>
      <c r="G353" s="8" t="str">
        <f>VLOOKUP(F353,[1]characters!$A:$C,3,FALSE)</f>
        <v>勇機結集 ブレイブリー・ライオン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yellow</v>
      </c>
      <c r="K353" s="8" t="str">
        <f>VLOOKUP(F353,[1]characters!$A:$K,11,FALSE)</f>
        <v>hp</v>
      </c>
      <c r="L353" s="8" t="str">
        <f>VLOOKUP(F353,[1]characters!$A:$M,13,FALSE)</f>
        <v>animal</v>
      </c>
      <c r="M353" s="16">
        <f>VLOOKUP(D353,gacha_196_base!A:B,2,FALSE)</f>
        <v>169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26"/>
        <v>1961462</v>
      </c>
      <c r="B354" s="2" t="str">
        <f t="shared" si="27"/>
        <v>1961</v>
      </c>
      <c r="C354" s="8" t="str">
        <f t="shared" si="25"/>
        <v>1PremiumS3</v>
      </c>
      <c r="D354" s="8" t="str">
        <f t="shared" si="28"/>
        <v>1PremiumS3</v>
      </c>
      <c r="E354" s="10">
        <v>1</v>
      </c>
      <c r="F354" s="9">
        <v>462</v>
      </c>
      <c r="G354" s="8" t="str">
        <f>VLOOKUP(F354,[1]characters!$A:$C,3,FALSE)</f>
        <v>ガウェイン</v>
      </c>
      <c r="H354" s="8" t="str">
        <f>VLOOKUP(F354,[1]characters!$A:$J,10,FALSE)</f>
        <v>PremiumS</v>
      </c>
      <c r="I354" s="8">
        <f>VLOOKUP(F354,[1]characters!$A:$I,9,FALSE)</f>
        <v>3</v>
      </c>
      <c r="J354" s="8" t="str">
        <f>VLOOKUP(F354,[1]characters!$A:$H,8,FALSE)</f>
        <v>red</v>
      </c>
      <c r="K354" s="8" t="str">
        <f>VLOOKUP(F354,[1]characters!$A:$K,11,FALSE)</f>
        <v>hp</v>
      </c>
      <c r="L354" s="8" t="str">
        <f>VLOOKUP(F354,[1]characters!$A:$M,13,FALSE)</f>
        <v>human</v>
      </c>
      <c r="M354" s="16">
        <f>VLOOKUP(D354,gacha_196_base!A:B,2,FALSE)</f>
        <v>11160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26"/>
        <v>1961463</v>
      </c>
      <c r="B355" s="2" t="str">
        <f t="shared" si="27"/>
        <v>1961</v>
      </c>
      <c r="C355" s="8" t="str">
        <f t="shared" si="25"/>
        <v>1PremiumS4</v>
      </c>
      <c r="D355" s="8" t="str">
        <f t="shared" si="28"/>
        <v>1PremiumS4</v>
      </c>
      <c r="E355" s="10">
        <v>1</v>
      </c>
      <c r="F355" s="9">
        <v>463</v>
      </c>
      <c r="G355" s="8" t="str">
        <f>VLOOKUP(F355,[1]characters!$A:$C,3,FALSE)</f>
        <v>燻銀 ガウェイン</v>
      </c>
      <c r="H355" s="8" t="str">
        <f>VLOOKUP(F355,[1]characters!$A:$J,10,FALSE)</f>
        <v>PremiumS</v>
      </c>
      <c r="I355" s="8">
        <f>VLOOKUP(F355,[1]characters!$A:$I,9,FALSE)</f>
        <v>4</v>
      </c>
      <c r="J355" s="8" t="str">
        <f>VLOOKUP(F355,[1]characters!$A:$H,8,FALSE)</f>
        <v>red</v>
      </c>
      <c r="K355" s="8" t="str">
        <f>VLOOKUP(F355,[1]characters!$A:$K,11,FALSE)</f>
        <v>hp</v>
      </c>
      <c r="L355" s="8" t="str">
        <f>VLOOKUP(F355,[1]characters!$A:$M,13,FALSE)</f>
        <v>human</v>
      </c>
      <c r="M355" s="16">
        <f>VLOOKUP(D355,gacha_196_base!A:B,2,FALSE)</f>
        <v>2614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26"/>
        <v>1961464</v>
      </c>
      <c r="B356" s="2" t="str">
        <f t="shared" si="27"/>
        <v>1961</v>
      </c>
      <c r="C356" s="8" t="str">
        <f t="shared" si="25"/>
        <v>1PremiumS5</v>
      </c>
      <c r="D356" s="8" t="str">
        <f t="shared" si="28"/>
        <v>1PremiumS5</v>
      </c>
      <c r="E356" s="10">
        <v>1</v>
      </c>
      <c r="F356" s="9">
        <v>464</v>
      </c>
      <c r="G356" s="8" t="str">
        <f>VLOOKUP(F356,[1]characters!$A:$C,3,FALSE)</f>
        <v>円熟の弾導 ガウェイン</v>
      </c>
      <c r="H356" s="8" t="str">
        <f>VLOOKUP(F356,[1]characters!$A:$J,10,FALSE)</f>
        <v>PremiumS</v>
      </c>
      <c r="I356" s="8">
        <f>VLOOKUP(F356,[1]characters!$A:$I,9,FALSE)</f>
        <v>5</v>
      </c>
      <c r="J356" s="8" t="str">
        <f>VLOOKUP(F356,[1]characters!$A:$H,8,FALSE)</f>
        <v>red</v>
      </c>
      <c r="K356" s="8" t="str">
        <f>VLOOKUP(F356,[1]characters!$A:$K,11,FALSE)</f>
        <v>hp</v>
      </c>
      <c r="L356" s="8" t="str">
        <f>VLOOKUP(F356,[1]characters!$A:$M,13,FALSE)</f>
        <v>human</v>
      </c>
      <c r="M356" s="16">
        <f>VLOOKUP(D356,gacha_196_base!A:B,2,FALSE)</f>
        <v>910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26"/>
        <v>1961465</v>
      </c>
      <c r="B357" s="2" t="str">
        <f t="shared" si="27"/>
        <v>1961</v>
      </c>
      <c r="C357" s="8" t="str">
        <f t="shared" si="25"/>
        <v>1PremiumSS4</v>
      </c>
      <c r="D357" s="8" t="str">
        <f t="shared" si="28"/>
        <v>1PremiumSS4</v>
      </c>
      <c r="E357" s="10">
        <v>1</v>
      </c>
      <c r="F357" s="9">
        <v>465</v>
      </c>
      <c r="G357" s="8" t="str">
        <f>VLOOKUP(F357,[1]characters!$A:$C,3,FALSE)</f>
        <v>真撃 ランスロット</v>
      </c>
      <c r="H357" s="8" t="str">
        <f>VLOOKUP(F357,[1]characters!$A:$J,10,FALSE)</f>
        <v>PremiumSS</v>
      </c>
      <c r="I357" s="8">
        <f>VLOOKUP(F357,[1]characters!$A:$I,9,FALSE)</f>
        <v>4</v>
      </c>
      <c r="J357" s="8" t="str">
        <f>VLOOKUP(F357,[1]characters!$A:$H,8,FALSE)</f>
        <v>green</v>
      </c>
      <c r="K357" s="8" t="str">
        <f>VLOOKUP(F357,[1]characters!$A:$K,11,FALSE)</f>
        <v>balance</v>
      </c>
      <c r="L357" s="8" t="str">
        <f>VLOOKUP(F357,[1]characters!$A:$M,13,FALSE)</f>
        <v>human</v>
      </c>
      <c r="M357" s="16">
        <f>VLOOKUP(D357,gacha_196_base!A:B,2,FALSE)</f>
        <v>2558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s="11" customFormat="1" ht="21" customHeight="1" thickBot="1">
      <c r="A358" s="7" t="str">
        <f t="shared" si="26"/>
        <v>1961466</v>
      </c>
      <c r="B358" s="2" t="str">
        <f t="shared" si="27"/>
        <v>1961</v>
      </c>
      <c r="C358" s="8" t="str">
        <f t="shared" si="25"/>
        <v>1PremiumSS5</v>
      </c>
      <c r="D358" s="8" t="str">
        <f t="shared" si="28"/>
        <v>1PremiumSS5</v>
      </c>
      <c r="E358" s="10">
        <v>1</v>
      </c>
      <c r="F358" s="6">
        <v>466</v>
      </c>
      <c r="G358" s="8" t="str">
        <f>VLOOKUP(F358,[1]characters!$A:$C,3,FALSE)</f>
        <v>真断の勇覇 ランスロット</v>
      </c>
      <c r="H358" s="8" t="str">
        <f>VLOOKUP(F358,[1]characters!$A:$J,10,FALSE)</f>
        <v>PremiumSS</v>
      </c>
      <c r="I358" s="8">
        <f>VLOOKUP(F358,[1]characters!$A:$I,9,FALSE)</f>
        <v>5</v>
      </c>
      <c r="J358" s="8" t="str">
        <f>VLOOKUP(F358,[1]characters!$A:$H,8,FALSE)</f>
        <v>green</v>
      </c>
      <c r="K358" s="8" t="str">
        <f>VLOOKUP(F358,[1]characters!$A:$K,11,FALSE)</f>
        <v>balance</v>
      </c>
      <c r="L358" s="8" t="str">
        <f>VLOOKUP(F358,[1]characters!$A:$M,13,FALSE)</f>
        <v>human</v>
      </c>
      <c r="M358" s="16">
        <f>VLOOKUP(D358,gacha_196_base!A:B,2,FALSE)</f>
        <v>169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26"/>
        <v>1961467</v>
      </c>
      <c r="B359" s="2" t="str">
        <f t="shared" si="27"/>
        <v>1961</v>
      </c>
      <c r="C359" s="8" t="str">
        <f t="shared" si="25"/>
        <v>1PremiumSS4</v>
      </c>
      <c r="D359" s="8" t="str">
        <f t="shared" si="28"/>
        <v>1PremiumSS4</v>
      </c>
      <c r="E359" s="10">
        <v>1</v>
      </c>
      <c r="F359" s="6">
        <v>467</v>
      </c>
      <c r="G359" s="8" t="str">
        <f>VLOOKUP(F359,[1]characters!$A:$C,3,FALSE)</f>
        <v>報復 モルドレッド</v>
      </c>
      <c r="H359" s="8" t="str">
        <f>VLOOKUP(F359,[1]characters!$A:$J,10,FALSE)</f>
        <v>PremiumSS</v>
      </c>
      <c r="I359" s="8">
        <f>VLOOKUP(F359,[1]characters!$A:$I,9,FALSE)</f>
        <v>4</v>
      </c>
      <c r="J359" s="8" t="str">
        <f>VLOOKUP(F359,[1]characters!$A:$H,8,FALSE)</f>
        <v>blue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VLOOKUP(D359,gacha_196_base!A:B,2,FALSE)</f>
        <v>2558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26"/>
        <v>1961468</v>
      </c>
      <c r="B360" s="2" t="str">
        <f t="shared" si="27"/>
        <v>1961</v>
      </c>
      <c r="C360" s="8" t="str">
        <f t="shared" si="25"/>
        <v>1PremiumSS5</v>
      </c>
      <c r="D360" s="8" t="str">
        <f t="shared" si="28"/>
        <v>1PremiumSS5</v>
      </c>
      <c r="E360" s="10">
        <v>1</v>
      </c>
      <c r="F360" s="6">
        <v>468</v>
      </c>
      <c r="G360" s="8" t="str">
        <f>VLOOKUP(F360,[1]characters!$A:$C,3,FALSE)</f>
        <v>憎愛の尖鋒 モルドレッド</v>
      </c>
      <c r="H360" s="8" t="str">
        <f>VLOOKUP(F360,[1]characters!$A:$J,10,FALSE)</f>
        <v>PremiumSS</v>
      </c>
      <c r="I360" s="8">
        <f>VLOOKUP(F360,[1]characters!$A:$I,9,FALSE)</f>
        <v>5</v>
      </c>
      <c r="J360" s="8" t="str">
        <f>VLOOKUP(F360,[1]characters!$A:$H,8,FALSE)</f>
        <v>blue</v>
      </c>
      <c r="K360" s="8" t="str">
        <f>VLOOKUP(F360,[1]characters!$A:$K,11,FALSE)</f>
        <v>technical</v>
      </c>
      <c r="L360" s="8" t="str">
        <f>VLOOKUP(F360,[1]characters!$A:$M,13,FALSE)</f>
        <v>human</v>
      </c>
      <c r="M360" s="16">
        <f>VLOOKUP(D360,gacha_196_base!A:B,2,FALSE)</f>
        <v>169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26"/>
        <v>1961469</v>
      </c>
      <c r="B361" s="2" t="str">
        <f t="shared" si="27"/>
        <v>1961</v>
      </c>
      <c r="C361" s="8" t="str">
        <f t="shared" si="25"/>
        <v>1PremiumS3</v>
      </c>
      <c r="D361" s="8" t="str">
        <f t="shared" si="28"/>
        <v>1PremiumS3</v>
      </c>
      <c r="E361" s="10">
        <v>1</v>
      </c>
      <c r="F361" s="6">
        <v>469</v>
      </c>
      <c r="G361" s="8" t="str">
        <f>VLOOKUP(F361,[1]characters!$A:$C,3,FALSE)</f>
        <v>トリスタン</v>
      </c>
      <c r="H361" s="8" t="str">
        <f>VLOOKUP(F361,[1]characters!$A:$J,10,FALSE)</f>
        <v>PremiumS</v>
      </c>
      <c r="I361" s="8">
        <f>VLOOKUP(F361,[1]characters!$A:$I,9,FALSE)</f>
        <v>3</v>
      </c>
      <c r="J361" s="8" t="str">
        <f>VLOOKUP(F361,[1]characters!$A:$H,8,FALSE)</f>
        <v>yellow</v>
      </c>
      <c r="K361" s="8" t="str">
        <f>VLOOKUP(F361,[1]characters!$A:$K,11,FALSE)</f>
        <v>attack</v>
      </c>
      <c r="L361" s="8" t="str">
        <f>VLOOKUP(F361,[1]characters!$A:$M,13,FALSE)</f>
        <v>human</v>
      </c>
      <c r="M361" s="16">
        <f>VLOOKUP(D361,gacha_196_base!A:B,2,FALSE)</f>
        <v>11160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26"/>
        <v>1961470</v>
      </c>
      <c r="B362" s="2" t="str">
        <f t="shared" si="27"/>
        <v>1961</v>
      </c>
      <c r="C362" s="8" t="str">
        <f t="shared" ref="C362:C392" si="29">E362&amp;H362&amp;I362</f>
        <v>1PremiumS4</v>
      </c>
      <c r="D362" s="8" t="str">
        <f t="shared" si="28"/>
        <v>1PremiumS4</v>
      </c>
      <c r="E362" s="10">
        <v>1</v>
      </c>
      <c r="F362" s="6">
        <v>470</v>
      </c>
      <c r="G362" s="8" t="str">
        <f>VLOOKUP(F362,[1]characters!$A:$C,3,FALSE)</f>
        <v>純心 トリスタン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yellow</v>
      </c>
      <c r="K362" s="8" t="str">
        <f>VLOOKUP(F362,[1]characters!$A:$K,11,FALSE)</f>
        <v>attack</v>
      </c>
      <c r="L362" s="8" t="str">
        <f>VLOOKUP(F362,[1]characters!$A:$M,13,FALSE)</f>
        <v>human</v>
      </c>
      <c r="M362" s="16">
        <f>VLOOKUP(D362,gacha_196_base!A:B,2,FALSE)</f>
        <v>2614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ref="A363:A392" si="30">B363&amp;F363</f>
        <v>1961471</v>
      </c>
      <c r="B363" s="2" t="str">
        <f t="shared" si="27"/>
        <v>1961</v>
      </c>
      <c r="C363" s="8" t="str">
        <f t="shared" si="29"/>
        <v>1PremiumS5</v>
      </c>
      <c r="D363" s="8" t="str">
        <f t="shared" si="28"/>
        <v>1PremiumS5</v>
      </c>
      <c r="E363" s="10">
        <v>1</v>
      </c>
      <c r="F363" s="6">
        <v>471</v>
      </c>
      <c r="G363" s="8" t="str">
        <f>VLOOKUP(F363,[1]characters!$A:$C,3,FALSE)</f>
        <v>不可避の爆激 トリスタン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yellow</v>
      </c>
      <c r="K363" s="8" t="str">
        <f>VLOOKUP(F363,[1]characters!$A:$K,11,FALSE)</f>
        <v>attack</v>
      </c>
      <c r="L363" s="8" t="str">
        <f>VLOOKUP(F363,[1]characters!$A:$M,13,FALSE)</f>
        <v>human</v>
      </c>
      <c r="M363" s="16">
        <f>VLOOKUP(D363,gacha_196_base!A:B,2,FALSE)</f>
        <v>910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0"/>
        <v>1961474</v>
      </c>
      <c r="B364" s="2" t="str">
        <f t="shared" si="27"/>
        <v>1961</v>
      </c>
      <c r="C364" s="8" t="str">
        <f t="shared" si="29"/>
        <v>1PremiumSS4</v>
      </c>
      <c r="D364" s="8" t="str">
        <f t="shared" si="28"/>
        <v>1PremiumSS4</v>
      </c>
      <c r="E364" s="10">
        <v>1</v>
      </c>
      <c r="F364" s="6">
        <v>474</v>
      </c>
      <c r="G364" s="8" t="str">
        <f>VLOOKUP(F364,[1]characters!$A:$C,3,FALSE)</f>
        <v>キング・ドライグ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red</v>
      </c>
      <c r="K364" s="8" t="str">
        <f>VLOOKUP(F364,[1]characters!$A:$K,11,FALSE)</f>
        <v>attack</v>
      </c>
      <c r="L364" s="8" t="str">
        <f>VLOOKUP(F364,[1]characters!$A:$M,13,FALSE)</f>
        <v>dragon</v>
      </c>
      <c r="M364" s="16">
        <f>VLOOKUP(D364,gacha_196_base!A:B,2,FALSE)</f>
        <v>2558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0"/>
        <v>1961475</v>
      </c>
      <c r="B365" s="2" t="str">
        <f t="shared" si="27"/>
        <v>1961</v>
      </c>
      <c r="C365" s="8" t="str">
        <f t="shared" si="29"/>
        <v>1PremiumSS5</v>
      </c>
      <c r="D365" s="8" t="str">
        <f t="shared" si="28"/>
        <v>1PremiumSS5</v>
      </c>
      <c r="E365" s="10">
        <v>1</v>
      </c>
      <c r="F365" s="6">
        <v>475</v>
      </c>
      <c r="G365" s="8" t="str">
        <f>VLOOKUP(F365,[1]characters!$A:$C,3,FALSE)</f>
        <v>緋王 キング・ドライグ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red</v>
      </c>
      <c r="K365" s="8" t="str">
        <f>VLOOKUP(F365,[1]characters!$A:$K,11,FALSE)</f>
        <v>attack</v>
      </c>
      <c r="L365" s="8" t="str">
        <f>VLOOKUP(F365,[1]characters!$A:$M,13,FALSE)</f>
        <v>dragon</v>
      </c>
      <c r="M365" s="16">
        <f>VLOOKUP(D365,gacha_196_base!A:B,2,FALSE)</f>
        <v>169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0"/>
        <v>1961476</v>
      </c>
      <c r="B366" s="2" t="str">
        <f t="shared" si="27"/>
        <v>1961</v>
      </c>
      <c r="C366" s="8" t="str">
        <f t="shared" si="29"/>
        <v>1PremiumS3</v>
      </c>
      <c r="D366" s="8" t="str">
        <f t="shared" si="28"/>
        <v>1PremiumS3</v>
      </c>
      <c r="E366" s="10">
        <v>1</v>
      </c>
      <c r="F366" s="6">
        <v>476</v>
      </c>
      <c r="G366" s="8" t="str">
        <f>VLOOKUP(F366,[1]characters!$A:$C,3,FALSE)</f>
        <v>ファータ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green</v>
      </c>
      <c r="K366" s="8" t="str">
        <f>VLOOKUP(F366,[1]characters!$A:$K,11,FALSE)</f>
        <v>heal</v>
      </c>
      <c r="L366" s="8" t="str">
        <f>VLOOKUP(F366,[1]characters!$A:$M,13,FALSE)</f>
        <v>unknown</v>
      </c>
      <c r="M366" s="16">
        <f>VLOOKUP(D366,gacha_196_base!A:B,2,FALSE)</f>
        <v>11160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0"/>
        <v>1961477</v>
      </c>
      <c r="B367" s="2" t="str">
        <f t="shared" si="27"/>
        <v>1961</v>
      </c>
      <c r="C367" s="8" t="str">
        <f t="shared" si="29"/>
        <v>1PremiumS4</v>
      </c>
      <c r="D367" s="8" t="str">
        <f t="shared" si="28"/>
        <v>1PremiumS4</v>
      </c>
      <c r="E367" s="10">
        <v>1</v>
      </c>
      <c r="F367" s="6">
        <v>477</v>
      </c>
      <c r="G367" s="8" t="str">
        <f>VLOOKUP(F367,[1]characters!$A:$C,3,FALSE)</f>
        <v>愛羽妖精 ファータ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green</v>
      </c>
      <c r="K367" s="8" t="str">
        <f>VLOOKUP(F367,[1]characters!$A:$K,11,FALSE)</f>
        <v>heal</v>
      </c>
      <c r="L367" s="8" t="str">
        <f>VLOOKUP(F367,[1]characters!$A:$M,13,FALSE)</f>
        <v>unknown</v>
      </c>
      <c r="M367" s="16">
        <f>VLOOKUP(D367,gacha_196_base!A:B,2,FALSE)</f>
        <v>2614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0"/>
        <v>1961478</v>
      </c>
      <c r="B368" s="2" t="str">
        <f t="shared" si="27"/>
        <v>1961</v>
      </c>
      <c r="C368" s="8" t="str">
        <f t="shared" si="29"/>
        <v>1PremiumS5</v>
      </c>
      <c r="D368" s="8" t="str">
        <f t="shared" si="28"/>
        <v>1PremiumS5</v>
      </c>
      <c r="E368" s="10">
        <v>1</v>
      </c>
      <c r="F368" s="6">
        <v>478</v>
      </c>
      <c r="G368" s="8" t="str">
        <f>VLOOKUP(F368,[1]characters!$A:$C,3,FALSE)</f>
        <v>時計仕掛けの愛羽妖精 ファータ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green</v>
      </c>
      <c r="K368" s="8" t="str">
        <f>VLOOKUP(F368,[1]characters!$A:$K,11,FALSE)</f>
        <v>heal</v>
      </c>
      <c r="L368" s="8" t="str">
        <f>VLOOKUP(F368,[1]characters!$A:$M,13,FALSE)</f>
        <v>unknown</v>
      </c>
      <c r="M368" s="16">
        <f>VLOOKUP(D368,gacha_196_base!A:B,2,FALSE)</f>
        <v>910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0"/>
        <v>1961479</v>
      </c>
      <c r="B369" s="2" t="str">
        <f t="shared" si="27"/>
        <v>1961</v>
      </c>
      <c r="C369" s="8" t="str">
        <f t="shared" si="29"/>
        <v>1PremiumSS4</v>
      </c>
      <c r="D369" s="8" t="str">
        <f t="shared" si="28"/>
        <v>1PremiumSS4</v>
      </c>
      <c r="E369" s="10">
        <v>1</v>
      </c>
      <c r="F369" s="6">
        <v>479</v>
      </c>
      <c r="G369" s="8" t="str">
        <f>VLOOKUP(F369,[1]characters!$A:$C,3,FALSE)</f>
        <v>フール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blue</v>
      </c>
      <c r="K369" s="8" t="str">
        <f>VLOOKUP(F369,[1]characters!$A:$K,11,FALSE)</f>
        <v>technical</v>
      </c>
      <c r="L369" s="8" t="str">
        <f>VLOOKUP(F369,[1]characters!$A:$M,13,FALSE)</f>
        <v>god</v>
      </c>
      <c r="M369" s="16">
        <f>VLOOKUP(D369,gacha_196_base!A:B,2,FALSE)</f>
        <v>2558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ht="21" customHeight="1">
      <c r="A370" s="7" t="str">
        <f t="shared" si="30"/>
        <v>1961480</v>
      </c>
      <c r="B370" s="2" t="str">
        <f t="shared" si="27"/>
        <v>1961</v>
      </c>
      <c r="C370" s="8" t="str">
        <f t="shared" si="29"/>
        <v>1PremiumSS5</v>
      </c>
      <c r="D370" s="8" t="str">
        <f t="shared" si="28"/>
        <v>1PremiumSS5</v>
      </c>
      <c r="E370" s="10">
        <v>1</v>
      </c>
      <c r="F370" s="6">
        <v>480</v>
      </c>
      <c r="G370" s="8" t="str">
        <f>VLOOKUP(F370,[1]characters!$A:$C,3,FALSE)</f>
        <v>夢幻の愚者フール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blue</v>
      </c>
      <c r="K370" s="8" t="str">
        <f>VLOOKUP(F370,[1]characters!$A:$K,11,FALSE)</f>
        <v>technical</v>
      </c>
      <c r="L370" s="8" t="str">
        <f>VLOOKUP(F370,[1]characters!$A:$M,13,FALSE)</f>
        <v>god</v>
      </c>
      <c r="M370" s="16">
        <f>VLOOKUP(D370,gacha_196_base!A:B,2,FALSE)</f>
        <v>169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0"/>
        <v>1961481</v>
      </c>
      <c r="B371" s="2" t="str">
        <f t="shared" si="27"/>
        <v>1961</v>
      </c>
      <c r="C371" s="8" t="str">
        <f t="shared" si="29"/>
        <v>1PremiumS3</v>
      </c>
      <c r="D371" s="8" t="str">
        <f t="shared" si="28"/>
        <v>1PremiumS3</v>
      </c>
      <c r="E371" s="10">
        <v>1</v>
      </c>
      <c r="F371" s="6">
        <v>481</v>
      </c>
      <c r="G371" s="8" t="str">
        <f>VLOOKUP(F371,[1]characters!$A:$C,3,FALSE)</f>
        <v>沢庵宗彭</v>
      </c>
      <c r="H371" s="8" t="str">
        <f>VLOOKUP(F371,[1]characters!$A:$J,10,FALSE)</f>
        <v>PremiumS</v>
      </c>
      <c r="I371" s="8">
        <f>VLOOKUP(F371,[1]characters!$A:$I,9,FALSE)</f>
        <v>3</v>
      </c>
      <c r="J371" s="8" t="str">
        <f>VLOOKUP(F371,[1]characters!$A:$H,8,FALSE)</f>
        <v>yellow</v>
      </c>
      <c r="K371" s="8" t="str">
        <f>VLOOKUP(F371,[1]characters!$A:$K,11,FALSE)</f>
        <v>hp</v>
      </c>
      <c r="L371" s="8" t="str">
        <f>VLOOKUP(F371,[1]characters!$A:$M,13,FALSE)</f>
        <v>human</v>
      </c>
      <c r="M371" s="16">
        <f>VLOOKUP(D371,gacha_196_base!A:B,2,FALSE)</f>
        <v>11160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0"/>
        <v>1961482</v>
      </c>
      <c r="B372" s="2" t="str">
        <f t="shared" si="27"/>
        <v>1961</v>
      </c>
      <c r="C372" s="8" t="str">
        <f t="shared" si="29"/>
        <v>1PremiumS4</v>
      </c>
      <c r="D372" s="8" t="str">
        <f t="shared" si="28"/>
        <v>1PremiumS4</v>
      </c>
      <c r="E372" s="10">
        <v>1</v>
      </c>
      <c r="F372" s="6">
        <v>482</v>
      </c>
      <c r="G372" s="8" t="str">
        <f>VLOOKUP(F372,[1]characters!$A:$C,3,FALSE)</f>
        <v>魁僧 沢庵宗彭</v>
      </c>
      <c r="H372" s="8" t="str">
        <f>VLOOKUP(F372,[1]characters!$A:$J,10,FALSE)</f>
        <v>PremiumS</v>
      </c>
      <c r="I372" s="8">
        <f>VLOOKUP(F372,[1]characters!$A:$I,9,FALSE)</f>
        <v>4</v>
      </c>
      <c r="J372" s="8" t="str">
        <f>VLOOKUP(F372,[1]characters!$A:$H,8,FALSE)</f>
        <v>yellow</v>
      </c>
      <c r="K372" s="8" t="str">
        <f>VLOOKUP(F372,[1]characters!$A:$K,11,FALSE)</f>
        <v>hp</v>
      </c>
      <c r="L372" s="8" t="str">
        <f>VLOOKUP(F372,[1]characters!$A:$M,13,FALSE)</f>
        <v>human</v>
      </c>
      <c r="M372" s="16">
        <f>VLOOKUP(D372,gacha_196_base!A:B,2,FALSE)</f>
        <v>2614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0"/>
        <v>1961483</v>
      </c>
      <c r="B373" s="2" t="str">
        <f t="shared" si="27"/>
        <v>1961</v>
      </c>
      <c r="C373" s="8" t="str">
        <f t="shared" si="29"/>
        <v>1PremiumS5</v>
      </c>
      <c r="D373" s="8" t="str">
        <f t="shared" si="28"/>
        <v>1PremiumS5</v>
      </c>
      <c r="E373" s="10">
        <v>1</v>
      </c>
      <c r="F373" s="6">
        <v>483</v>
      </c>
      <c r="G373" s="8" t="str">
        <f>VLOOKUP(F373,[1]characters!$A:$C,3,FALSE)</f>
        <v xml:space="preserve">命経死遂 沢庵宗彭 </v>
      </c>
      <c r="H373" s="8" t="str">
        <f>VLOOKUP(F373,[1]characters!$A:$J,10,FALSE)</f>
        <v>PremiumS</v>
      </c>
      <c r="I373" s="8">
        <f>VLOOKUP(F373,[1]characters!$A:$I,9,FALSE)</f>
        <v>5</v>
      </c>
      <c r="J373" s="8" t="str">
        <f>VLOOKUP(F373,[1]characters!$A:$H,8,FALSE)</f>
        <v>yellow</v>
      </c>
      <c r="K373" s="8" t="str">
        <f>VLOOKUP(F373,[1]characters!$A:$K,11,FALSE)</f>
        <v>hp</v>
      </c>
      <c r="L373" s="8" t="str">
        <f>VLOOKUP(F373,[1]characters!$A:$M,13,FALSE)</f>
        <v>human</v>
      </c>
      <c r="M373" s="16">
        <f>VLOOKUP(D373,gacha_196_base!A:B,2,FALSE)</f>
        <v>910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0"/>
        <v>1961492</v>
      </c>
      <c r="B374" s="2" t="str">
        <f t="shared" si="27"/>
        <v>1961</v>
      </c>
      <c r="C374" s="8" t="str">
        <f t="shared" si="29"/>
        <v>1PremiumSS4</v>
      </c>
      <c r="D374" s="8" t="str">
        <f t="shared" si="28"/>
        <v>1PremiumSS4</v>
      </c>
      <c r="E374" s="10">
        <v>1</v>
      </c>
      <c r="F374" s="6">
        <v>492</v>
      </c>
      <c r="G374" s="8" t="str">
        <f>VLOOKUP(F374,[1]characters!$A:$C,3,FALSE)</f>
        <v>ブートレグ・ペロー</v>
      </c>
      <c r="H374" s="8" t="str">
        <f>VLOOKUP(F374,[1]characters!$A:$J,10,FALSE)</f>
        <v>PremiumSS</v>
      </c>
      <c r="I374" s="8">
        <f>VLOOKUP(F374,[1]characters!$A:$I,9,FALSE)</f>
        <v>4</v>
      </c>
      <c r="J374" s="8" t="str">
        <f>VLOOKUP(F374,[1]characters!$A:$H,8,FALSE)</f>
        <v>red</v>
      </c>
      <c r="K374" s="8" t="str">
        <f>VLOOKUP(F374,[1]characters!$A:$K,11,FALSE)</f>
        <v>hp</v>
      </c>
      <c r="L374" s="8" t="str">
        <f>VLOOKUP(F374,[1]characters!$A:$M,13,FALSE)</f>
        <v>animal</v>
      </c>
      <c r="M374" s="16">
        <f>VLOOKUP(D374,gacha_196_base!A:B,2,FALSE)</f>
        <v>2558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si="30"/>
        <v>1961493</v>
      </c>
      <c r="B375" s="2" t="str">
        <f t="shared" si="27"/>
        <v>1961</v>
      </c>
      <c r="C375" s="8" t="str">
        <f t="shared" si="29"/>
        <v>1PremiumSS5</v>
      </c>
      <c r="D375" s="8" t="str">
        <f t="shared" si="28"/>
        <v>1PremiumSS5</v>
      </c>
      <c r="E375" s="10">
        <v>1</v>
      </c>
      <c r="F375" s="6">
        <v>493</v>
      </c>
      <c r="G375" s="8" t="str">
        <f>VLOOKUP(F375,[1]characters!$A:$C,3,FALSE)</f>
        <v>跋扈の機脚 ブートレグ・ペロー</v>
      </c>
      <c r="H375" s="8" t="str">
        <f>VLOOKUP(F375,[1]characters!$A:$J,10,FALSE)</f>
        <v>PremiumSS</v>
      </c>
      <c r="I375" s="8">
        <f>VLOOKUP(F375,[1]characters!$A:$I,9,FALSE)</f>
        <v>5</v>
      </c>
      <c r="J375" s="8" t="str">
        <f>VLOOKUP(F375,[1]characters!$A:$H,8,FALSE)</f>
        <v>red</v>
      </c>
      <c r="K375" s="8" t="str">
        <f>VLOOKUP(F375,[1]characters!$A:$K,11,FALSE)</f>
        <v>hp</v>
      </c>
      <c r="L375" s="8" t="str">
        <f>VLOOKUP(F375,[1]characters!$A:$M,13,FALSE)</f>
        <v>animal</v>
      </c>
      <c r="M375" s="16">
        <f>VLOOKUP(D375,gacha_196_base!A:B,2,FALSE)</f>
        <v>169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0"/>
        <v>1961494</v>
      </c>
      <c r="B376" s="2" t="str">
        <f t="shared" si="27"/>
        <v>1961</v>
      </c>
      <c r="C376" s="8" t="str">
        <f t="shared" si="29"/>
        <v>1PremiumSS4</v>
      </c>
      <c r="D376" s="8" t="str">
        <f t="shared" si="28"/>
        <v>1PremiumSS4</v>
      </c>
      <c r="E376" s="10">
        <v>1</v>
      </c>
      <c r="F376" s="6">
        <v>494</v>
      </c>
      <c r="G376" s="8" t="str">
        <f>VLOOKUP(F376,[1]characters!$A:$C,3,FALSE)</f>
        <v>ハーメルン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green</v>
      </c>
      <c r="K376" s="8" t="str">
        <f>VLOOKUP(F376,[1]characters!$A:$K,11,FALSE)</f>
        <v>technical</v>
      </c>
      <c r="L376" s="8" t="str">
        <f>VLOOKUP(F376,[1]characters!$A:$M,13,FALSE)</f>
        <v>human</v>
      </c>
      <c r="M376" s="16">
        <f>VLOOKUP(D376,gacha_196_base!A:B,2,FALSE)</f>
        <v>2558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0"/>
        <v>1961495</v>
      </c>
      <c r="B377" s="2" t="str">
        <f t="shared" si="27"/>
        <v>1961</v>
      </c>
      <c r="C377" s="8" t="str">
        <f t="shared" si="29"/>
        <v>1PremiumSS5</v>
      </c>
      <c r="D377" s="8" t="str">
        <f t="shared" si="28"/>
        <v>1PremiumSS5</v>
      </c>
      <c r="E377" s="10">
        <v>1</v>
      </c>
      <c r="F377" s="6">
        <v>495</v>
      </c>
      <c r="G377" s="8" t="str">
        <f>VLOOKUP(F377,[1]characters!$A:$C,3,FALSE)</f>
        <v>鼠災呼ぶ笛音 ハーメルン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green</v>
      </c>
      <c r="K377" s="8" t="str">
        <f>VLOOKUP(F377,[1]characters!$A:$K,11,FALSE)</f>
        <v>technical</v>
      </c>
      <c r="L377" s="8" t="str">
        <f>VLOOKUP(F377,[1]characters!$A:$M,13,FALSE)</f>
        <v>human</v>
      </c>
      <c r="M377" s="16">
        <f>VLOOKUP(D377,gacha_196_base!A:B,2,FALSE)</f>
        <v>169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0"/>
        <v>1961496</v>
      </c>
      <c r="B378" s="2" t="str">
        <f t="shared" si="27"/>
        <v>1961</v>
      </c>
      <c r="C378" s="8" t="str">
        <f t="shared" si="29"/>
        <v>1PremiumS3</v>
      </c>
      <c r="D378" s="8" t="str">
        <f t="shared" si="28"/>
        <v>1PremiumS3</v>
      </c>
      <c r="E378" s="10">
        <v>1</v>
      </c>
      <c r="F378" s="6">
        <v>496</v>
      </c>
      <c r="G378" s="8" t="str">
        <f>VLOOKUP(F378,[1]characters!$A:$C,3,FALSE)</f>
        <v>エスタブ</v>
      </c>
      <c r="H378" s="8" t="str">
        <f>VLOOKUP(F378,[1]characters!$A:$J,10,FALSE)</f>
        <v>PremiumS</v>
      </c>
      <c r="I378" s="8">
        <f>VLOOKUP(F378,[1]characters!$A:$I,9,FALSE)</f>
        <v>3</v>
      </c>
      <c r="J378" s="8" t="str">
        <f>VLOOKUP(F378,[1]characters!$A:$H,8,FALSE)</f>
        <v>blue</v>
      </c>
      <c r="K378" s="8" t="str">
        <f>VLOOKUP(F378,[1]characters!$A:$K,11,FALSE)</f>
        <v>attack</v>
      </c>
      <c r="L378" s="8" t="str">
        <f>VLOOKUP(F378,[1]characters!$A:$M,13,FALSE)</f>
        <v>human</v>
      </c>
      <c r="M378" s="16">
        <f>VLOOKUP(D378,gacha_196_base!A:B,2,FALSE)</f>
        <v>11160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0"/>
        <v>1961497</v>
      </c>
      <c r="B379" s="2" t="str">
        <f t="shared" si="27"/>
        <v>1961</v>
      </c>
      <c r="C379" s="8" t="str">
        <f t="shared" si="29"/>
        <v>1PremiumS4</v>
      </c>
      <c r="D379" s="8" t="str">
        <f t="shared" si="28"/>
        <v>1PremiumS4</v>
      </c>
      <c r="E379" s="10">
        <v>1</v>
      </c>
      <c r="F379" s="6">
        <v>497</v>
      </c>
      <c r="G379" s="8" t="str">
        <f>VLOOKUP(F379,[1]characters!$A:$C,3,FALSE)</f>
        <v>偏愛の野獣 エスタブ</v>
      </c>
      <c r="H379" s="8" t="str">
        <f>VLOOKUP(F379,[1]characters!$A:$J,10,FALSE)</f>
        <v>PremiumS</v>
      </c>
      <c r="I379" s="8">
        <f>VLOOKUP(F379,[1]characters!$A:$I,9,FALSE)</f>
        <v>4</v>
      </c>
      <c r="J379" s="8" t="str">
        <f>VLOOKUP(F379,[1]characters!$A:$H,8,FALSE)</f>
        <v>blue</v>
      </c>
      <c r="K379" s="8" t="str">
        <f>VLOOKUP(F379,[1]characters!$A:$K,11,FALSE)</f>
        <v>attack</v>
      </c>
      <c r="L379" s="8" t="str">
        <f>VLOOKUP(F379,[1]characters!$A:$M,13,FALSE)</f>
        <v>human</v>
      </c>
      <c r="M379" s="16">
        <f>VLOOKUP(D379,gacha_196_base!A:B,2,FALSE)</f>
        <v>2614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0"/>
        <v>1961498</v>
      </c>
      <c r="B380" s="2" t="str">
        <f t="shared" si="27"/>
        <v>1961</v>
      </c>
      <c r="C380" s="8" t="str">
        <f t="shared" si="29"/>
        <v>1PremiumS5</v>
      </c>
      <c r="D380" s="8" t="str">
        <f t="shared" si="28"/>
        <v>1PremiumS5</v>
      </c>
      <c r="E380" s="10">
        <v>1</v>
      </c>
      <c r="F380" s="6">
        <v>498</v>
      </c>
      <c r="G380" s="8" t="str">
        <f>VLOOKUP(F380,[1]characters!$A:$C,3,FALSE)</f>
        <v>自愛の高魔 エスタブ</v>
      </c>
      <c r="H380" s="8" t="str">
        <f>VLOOKUP(F380,[1]characters!$A:$J,10,FALSE)</f>
        <v>PremiumS</v>
      </c>
      <c r="I380" s="8">
        <f>VLOOKUP(F380,[1]characters!$A:$I,9,FALSE)</f>
        <v>5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VLOOKUP(D380,gacha_196_base!A:B,2,FALSE)</f>
        <v>910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0"/>
        <v>1961499</v>
      </c>
      <c r="B381" s="2" t="str">
        <f t="shared" si="27"/>
        <v>1961</v>
      </c>
      <c r="C381" s="8" t="str">
        <f t="shared" si="29"/>
        <v>1PremiumSS4</v>
      </c>
      <c r="D381" s="8" t="str">
        <f t="shared" si="28"/>
        <v>1PremiumSS4</v>
      </c>
      <c r="E381" s="10">
        <v>1</v>
      </c>
      <c r="F381" s="6">
        <v>499</v>
      </c>
      <c r="G381" s="8" t="str">
        <f>VLOOKUP(F381,[1]characters!$A:$C,3,FALSE)</f>
        <v>ラプンツェル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yellow</v>
      </c>
      <c r="K381" s="8" t="str">
        <f>VLOOKUP(F381,[1]characters!$A:$K,11,FALSE)</f>
        <v>balance</v>
      </c>
      <c r="L381" s="8" t="str">
        <f>VLOOKUP(F381,[1]characters!$A:$M,13,FALSE)</f>
        <v>human</v>
      </c>
      <c r="M381" s="16">
        <f>VLOOKUP(D381,gacha_196_base!A:B,2,FALSE)</f>
        <v>2558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0"/>
        <v>1961500</v>
      </c>
      <c r="B382" s="2" t="str">
        <f t="shared" si="27"/>
        <v>1961</v>
      </c>
      <c r="C382" s="8" t="str">
        <f t="shared" si="29"/>
        <v>1PremiumSS5</v>
      </c>
      <c r="D382" s="8" t="str">
        <f t="shared" si="28"/>
        <v>1PremiumSS5</v>
      </c>
      <c r="E382" s="10">
        <v>1</v>
      </c>
      <c r="F382" s="6">
        <v>500</v>
      </c>
      <c r="G382" s="8" t="str">
        <f>VLOOKUP(F382,[1]characters!$A:$C,3,FALSE)</f>
        <v>脈動の禁髪 ラプンツェル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VLOOKUP(D382,gacha_196_base!A:B,2,FALSE)</f>
        <v>169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0"/>
        <v>1961586</v>
      </c>
      <c r="B383" s="2" t="str">
        <f t="shared" si="27"/>
        <v>1961</v>
      </c>
      <c r="C383" s="8" t="str">
        <f t="shared" si="29"/>
        <v>1PremiumSS4</v>
      </c>
      <c r="D383" s="8" t="str">
        <f t="shared" si="28"/>
        <v>1PremiumSS4</v>
      </c>
      <c r="E383" s="10">
        <v>1</v>
      </c>
      <c r="F383" s="6">
        <v>586</v>
      </c>
      <c r="G383" s="8" t="str">
        <f>VLOOKUP(F383,[1]characters!$A:$C,3,FALSE)</f>
        <v>ユミル</v>
      </c>
      <c r="H383" s="8" t="str">
        <f>VLOOKUP(F383,[1]characters!$A:$J,10,FALSE)</f>
        <v>PremiumSS</v>
      </c>
      <c r="I383" s="8">
        <f>VLOOKUP(F383,[1]characters!$A:$I,9,FALSE)</f>
        <v>4</v>
      </c>
      <c r="J383" s="8" t="str">
        <f>VLOOKUP(F383,[1]characters!$A:$H,8,FALSE)</f>
        <v>red</v>
      </c>
      <c r="K383" s="8" t="str">
        <f>VLOOKUP(F383,[1]characters!$A:$K,11,FALSE)</f>
        <v>hp</v>
      </c>
      <c r="L383" s="8" t="str">
        <f>VLOOKUP(F383,[1]characters!$A:$M,13,FALSE)</f>
        <v>machine</v>
      </c>
      <c r="M383" s="16">
        <f>VLOOKUP(D383,gacha_196_base!A:B,2,FALSE)</f>
        <v>2558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0"/>
        <v>1961587</v>
      </c>
      <c r="B384" s="2" t="str">
        <f t="shared" si="27"/>
        <v>1961</v>
      </c>
      <c r="C384" s="8" t="str">
        <f t="shared" si="29"/>
        <v>1PremiumSS5</v>
      </c>
      <c r="D384" s="8" t="str">
        <f t="shared" si="28"/>
        <v>1PremiumSS5</v>
      </c>
      <c r="E384" s="10">
        <v>1</v>
      </c>
      <c r="F384" s="6">
        <v>587</v>
      </c>
      <c r="G384" s="8" t="str">
        <f>VLOOKUP(F384,[1]characters!$A:$C,3,FALSE)</f>
        <v>原初の煉鋼巨刃 ユミル</v>
      </c>
      <c r="H384" s="8" t="str">
        <f>VLOOKUP(F384,[1]characters!$A:$J,10,FALSE)</f>
        <v>PremiumSS</v>
      </c>
      <c r="I384" s="8">
        <f>VLOOKUP(F384,[1]characters!$A:$I,9,FALSE)</f>
        <v>5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VLOOKUP(D384,gacha_196_base!A:B,2,FALSE)</f>
        <v>169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0"/>
        <v>1961588</v>
      </c>
      <c r="B385" s="2" t="str">
        <f t="shared" si="27"/>
        <v>1961</v>
      </c>
      <c r="C385" s="8" t="str">
        <f t="shared" si="29"/>
        <v>1PremiumS3</v>
      </c>
      <c r="D385" s="8" t="str">
        <f t="shared" si="28"/>
        <v>1PremiumS3</v>
      </c>
      <c r="E385" s="10">
        <v>1</v>
      </c>
      <c r="F385" s="6">
        <v>588</v>
      </c>
      <c r="G385" s="8" t="str">
        <f>VLOOKUP(F385,[1]characters!$A:$C,3,FALSE)</f>
        <v>ニーベルゲン</v>
      </c>
      <c r="H385" s="8" t="str">
        <f>VLOOKUP(F385,[1]characters!$A:$J,10,FALSE)</f>
        <v>PremiumS</v>
      </c>
      <c r="I385" s="8">
        <f>VLOOKUP(F385,[1]characters!$A:$I,9,FALSE)</f>
        <v>3</v>
      </c>
      <c r="J385" s="8" t="str">
        <f>VLOOKUP(F385,[1]characters!$A:$H,8,FALSE)</f>
        <v>green</v>
      </c>
      <c r="K385" s="8" t="str">
        <f>VLOOKUP(F385,[1]characters!$A:$K,11,FALSE)</f>
        <v>balance</v>
      </c>
      <c r="L385" s="8" t="str">
        <f>VLOOKUP(F385,[1]characters!$A:$M,13,FALSE)</f>
        <v>unknown</v>
      </c>
      <c r="M385" s="16">
        <f>VLOOKUP(D385,gacha_196_base!A:B,2,FALSE)</f>
        <v>11160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0"/>
        <v>1961589</v>
      </c>
      <c r="B386" s="2" t="str">
        <f t="shared" si="27"/>
        <v>1961</v>
      </c>
      <c r="C386" s="8" t="str">
        <f t="shared" si="29"/>
        <v>1PremiumS4</v>
      </c>
      <c r="D386" s="8" t="str">
        <f t="shared" si="28"/>
        <v>1PremiumS4</v>
      </c>
      <c r="E386" s="10">
        <v>1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VLOOKUP(D386,gacha_196_base!A:B,2,FALSE)</f>
        <v>2614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0"/>
        <v>1961590</v>
      </c>
      <c r="B387" s="2" t="str">
        <f t="shared" ref="B387:B407" si="31">196&amp;E387</f>
        <v>1961</v>
      </c>
      <c r="C387" s="8" t="str">
        <f t="shared" si="29"/>
        <v>1PremiumS5</v>
      </c>
      <c r="D387" s="8" t="str">
        <f t="shared" si="28"/>
        <v>1PremiumS5</v>
      </c>
      <c r="E387" s="10">
        <v>1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VLOOKUP(D387,gacha_196_base!A:B,2,FALSE)</f>
        <v>910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0"/>
        <v>1961591</v>
      </c>
      <c r="B388" s="2" t="str">
        <f t="shared" si="31"/>
        <v>1961</v>
      </c>
      <c r="C388" s="8" t="str">
        <f t="shared" si="29"/>
        <v>1PremiumS3</v>
      </c>
      <c r="D388" s="8" t="str">
        <f t="shared" si="28"/>
        <v>1PremiumS3</v>
      </c>
      <c r="E388" s="10">
        <v>1</v>
      </c>
      <c r="F388" s="6">
        <v>591</v>
      </c>
      <c r="G388" s="8" t="str">
        <f>VLOOKUP(F388,[1]characters!$A:$C,3,FALSE)</f>
        <v>ファフニール</v>
      </c>
      <c r="H388" s="8" t="str">
        <f>VLOOKUP(F388,[1]characters!$A:$J,10,FALSE)</f>
        <v>PremiumS</v>
      </c>
      <c r="I388" s="8">
        <f>VLOOKUP(F388,[1]characters!$A:$I,9,FALSE)</f>
        <v>3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VLOOKUP(D388,gacha_196_base!A:B,2,FALSE)</f>
        <v>11160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0"/>
        <v>1961592</v>
      </c>
      <c r="B389" s="2" t="str">
        <f t="shared" si="31"/>
        <v>1961</v>
      </c>
      <c r="C389" s="8" t="str">
        <f t="shared" si="29"/>
        <v>1PremiumS4</v>
      </c>
      <c r="D389" s="8" t="str">
        <f t="shared" si="28"/>
        <v>1PremiumS4</v>
      </c>
      <c r="E389" s="10">
        <v>1</v>
      </c>
      <c r="F389" s="6">
        <v>592</v>
      </c>
      <c r="G389" s="8" t="str">
        <f>VLOOKUP(F389,[1]characters!$A:$C,3,FALSE)</f>
        <v>財宝への執着 ファフニール</v>
      </c>
      <c r="H389" s="8" t="str">
        <f>VLOOKUP(F389,[1]characters!$A:$J,10,FALSE)</f>
        <v>PremiumS</v>
      </c>
      <c r="I389" s="8">
        <f>VLOOKUP(F389,[1]characters!$A:$I,9,FALSE)</f>
        <v>4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VLOOKUP(D389,gacha_196_base!A:B,2,FALSE)</f>
        <v>2614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0"/>
        <v>1961593</v>
      </c>
      <c r="B390" s="2" t="str">
        <f t="shared" si="31"/>
        <v>1961</v>
      </c>
      <c r="C390" s="8" t="str">
        <f t="shared" si="29"/>
        <v>1PremiumS5</v>
      </c>
      <c r="D390" s="8" t="str">
        <f t="shared" ref="D390:D403" si="32">E390&amp;H390&amp;I390</f>
        <v>1PremiumS5</v>
      </c>
      <c r="E390" s="10">
        <v>1</v>
      </c>
      <c r="F390" s="6">
        <v>593</v>
      </c>
      <c r="G390" s="8" t="str">
        <f>VLOOKUP(F390,[1]characters!$A:$C,3,FALSE)</f>
        <v>妄執する邪毒龍 ファフニール</v>
      </c>
      <c r="H390" s="8" t="str">
        <f>VLOOKUP(F390,[1]characters!$A:$J,10,FALSE)</f>
        <v>PremiumS</v>
      </c>
      <c r="I390" s="8">
        <f>VLOOKUP(F390,[1]characters!$A:$I,9,FALSE)</f>
        <v>5</v>
      </c>
      <c r="J390" s="8" t="str">
        <f>VLOOKUP(F390,[1]characters!$A:$H,8,FALSE)</f>
        <v>blue</v>
      </c>
      <c r="K390" s="8" t="str">
        <f>VLOOKUP(F390,[1]characters!$A:$K,11,FALSE)</f>
        <v>technical</v>
      </c>
      <c r="L390" s="8" t="str">
        <f>VLOOKUP(F390,[1]characters!$A:$M,13,FALSE)</f>
        <v>dragon</v>
      </c>
      <c r="M390" s="16">
        <f>VLOOKUP(D390,gacha_196_base!A:B,2,FALSE)</f>
        <v>910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0"/>
        <v>1961594</v>
      </c>
      <c r="B391" s="2" t="str">
        <f t="shared" si="31"/>
        <v>1961</v>
      </c>
      <c r="C391" s="8" t="str">
        <f t="shared" si="29"/>
        <v>1PremiumSS4</v>
      </c>
      <c r="D391" s="8" t="str">
        <f t="shared" si="32"/>
        <v>1PremiumSS4</v>
      </c>
      <c r="E391" s="10">
        <v>1</v>
      </c>
      <c r="F391" s="6">
        <v>594</v>
      </c>
      <c r="G391" s="8" t="str">
        <f>VLOOKUP(F391,[1]characters!$A:$C,3,FALSE)</f>
        <v>アルフヘイム</v>
      </c>
      <c r="H391" s="8" t="str">
        <f>VLOOKUP(F391,[1]characters!$A:$J,10,FALSE)</f>
        <v>PremiumSS</v>
      </c>
      <c r="I391" s="8">
        <f>VLOOKUP(F391,[1]characters!$A:$I,9,FALSE)</f>
        <v>4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VLOOKUP(D391,gacha_196_base!A:B,2,FALSE)</f>
        <v>2558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0"/>
        <v>1961595</v>
      </c>
      <c r="B392" s="2" t="str">
        <f t="shared" si="31"/>
        <v>1961</v>
      </c>
      <c r="C392" s="8" t="str">
        <f t="shared" si="29"/>
        <v>1PremiumSS5</v>
      </c>
      <c r="D392" s="8" t="str">
        <f t="shared" si="32"/>
        <v>1PremiumSS5</v>
      </c>
      <c r="E392" s="10">
        <v>1</v>
      </c>
      <c r="F392" s="6">
        <v>595</v>
      </c>
      <c r="G392" s="8" t="str">
        <f>VLOOKUP(F392,[1]characters!$A:$C,3,FALSE)</f>
        <v>光華なる神域 アルフヘイム</v>
      </c>
      <c r="H392" s="8" t="str">
        <f>VLOOKUP(F392,[1]characters!$A:$J,10,FALSE)</f>
        <v>PremiumSS</v>
      </c>
      <c r="I392" s="8">
        <f>VLOOKUP(F392,[1]characters!$A:$I,9,FALSE)</f>
        <v>5</v>
      </c>
      <c r="J392" s="8" t="str">
        <f>VLOOKUP(F392,[1]characters!$A:$H,8,FALSE)</f>
        <v>yellow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16">
        <f>VLOOKUP(D392,gacha_196_base!A:B,2,FALSE)</f>
        <v>169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ref="A393:A403" si="33">B393&amp;F393</f>
        <v>1961596</v>
      </c>
      <c r="B393" s="2" t="str">
        <f t="shared" si="31"/>
        <v>1961</v>
      </c>
      <c r="C393" s="8" t="str">
        <f t="shared" ref="C393:C403" si="34">E393&amp;H393&amp;I393</f>
        <v>1PremiumS3</v>
      </c>
      <c r="D393" s="8" t="str">
        <f t="shared" si="32"/>
        <v>1PremiumS3</v>
      </c>
      <c r="E393" s="10">
        <v>1</v>
      </c>
      <c r="F393" s="6">
        <v>596</v>
      </c>
      <c r="G393" s="8" t="str">
        <f>VLOOKUP(F393,[1]characters!$A:$C,3,FALSE)</f>
        <v>ムスペルヘイム</v>
      </c>
      <c r="H393" s="8" t="str">
        <f>VLOOKUP(F393,[1]characters!$A:$J,10,FALSE)</f>
        <v>PremiumS</v>
      </c>
      <c r="I393" s="8">
        <f>VLOOKUP(F393,[1]characters!$A:$I,9,FALSE)</f>
        <v>3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VLOOKUP(D393,gacha_196_base!A:B,2,FALSE)</f>
        <v>11160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3"/>
        <v>1961597</v>
      </c>
      <c r="B394" s="2" t="str">
        <f t="shared" si="31"/>
        <v>1961</v>
      </c>
      <c r="C394" s="8" t="str">
        <f t="shared" si="34"/>
        <v>1PremiumS4</v>
      </c>
      <c r="D394" s="8" t="str">
        <f t="shared" si="32"/>
        <v>1PremiumS4</v>
      </c>
      <c r="E394" s="10">
        <v>1</v>
      </c>
      <c r="F394" s="6">
        <v>597</v>
      </c>
      <c r="G394" s="8" t="str">
        <f>VLOOKUP(F394,[1]characters!$A:$C,3,FALSE)</f>
        <v>灼熱の魂 ムスペルヘイム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red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VLOOKUP(D394,gacha_196_base!A:B,2,FALSE)</f>
        <v>2614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3"/>
        <v>1961598</v>
      </c>
      <c r="B395" s="2" t="str">
        <f t="shared" si="31"/>
        <v>1961</v>
      </c>
      <c r="C395" s="8" t="str">
        <f t="shared" si="34"/>
        <v>1PremiumS5</v>
      </c>
      <c r="D395" s="8" t="str">
        <f t="shared" si="32"/>
        <v>1PremiumS5</v>
      </c>
      <c r="E395" s="10">
        <v>1</v>
      </c>
      <c r="F395" s="6">
        <v>598</v>
      </c>
      <c r="G395" s="8" t="str">
        <f>VLOOKUP(F395,[1]characters!$A:$C,3,FALSE)</f>
        <v>焼燃の情熱 ムスペルヘイム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red</v>
      </c>
      <c r="K395" s="8" t="str">
        <f>VLOOKUP(F395,[1]characters!$A:$K,11,FALSE)</f>
        <v>balance</v>
      </c>
      <c r="L395" s="8" t="str">
        <f>VLOOKUP(F395,[1]characters!$A:$M,13,FALSE)</f>
        <v>human</v>
      </c>
      <c r="M395" s="16">
        <f>VLOOKUP(D395,gacha_196_base!A:B,2,FALSE)</f>
        <v>910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3"/>
        <v>1961599</v>
      </c>
      <c r="B396" s="2" t="str">
        <f t="shared" si="31"/>
        <v>1961</v>
      </c>
      <c r="C396" s="8" t="str">
        <f t="shared" si="34"/>
        <v>1PremiumS3</v>
      </c>
      <c r="D396" s="8" t="str">
        <f t="shared" si="32"/>
        <v>1PremiumS3</v>
      </c>
      <c r="E396" s="10">
        <v>1</v>
      </c>
      <c r="F396" s="6">
        <v>599</v>
      </c>
      <c r="G396" s="8" t="str">
        <f>VLOOKUP(F396,[1]characters!$A:$C,3,FALSE)</f>
        <v>ニーズヘッグ</v>
      </c>
      <c r="H396" s="8" t="str">
        <f>VLOOKUP(F396,[1]characters!$A:$J,10,FALSE)</f>
        <v>PremiumS</v>
      </c>
      <c r="I396" s="8">
        <f>VLOOKUP(F396,[1]characters!$A:$I,9,FALSE)</f>
        <v>3</v>
      </c>
      <c r="J396" s="8" t="str">
        <f>VLOOKUP(F396,[1]characters!$A:$H,8,FALSE)</f>
        <v>green</v>
      </c>
      <c r="K396" s="8" t="str">
        <f>VLOOKUP(F396,[1]characters!$A:$K,11,FALSE)</f>
        <v>attack</v>
      </c>
      <c r="L396" s="8" t="str">
        <f>VLOOKUP(F396,[1]characters!$A:$M,13,FALSE)</f>
        <v>dragon</v>
      </c>
      <c r="M396" s="16">
        <f>VLOOKUP(D396,gacha_196_base!A:B,2,FALSE)</f>
        <v>11160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3"/>
        <v>1961600</v>
      </c>
      <c r="B397" s="2" t="str">
        <f t="shared" si="31"/>
        <v>1961</v>
      </c>
      <c r="C397" s="8" t="str">
        <f t="shared" si="34"/>
        <v>1PremiumS4</v>
      </c>
      <c r="D397" s="8" t="str">
        <f t="shared" si="32"/>
        <v>1PremiumS4</v>
      </c>
      <c r="E397" s="10">
        <v>1</v>
      </c>
      <c r="F397" s="6">
        <v>600</v>
      </c>
      <c r="G397" s="8" t="str">
        <f>VLOOKUP(F397,[1]characters!$A:$C,3,FALSE)</f>
        <v>界下に潜む蛇 ニーズヘッグ</v>
      </c>
      <c r="H397" s="8" t="str">
        <f>VLOOKUP(F397,[1]characters!$A:$J,10,FALSE)</f>
        <v>PremiumS</v>
      </c>
      <c r="I397" s="8">
        <f>VLOOKUP(F397,[1]characters!$A:$I,9,FALSE)</f>
        <v>4</v>
      </c>
      <c r="J397" s="8" t="str">
        <f>VLOOKUP(F397,[1]characters!$A:$H,8,FALSE)</f>
        <v>green</v>
      </c>
      <c r="K397" s="8" t="str">
        <f>VLOOKUP(F397,[1]characters!$A:$K,11,FALSE)</f>
        <v>attack</v>
      </c>
      <c r="L397" s="8" t="str">
        <f>VLOOKUP(F397,[1]characters!$A:$M,13,FALSE)</f>
        <v>dragon</v>
      </c>
      <c r="M397" s="16">
        <f>VLOOKUP(D397,gacha_196_base!A:B,2,FALSE)</f>
        <v>2614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3"/>
        <v>1961601</v>
      </c>
      <c r="B398" s="2" t="str">
        <f t="shared" si="31"/>
        <v>1961</v>
      </c>
      <c r="C398" s="8" t="str">
        <f t="shared" si="34"/>
        <v>1PremiumS5</v>
      </c>
      <c r="D398" s="8" t="str">
        <f t="shared" si="32"/>
        <v>1PremiumS5</v>
      </c>
      <c r="E398" s="10">
        <v>1</v>
      </c>
      <c r="F398" s="6">
        <v>601</v>
      </c>
      <c r="G398" s="8" t="str">
        <f>VLOOKUP(F398,[1]characters!$A:$C,3,FALSE)</f>
        <v>界根蝕む悪食 ニーズヘッグ</v>
      </c>
      <c r="H398" s="8" t="str">
        <f>VLOOKUP(F398,[1]characters!$A:$J,10,FALSE)</f>
        <v>PremiumS</v>
      </c>
      <c r="I398" s="8">
        <f>VLOOKUP(F398,[1]characters!$A:$I,9,FALSE)</f>
        <v>5</v>
      </c>
      <c r="J398" s="8" t="str">
        <f>VLOOKUP(F398,[1]characters!$A:$H,8,FALSE)</f>
        <v>green</v>
      </c>
      <c r="K398" s="8" t="str">
        <f>VLOOKUP(F398,[1]characters!$A:$K,11,FALSE)</f>
        <v>attack</v>
      </c>
      <c r="L398" s="8" t="str">
        <f>VLOOKUP(F398,[1]characters!$A:$M,13,FALSE)</f>
        <v>dragon</v>
      </c>
      <c r="M398" s="16">
        <f>VLOOKUP(D398,gacha_196_base!A:B,2,FALSE)</f>
        <v>910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3"/>
        <v>1961602</v>
      </c>
      <c r="B399" s="2" t="str">
        <f t="shared" si="31"/>
        <v>1961</v>
      </c>
      <c r="C399" s="8" t="str">
        <f t="shared" si="34"/>
        <v>1PremiumSS4</v>
      </c>
      <c r="D399" s="8" t="str">
        <f t="shared" si="32"/>
        <v>1PremiumSS4</v>
      </c>
      <c r="E399" s="10">
        <v>1</v>
      </c>
      <c r="F399" s="6">
        <v>602</v>
      </c>
      <c r="G399" s="8" t="str">
        <f>VLOOKUP(F399,[1]characters!$A:$C,3,FALSE)</f>
        <v>フレイヤ</v>
      </c>
      <c r="H399" s="8" t="str">
        <f>VLOOKUP(F399,[1]characters!$A:$J,10,FALSE)</f>
        <v>PremiumSS</v>
      </c>
      <c r="I399" s="8">
        <f>VLOOKUP(F399,[1]characters!$A:$I,9,FALSE)</f>
        <v>4</v>
      </c>
      <c r="J399" s="8" t="str">
        <f>VLOOKUP(F399,[1]characters!$A:$H,8,FALSE)</f>
        <v>blue</v>
      </c>
      <c r="K399" s="8" t="str">
        <f>VLOOKUP(F399,[1]characters!$A:$K,11,FALSE)</f>
        <v>heal</v>
      </c>
      <c r="L399" s="8" t="str">
        <f>VLOOKUP(F399,[1]characters!$A:$M,13,FALSE)</f>
        <v>animal</v>
      </c>
      <c r="M399" s="16">
        <f>VLOOKUP(D399,gacha_196_base!A:B,2,FALSE)</f>
        <v>2558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3"/>
        <v>1961603</v>
      </c>
      <c r="B400" s="2" t="str">
        <f t="shared" si="31"/>
        <v>1961</v>
      </c>
      <c r="C400" s="8" t="str">
        <f t="shared" si="34"/>
        <v>1PremiumSS5</v>
      </c>
      <c r="D400" s="8" t="str">
        <f t="shared" si="32"/>
        <v>1PremiumSS5</v>
      </c>
      <c r="E400" s="10">
        <v>1</v>
      </c>
      <c r="F400" s="6">
        <v>603</v>
      </c>
      <c r="G400" s="8" t="str">
        <f>VLOOKUP(F400,[1]characters!$A:$C,3,FALSE)</f>
        <v>掌愛の豊穣女神 フレイヤ</v>
      </c>
      <c r="H400" s="8" t="str">
        <f>VLOOKUP(F400,[1]characters!$A:$J,10,FALSE)</f>
        <v>PremiumSS</v>
      </c>
      <c r="I400" s="8">
        <f>VLOOKUP(F400,[1]characters!$A:$I,9,FALSE)</f>
        <v>5</v>
      </c>
      <c r="J400" s="8" t="str">
        <f>VLOOKUP(F400,[1]characters!$A:$H,8,FALSE)</f>
        <v>blue</v>
      </c>
      <c r="K400" s="8" t="str">
        <f>VLOOKUP(F400,[1]characters!$A:$K,11,FALSE)</f>
        <v>heal</v>
      </c>
      <c r="L400" s="8" t="str">
        <f>VLOOKUP(F400,[1]characters!$A:$M,13,FALSE)</f>
        <v>animal</v>
      </c>
      <c r="M400" s="16">
        <f>VLOOKUP(D400,gacha_196_base!A:B,2,FALSE)</f>
        <v>169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3"/>
        <v>1961604</v>
      </c>
      <c r="B401" s="2" t="str">
        <f t="shared" si="31"/>
        <v>1961</v>
      </c>
      <c r="C401" s="8" t="str">
        <f t="shared" si="34"/>
        <v>1PremiumS3</v>
      </c>
      <c r="D401" s="8" t="str">
        <f t="shared" si="32"/>
        <v>1PremiumS3</v>
      </c>
      <c r="E401" s="10">
        <v>1</v>
      </c>
      <c r="F401" s="6">
        <v>604</v>
      </c>
      <c r="G401" s="8" t="str">
        <f>VLOOKUP(F401,[1]characters!$A:$C,3,FALSE)</f>
        <v>バルドル</v>
      </c>
      <c r="H401" s="8" t="str">
        <f>VLOOKUP(F401,[1]characters!$A:$J,10,FALSE)</f>
        <v>PremiumS</v>
      </c>
      <c r="I401" s="8">
        <f>VLOOKUP(F401,[1]characters!$A:$I,9,FALSE)</f>
        <v>3</v>
      </c>
      <c r="J401" s="8" t="str">
        <f>VLOOKUP(F401,[1]characters!$A:$H,8,FALSE)</f>
        <v>yellow</v>
      </c>
      <c r="K401" s="8" t="str">
        <f>VLOOKUP(F401,[1]characters!$A:$K,11,FALSE)</f>
        <v>heal</v>
      </c>
      <c r="L401" s="8" t="str">
        <f>VLOOKUP(F401,[1]characters!$A:$M,13,FALSE)</f>
        <v>god</v>
      </c>
      <c r="M401" s="16">
        <f>VLOOKUP(D401,gacha_196_base!A:B,2,FALSE)</f>
        <v>11160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3"/>
        <v>1961605</v>
      </c>
      <c r="B402" s="2" t="str">
        <f t="shared" si="31"/>
        <v>1961</v>
      </c>
      <c r="C402" s="8" t="str">
        <f t="shared" si="34"/>
        <v>1PremiumS4</v>
      </c>
      <c r="D402" s="8" t="str">
        <f t="shared" si="32"/>
        <v>1PremiumS4</v>
      </c>
      <c r="E402" s="10">
        <v>1</v>
      </c>
      <c r="F402" s="6">
        <v>605</v>
      </c>
      <c r="G402" s="8" t="str">
        <f>VLOOKUP(F402,[1]characters!$A:$C,3,FALSE)</f>
        <v>祝福される光耀 バルドル</v>
      </c>
      <c r="H402" s="8" t="str">
        <f>VLOOKUP(F402,[1]characters!$A:$J,10,FALSE)</f>
        <v>PremiumS</v>
      </c>
      <c r="I402" s="8">
        <f>VLOOKUP(F402,[1]characters!$A:$I,9,FALSE)</f>
        <v>4</v>
      </c>
      <c r="J402" s="8" t="str">
        <f>VLOOKUP(F402,[1]characters!$A:$H,8,FALSE)</f>
        <v>yellow</v>
      </c>
      <c r="K402" s="8" t="str">
        <f>VLOOKUP(F402,[1]characters!$A:$K,11,FALSE)</f>
        <v>heal</v>
      </c>
      <c r="L402" s="8" t="str">
        <f>VLOOKUP(F402,[1]characters!$A:$M,13,FALSE)</f>
        <v>god</v>
      </c>
      <c r="M402" s="16">
        <f>VLOOKUP(D402,gacha_196_base!A:B,2,FALSE)</f>
        <v>2614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3"/>
        <v>1961606</v>
      </c>
      <c r="B403" s="2" t="str">
        <f t="shared" si="31"/>
        <v>1961</v>
      </c>
      <c r="C403" s="8" t="str">
        <f t="shared" si="34"/>
        <v>1PremiumS5</v>
      </c>
      <c r="D403" s="8" t="str">
        <f t="shared" si="32"/>
        <v>1PremiumS5</v>
      </c>
      <c r="E403" s="10">
        <v>1</v>
      </c>
      <c r="F403" s="6">
        <v>606</v>
      </c>
      <c r="G403" s="8" t="str">
        <f>VLOOKUP(F403,[1]characters!$A:$C,3,FALSE)</f>
        <v>冀望の光芒 バルドル</v>
      </c>
      <c r="H403" s="8" t="str">
        <f>VLOOKUP(F403,[1]characters!$A:$J,10,FALSE)</f>
        <v>PremiumS</v>
      </c>
      <c r="I403" s="8">
        <f>VLOOKUP(F403,[1]characters!$A:$I,9,FALSE)</f>
        <v>5</v>
      </c>
      <c r="J403" s="8" t="str">
        <f>VLOOKUP(F403,[1]characters!$A:$H,8,FALSE)</f>
        <v>yellow</v>
      </c>
      <c r="K403" s="8" t="str">
        <f>VLOOKUP(F403,[1]characters!$A:$K,11,FALSE)</f>
        <v>heal</v>
      </c>
      <c r="L403" s="8" t="str">
        <f>VLOOKUP(F403,[1]characters!$A:$M,13,FALSE)</f>
        <v>god</v>
      </c>
      <c r="M403" s="16">
        <f>VLOOKUP(D403,gacha_196_base!A:B,2,FALSE)</f>
        <v>910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ref="A404:A407" si="35">B404&amp;F404</f>
        <v>1961410</v>
      </c>
      <c r="B404" s="2" t="str">
        <f t="shared" si="31"/>
        <v>1961</v>
      </c>
      <c r="C404" s="8" t="str">
        <f t="shared" ref="C404:C407" si="36">E404&amp;H404&amp;I404</f>
        <v>1PremiumSSS4</v>
      </c>
      <c r="D404" s="8" t="str">
        <f t="shared" ref="D404:D407" si="37">E404&amp;H404&amp;I404</f>
        <v>1PremiumSSS4</v>
      </c>
      <c r="E404" s="10">
        <v>1</v>
      </c>
      <c r="F404" s="16">
        <v>410</v>
      </c>
      <c r="G404" s="8" t="str">
        <f>VLOOKUP(F404,[1]characters!$A:$C,3,FALSE)</f>
        <v>ファラデー</v>
      </c>
      <c r="H404" s="8" t="str">
        <f>VLOOKUP(F404,[1]characters!$A:$J,10,FALSE)</f>
        <v>PremiumSSS</v>
      </c>
      <c r="I404" s="8">
        <f>VLOOKUP(F404,[1]characters!$A:$I,9,FALSE)</f>
        <v>4</v>
      </c>
      <c r="J404" s="8" t="str">
        <f>VLOOKUP(F404,[1]characters!$A:$H,8,FALSE)</f>
        <v>yellow</v>
      </c>
      <c r="K404" s="8" t="str">
        <f>VLOOKUP(F404,[1]characters!$A:$K,11,FALSE)</f>
        <v>balance</v>
      </c>
      <c r="L404" s="8" t="str">
        <f>VLOOKUP(F404,[1]characters!$A:$M,13,FALSE)</f>
        <v>human</v>
      </c>
      <c r="M404" s="16">
        <v>6566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si="35"/>
        <v>1961411</v>
      </c>
      <c r="B405" s="2" t="str">
        <f t="shared" si="31"/>
        <v>1961</v>
      </c>
      <c r="C405" s="8" t="str">
        <f t="shared" si="36"/>
        <v>1PremiumSSS5</v>
      </c>
      <c r="D405" s="8" t="str">
        <f t="shared" si="37"/>
        <v>1PremiumSSS5</v>
      </c>
      <c r="E405" s="10">
        <v>1</v>
      </c>
      <c r="F405" s="16">
        <v>411</v>
      </c>
      <c r="G405" s="8" t="str">
        <f>VLOOKUP(F405,[1]characters!$A:$C,3,FALSE)</f>
        <v>電隷の始祖 ファラデー</v>
      </c>
      <c r="H405" s="8" t="str">
        <f>VLOOKUP(F405,[1]characters!$A:$J,10,FALSE)</f>
        <v>PremiumSSS</v>
      </c>
      <c r="I405" s="8">
        <f>VLOOKUP(F405,[1]characters!$A:$I,9,FALSE)</f>
        <v>5</v>
      </c>
      <c r="J405" s="8" t="str">
        <f>VLOOKUP(F405,[1]characters!$A:$H,8,FALSE)</f>
        <v>yellow</v>
      </c>
      <c r="K405" s="8" t="str">
        <f>VLOOKUP(F405,[1]characters!$A:$K,11,FALSE)</f>
        <v>balance</v>
      </c>
      <c r="L405" s="8" t="str">
        <f>VLOOKUP(F405,[1]characters!$A:$M,13,FALSE)</f>
        <v>human</v>
      </c>
      <c r="M405" s="16">
        <v>434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5"/>
        <v>1961688</v>
      </c>
      <c r="B406" s="2" t="str">
        <f t="shared" si="31"/>
        <v>1961</v>
      </c>
      <c r="C406" s="8" t="str">
        <f t="shared" si="36"/>
        <v>1PremiumSSS4</v>
      </c>
      <c r="D406" s="8" t="str">
        <f t="shared" si="37"/>
        <v>1PremiumSSS4</v>
      </c>
      <c r="E406" s="10">
        <v>1</v>
      </c>
      <c r="F406" s="16">
        <v>688</v>
      </c>
      <c r="G406" s="8" t="str">
        <f>VLOOKUP(F406,[1]characters!$A:$C,3,FALSE)</f>
        <v>ユークリッド</v>
      </c>
      <c r="H406" s="8" t="str">
        <f>VLOOKUP(F406,[1]characters!$A:$J,10,FALSE)</f>
        <v>PremiumSSS</v>
      </c>
      <c r="I406" s="8">
        <f>VLOOKUP(F406,[1]characters!$A:$I,9,FALSE)</f>
        <v>4</v>
      </c>
      <c r="J406" s="8" t="str">
        <f>VLOOKUP(F406,[1]characters!$A:$H,8,FALSE)</f>
        <v>blue</v>
      </c>
      <c r="K406" s="8" t="str">
        <f>VLOOKUP(F406,[1]characters!$A:$K,11,FALSE)</f>
        <v>balance</v>
      </c>
      <c r="L406" s="8" t="str">
        <f>VLOOKUP(F406,[1]characters!$A:$M,13,FALSE)</f>
        <v>human</v>
      </c>
      <c r="M406" s="16">
        <v>2814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5"/>
        <v>1961689</v>
      </c>
      <c r="B407" s="2" t="str">
        <f t="shared" si="31"/>
        <v>1961</v>
      </c>
      <c r="C407" s="8" t="str">
        <f t="shared" si="36"/>
        <v>1PremiumSSS5</v>
      </c>
      <c r="D407" s="8" t="str">
        <f t="shared" si="37"/>
        <v>1PremiumSSS5</v>
      </c>
      <c r="E407" s="10">
        <v>1</v>
      </c>
      <c r="F407" s="16">
        <v>689</v>
      </c>
      <c r="G407" s="8" t="str">
        <f>VLOOKUP(F407,[1]characters!$A:$C,3,FALSE)</f>
        <v>根原論理 ユークリッド</v>
      </c>
      <c r="H407" s="8" t="str">
        <f>VLOOKUP(F407,[1]characters!$A:$J,10,FALSE)</f>
        <v>PremiumSSS</v>
      </c>
      <c r="I407" s="8">
        <f>VLOOKUP(F407,[1]characters!$A:$I,9,FALSE)</f>
        <v>5</v>
      </c>
      <c r="J407" s="8" t="str">
        <f>VLOOKUP(F407,[1]characters!$A:$H,8,FALSE)</f>
        <v>blue</v>
      </c>
      <c r="K407" s="8" t="str">
        <f>VLOOKUP(F407,[1]characters!$A:$K,11,FALSE)</f>
        <v>balance</v>
      </c>
      <c r="L407" s="8" t="str">
        <f>VLOOKUP(F407,[1]characters!$A:$M,13,FALSE)</f>
        <v>human</v>
      </c>
      <c r="M407" s="16">
        <v>186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</sheetData>
  <autoFilter ref="A1:S407"/>
  <sortState ref="A2:S189">
    <sortCondition ref="B2:B189"/>
    <sortCondition ref="F2:F189"/>
  </sortState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5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57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57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2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50"/>
  <sheetViews>
    <sheetView workbookViewId="0">
      <pane ySplit="1" topLeftCell="A2" activePane="bottomLeft" state="frozen"/>
      <selection pane="bottomLeft" activeCell="H50" sqref="H5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8"/>
      <c r="C2" s="5"/>
      <c r="D2" s="5"/>
      <c r="E2" s="5"/>
      <c r="F2" s="5"/>
      <c r="G2" s="5"/>
      <c r="H2" s="16"/>
    </row>
    <row r="3" spans="1:8">
      <c r="A3" s="6"/>
      <c r="B3" s="8"/>
      <c r="C3" s="5"/>
      <c r="D3" s="5"/>
      <c r="E3" s="5"/>
      <c r="F3" s="5"/>
      <c r="G3" s="5"/>
      <c r="H3" s="16"/>
    </row>
    <row r="4" spans="1:8">
      <c r="A4" s="6"/>
      <c r="B4" s="8"/>
      <c r="C4" s="5"/>
      <c r="D4" s="5"/>
      <c r="E4" s="5"/>
      <c r="F4" s="5"/>
      <c r="G4" s="5"/>
      <c r="H4" s="16"/>
    </row>
    <row r="5" spans="1:8">
      <c r="A5" s="6"/>
      <c r="B5" s="8"/>
      <c r="C5" s="5"/>
      <c r="D5" s="5"/>
      <c r="E5" s="5"/>
      <c r="F5" s="5"/>
      <c r="G5" s="5"/>
      <c r="H5" s="16"/>
    </row>
    <row r="6" spans="1:8">
      <c r="A6" s="6"/>
      <c r="B6" s="8"/>
      <c r="C6" s="5"/>
      <c r="D6" s="5"/>
      <c r="E6" s="5"/>
      <c r="F6" s="5"/>
      <c r="G6" s="5"/>
      <c r="H6" s="16"/>
    </row>
    <row r="7" spans="1:8">
      <c r="A7" s="6"/>
      <c r="B7" s="8"/>
      <c r="C7" s="5"/>
      <c r="D7" s="5"/>
      <c r="E7" s="5"/>
      <c r="F7" s="5"/>
      <c r="G7" s="5"/>
      <c r="H7" s="16"/>
    </row>
    <row r="8" spans="1:8">
      <c r="A8" s="6"/>
      <c r="B8" s="8"/>
      <c r="C8" s="5"/>
      <c r="D8" s="5"/>
      <c r="E8" s="5"/>
      <c r="F8" s="5"/>
      <c r="G8" s="5"/>
      <c r="H8" s="16"/>
    </row>
    <row r="9" spans="1:8">
      <c r="A9" s="6"/>
      <c r="B9" s="8"/>
      <c r="C9" s="5"/>
      <c r="D9" s="5"/>
      <c r="E9" s="5"/>
      <c r="F9" s="5"/>
      <c r="G9" s="5"/>
      <c r="H9" s="16"/>
    </row>
    <row r="10" spans="1:8">
      <c r="A10" s="6"/>
      <c r="B10" s="8"/>
      <c r="C10" s="5"/>
      <c r="D10" s="5"/>
      <c r="E10" s="5"/>
      <c r="F10" s="5"/>
      <c r="G10" s="5"/>
      <c r="H10" s="16"/>
    </row>
    <row r="11" spans="1:8">
      <c r="A11" s="6"/>
      <c r="B11" s="8"/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6"/>
      <c r="B13" s="8"/>
      <c r="C13" s="16"/>
      <c r="D13" s="16"/>
      <c r="E13" s="5"/>
      <c r="F13" s="5"/>
      <c r="G13" s="5"/>
      <c r="H13" s="16"/>
    </row>
    <row r="14" spans="1:8">
      <c r="A14" s="6"/>
      <c r="B14" s="8"/>
      <c r="C14" s="16"/>
      <c r="D14" s="16"/>
      <c r="E14" s="5"/>
      <c r="F14" s="5"/>
      <c r="G14" s="5"/>
      <c r="H14" s="16"/>
    </row>
    <row r="15" spans="1:8">
      <c r="A15" s="6"/>
      <c r="B15" s="8"/>
      <c r="C15" s="16"/>
      <c r="D15" s="16"/>
      <c r="E15" s="5"/>
      <c r="F15" s="5"/>
      <c r="G15" s="5"/>
      <c r="H15" s="16"/>
    </row>
    <row r="16" spans="1:8">
      <c r="A16" s="6"/>
      <c r="B16" s="8"/>
      <c r="C16" s="16"/>
      <c r="D16" s="16"/>
      <c r="E16" s="5"/>
      <c r="F16" s="5"/>
      <c r="G16" s="5"/>
      <c r="H16" s="16"/>
    </row>
    <row r="17" spans="1:8">
      <c r="A17" s="6"/>
      <c r="B17" s="8"/>
      <c r="C17" s="16"/>
      <c r="D17" s="16"/>
      <c r="E17" s="5"/>
      <c r="F17" s="5"/>
      <c r="G17" s="5"/>
      <c r="H17" s="16"/>
    </row>
    <row r="18" spans="1:8">
      <c r="A18" s="6"/>
      <c r="B18" s="8"/>
      <c r="C18" s="16"/>
      <c r="D18" s="16"/>
      <c r="E18" s="5"/>
      <c r="F18" s="5"/>
      <c r="G18" s="5"/>
      <c r="H18" s="16"/>
    </row>
    <row r="19" spans="1:8">
      <c r="A19" s="6"/>
      <c r="B19" s="8"/>
      <c r="C19" s="16"/>
      <c r="D19" s="16"/>
      <c r="E19" s="5"/>
      <c r="F19" s="5"/>
      <c r="G19" s="5"/>
      <c r="H19" s="16"/>
    </row>
    <row r="20" spans="1:8">
      <c r="A20" s="6"/>
      <c r="B20" s="8"/>
      <c r="C20" s="16"/>
      <c r="D20" s="16"/>
      <c r="E20" s="5"/>
      <c r="F20" s="5"/>
      <c r="G20" s="5"/>
      <c r="H20" s="16"/>
    </row>
    <row r="21" spans="1:8">
      <c r="A21" s="6"/>
      <c r="B21" s="8"/>
      <c r="C21" s="16"/>
      <c r="D21" s="16"/>
      <c r="E21" s="5"/>
      <c r="F21" s="5"/>
      <c r="G21" s="5"/>
      <c r="H21" s="16"/>
    </row>
    <row r="22" spans="1:8">
      <c r="A22" s="6"/>
      <c r="B22" s="8"/>
      <c r="C22" s="16"/>
      <c r="D22" s="16"/>
      <c r="E22" s="5"/>
      <c r="F22" s="5"/>
      <c r="G22" s="5"/>
      <c r="H22" s="16"/>
    </row>
    <row r="23" spans="1:8">
      <c r="A23" s="6"/>
      <c r="B23" s="8"/>
      <c r="C23" s="16"/>
      <c r="D23" s="16"/>
      <c r="E23" s="5"/>
      <c r="F23" s="5"/>
      <c r="G23" s="5"/>
      <c r="H23" s="16"/>
    </row>
    <row r="24" spans="1:8">
      <c r="A24" s="6"/>
      <c r="B24" s="8"/>
      <c r="C24" s="16"/>
      <c r="D24" s="16"/>
      <c r="E24" s="5"/>
      <c r="F24" s="5"/>
      <c r="G24" s="5"/>
      <c r="H24" s="16"/>
    </row>
    <row r="25" spans="1:8">
      <c r="A25" s="6"/>
      <c r="B25" s="8"/>
      <c r="C25" s="16"/>
      <c r="D25" s="16"/>
      <c r="E25" s="5"/>
      <c r="F25" s="5"/>
      <c r="G25" s="5"/>
      <c r="H25" s="16"/>
    </row>
    <row r="26" spans="1:8">
      <c r="A26" s="9"/>
      <c r="B26" s="8"/>
      <c r="C26" s="16"/>
      <c r="D26" s="16"/>
      <c r="E26" s="5"/>
      <c r="F26" s="5"/>
      <c r="G26" s="5"/>
      <c r="H26" s="16"/>
    </row>
    <row r="27" spans="1:8">
      <c r="A27" s="6"/>
      <c r="B27" s="8"/>
      <c r="C27" s="16"/>
      <c r="D27" s="16"/>
      <c r="E27" s="5"/>
      <c r="F27" s="5"/>
      <c r="G27" s="5"/>
      <c r="H27" s="16"/>
    </row>
    <row r="28" spans="1:8">
      <c r="A28" s="6"/>
      <c r="B28" s="8"/>
      <c r="C28" s="16"/>
      <c r="D28" s="16"/>
      <c r="E28" s="5"/>
      <c r="F28" s="5"/>
      <c r="G28" s="5"/>
      <c r="H28" s="16"/>
    </row>
    <row r="29" spans="1:8">
      <c r="A29" s="6"/>
      <c r="B29" s="8"/>
      <c r="C29" s="16"/>
      <c r="D29" s="16"/>
      <c r="E29" s="5"/>
      <c r="F29" s="5"/>
      <c r="G29" s="5"/>
      <c r="H29" s="16"/>
    </row>
    <row r="30" spans="1:8">
      <c r="A30" s="6"/>
      <c r="B30" s="8"/>
      <c r="C30" s="16"/>
      <c r="D30" s="16"/>
      <c r="E30" s="5"/>
      <c r="F30" s="5"/>
      <c r="G30" s="5"/>
      <c r="H30" s="16"/>
    </row>
    <row r="31" spans="1:8">
      <c r="A31" s="6"/>
      <c r="B31" s="8"/>
      <c r="C31" s="16"/>
      <c r="D31" s="16"/>
      <c r="E31" s="5"/>
      <c r="F31" s="5"/>
      <c r="G31" s="5"/>
      <c r="H31" s="16"/>
    </row>
    <row r="32" spans="1:8">
      <c r="A32" s="6"/>
      <c r="B32" s="8"/>
      <c r="C32" s="16"/>
      <c r="D32" s="16"/>
      <c r="E32" s="5"/>
      <c r="F32" s="5"/>
      <c r="G32" s="5"/>
      <c r="H32" s="16"/>
    </row>
    <row r="33" spans="1:8">
      <c r="A33" s="6"/>
      <c r="B33" s="8"/>
      <c r="C33" s="16"/>
      <c r="D33" s="16"/>
      <c r="E33" s="5"/>
      <c r="F33" s="5"/>
      <c r="G33" s="5"/>
      <c r="H33" s="16"/>
    </row>
    <row r="34" spans="1:8">
      <c r="A34" s="6"/>
      <c r="B34" s="8"/>
      <c r="C34" s="16"/>
      <c r="D34" s="16"/>
      <c r="E34" s="5"/>
      <c r="F34" s="5"/>
      <c r="G34" s="5"/>
      <c r="H34" s="16"/>
    </row>
    <row r="35" spans="1:8">
      <c r="A35" s="6"/>
      <c r="B35" s="8"/>
      <c r="C35" s="16"/>
      <c r="D35" s="16"/>
      <c r="E35" s="5"/>
      <c r="F35" s="5"/>
      <c r="G35" s="5"/>
      <c r="H35" s="16"/>
    </row>
    <row r="36" spans="1:8">
      <c r="A36" s="6"/>
      <c r="B36" s="8"/>
      <c r="C36" s="16"/>
      <c r="D36" s="16"/>
      <c r="E36" s="5"/>
      <c r="F36" s="5"/>
      <c r="G36" s="5"/>
      <c r="H36" s="16"/>
    </row>
    <row r="37" spans="1:8">
      <c r="A37" s="6"/>
      <c r="B37" s="8"/>
      <c r="C37" s="16"/>
      <c r="D37" s="16"/>
      <c r="E37" s="5"/>
      <c r="F37" s="5"/>
      <c r="G37" s="5"/>
      <c r="H37" s="16"/>
    </row>
    <row r="38" spans="1:8">
      <c r="A38" s="6"/>
      <c r="B38" s="8"/>
      <c r="C38" s="16"/>
      <c r="D38" s="16"/>
      <c r="E38" s="5"/>
      <c r="F38" s="5"/>
      <c r="G38" s="5"/>
      <c r="H38" s="16"/>
    </row>
    <row r="39" spans="1:8">
      <c r="A39" s="6"/>
      <c r="B39" s="8"/>
      <c r="C39" s="16"/>
      <c r="D39" s="16"/>
      <c r="E39" s="5"/>
      <c r="F39" s="5"/>
      <c r="G39" s="5"/>
      <c r="H39" s="16"/>
    </row>
    <row r="40" spans="1:8">
      <c r="A40" s="6"/>
      <c r="B40" s="8"/>
      <c r="C40" s="16"/>
      <c r="D40" s="16"/>
      <c r="E40" s="5"/>
      <c r="F40" s="5"/>
      <c r="G40" s="5"/>
      <c r="H40" s="16"/>
    </row>
    <row r="41" spans="1:8">
      <c r="A41" s="6"/>
      <c r="B41" s="8"/>
      <c r="C41" s="16"/>
      <c r="D41" s="16"/>
      <c r="E41" s="5"/>
      <c r="F41" s="5"/>
      <c r="G41" s="5"/>
      <c r="H41" s="16"/>
    </row>
    <row r="42" spans="1:8">
      <c r="A42" s="6"/>
      <c r="B42" s="8"/>
      <c r="C42" s="16"/>
      <c r="D42" s="16"/>
      <c r="E42" s="5"/>
      <c r="F42" s="5"/>
      <c r="G42" s="5"/>
      <c r="H42" s="16"/>
    </row>
    <row r="43" spans="1:8">
      <c r="A43" s="6"/>
      <c r="B43" s="8"/>
      <c r="C43" s="16"/>
      <c r="D43" s="16"/>
      <c r="E43" s="5"/>
      <c r="F43" s="5"/>
      <c r="G43" s="5"/>
      <c r="H43" s="16"/>
    </row>
    <row r="44" spans="1:8">
      <c r="A44" s="57"/>
      <c r="B44" s="8"/>
      <c r="C44" s="16"/>
      <c r="D44" s="16"/>
      <c r="E44" s="5"/>
      <c r="F44" s="5"/>
      <c r="G44" s="5"/>
      <c r="H44" s="16"/>
    </row>
    <row r="45" spans="1:8">
      <c r="A45" s="57"/>
      <c r="B45" s="8"/>
      <c r="C45" s="16"/>
      <c r="D45" s="16"/>
      <c r="E45" s="5"/>
      <c r="F45" s="5"/>
      <c r="G45" s="5"/>
      <c r="H45" s="16"/>
    </row>
    <row r="46" spans="1:8">
      <c r="A46" s="6"/>
      <c r="B46" s="8"/>
      <c r="C46" s="16"/>
      <c r="D46" s="16"/>
      <c r="E46" s="5"/>
      <c r="F46" s="5"/>
      <c r="G46" s="5"/>
      <c r="H46" s="16"/>
    </row>
    <row r="47" spans="1:8">
      <c r="A47" s="6"/>
      <c r="B47" s="8"/>
      <c r="C47" s="16"/>
      <c r="D47" s="16"/>
      <c r="E47" s="5"/>
      <c r="F47" s="5"/>
      <c r="G47" s="5"/>
      <c r="H47" s="16"/>
    </row>
    <row r="48" spans="1:8">
      <c r="A48" s="6"/>
      <c r="B48" s="8"/>
      <c r="C48" s="16"/>
      <c r="D48" s="16"/>
      <c r="E48" s="5"/>
      <c r="F48" s="5"/>
      <c r="G48" s="5"/>
      <c r="H48" s="16"/>
    </row>
    <row r="49" spans="1:8">
      <c r="A49" s="6"/>
      <c r="B49" s="8"/>
      <c r="C49" s="16"/>
      <c r="D49" s="16"/>
      <c r="E49" s="5"/>
      <c r="F49" s="5"/>
      <c r="G49" s="5"/>
      <c r="H49" s="16"/>
    </row>
    <row r="50" spans="1:8">
      <c r="A50" s="16" t="s">
        <v>88</v>
      </c>
      <c r="B50" s="8" t="str">
        <f>IFERROR(VLOOKUP(A50,[1]characters!$A:$C,3,FALSE),"")</f>
        <v/>
      </c>
      <c r="C50" s="5">
        <v>1</v>
      </c>
      <c r="D50" s="5">
        <v>0</v>
      </c>
      <c r="E50" s="5">
        <v>0</v>
      </c>
      <c r="F50" s="5">
        <v>0</v>
      </c>
      <c r="G50" s="5">
        <v>0</v>
      </c>
      <c r="H50" s="16">
        <v>1</v>
      </c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H29" sqref="H29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196</v>
      </c>
    </row>
    <row r="5" spans="1:8">
      <c r="A5" s="42" t="s">
        <v>82</v>
      </c>
      <c r="B5" s="43" t="str">
        <f>$A$3 &amp; "1"</f>
        <v>1961</v>
      </c>
      <c r="C5" s="62"/>
      <c r="D5" s="42" t="s">
        <v>85</v>
      </c>
      <c r="E5" s="43" t="str">
        <f>$A$3 &amp; "0"</f>
        <v>1960</v>
      </c>
      <c r="F5" s="62"/>
      <c r="G5" s="42" t="s">
        <v>86</v>
      </c>
      <c r="H5" s="43" t="str">
        <f>$A$3 &amp; "3"</f>
        <v>1963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4</v>
      </c>
      <c r="B7" s="45"/>
      <c r="C7" s="62"/>
      <c r="D7" s="47">
        <f>COUNTIFS(gacha_select_tables!$H:$H,"PremiumSSS",gacha_select_tables!$B:$B,E5)</f>
        <v>4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238</v>
      </c>
      <c r="B16" s="46"/>
      <c r="C16" s="62"/>
      <c r="D16" s="48">
        <f>COUNTIF(gacha_select_tables!$B:$B,E5)</f>
        <v>168</v>
      </c>
      <c r="E16" s="46"/>
      <c r="F16" s="62"/>
      <c r="G16" s="48">
        <f>COUNTIF(gacha_settle_tables!B:B,H5)</f>
        <v>0</v>
      </c>
      <c r="H16" s="46"/>
    </row>
  </sheetData>
  <phoneticPr fontId="12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gacha_196_base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2016-02-25T12:34:58Z</dcterms:modified>
</cp:coreProperties>
</file>