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518" codeName="{00000000-0000-0000-0000-000000000000}"/>
  <workbookPr codeName="ThisWorkbook" autoCompressPictures="0"/>
  <bookViews>
    <workbookView xWindow="0" yWindow="0" windowWidth="28280" windowHeight="10960" tabRatio="740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</sheets>
  <externalReferences>
    <externalReference r:id="rId8"/>
    <externalReference r:id="rId9"/>
    <externalReference r:id="rId10"/>
    <externalReference r:id="rId11"/>
    <externalReference r:id="rId12"/>
    <externalReference r:id="rId13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Excel_BuiltIn__FilterDatabase_6_1" localSheetId="4">[1]unit_skills!#REF!</definedName>
    <definedName name="Excel_BuiltIn__FilterDatabase_6_1" localSheetId="6">[1]unit_skills!#REF!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6" l="1"/>
  <c r="C5" i="16"/>
  <c r="C6" i="16"/>
  <c r="C7" i="16"/>
  <c r="C8" i="16"/>
  <c r="C3" i="16"/>
  <c r="O2" i="9"/>
  <c r="N2" i="9"/>
  <c r="M2" i="9"/>
  <c r="L2" i="9"/>
  <c r="K2" i="9"/>
  <c r="J2" i="9"/>
  <c r="I2" i="9"/>
  <c r="H2" i="9"/>
  <c r="G2" i="9"/>
  <c r="E2" i="9"/>
  <c r="D2" i="9"/>
  <c r="Y2" i="7"/>
  <c r="X2" i="7"/>
  <c r="W2" i="7"/>
  <c r="W2" i="1"/>
  <c r="V2" i="1"/>
  <c r="R2" i="7"/>
  <c r="Q2" i="7"/>
  <c r="P2" i="7"/>
  <c r="O2" i="7"/>
  <c r="N2" i="7"/>
  <c r="AB3" i="1"/>
  <c r="AE3" i="1"/>
  <c r="AD3" i="1"/>
  <c r="AC3" i="1"/>
  <c r="AB2" i="1"/>
  <c r="AE2" i="1"/>
  <c r="AD2" i="1"/>
  <c r="AC2" i="1"/>
  <c r="AA3" i="1"/>
  <c r="AA2" i="1"/>
  <c r="V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G2" i="2"/>
  <c r="A2" i="2"/>
  <c r="J2" i="7"/>
  <c r="E8" i="16"/>
  <c r="E7" i="16"/>
  <c r="E6" i="16"/>
  <c r="E5" i="16"/>
  <c r="E4" i="16"/>
  <c r="E3" i="16"/>
  <c r="E2" i="16"/>
  <c r="A3" i="1"/>
  <c r="A2" i="1"/>
  <c r="AG3" i="1"/>
  <c r="J2" i="11"/>
  <c r="A2" i="9"/>
  <c r="H3" i="1"/>
  <c r="J3" i="1"/>
  <c r="I3" i="1"/>
  <c r="D3" i="1"/>
  <c r="F3" i="1"/>
  <c r="E3" i="1"/>
  <c r="A2" i="7"/>
  <c r="I2" i="7"/>
  <c r="D2" i="7"/>
  <c r="F2" i="7"/>
  <c r="E2" i="7"/>
  <c r="H2" i="1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2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sharedStrings.xml><?xml version="1.0" encoding="utf-8"?>
<sst xmlns="http://schemas.openxmlformats.org/spreadsheetml/2006/main" count="237" uniqueCount="156">
  <si>
    <t>quest_id</t>
  </si>
  <si>
    <t>stage_id</t>
  </si>
  <si>
    <t>character_id</t>
  </si>
  <si>
    <t>level</t>
  </si>
  <si>
    <t>skill_set_id</t>
    <phoneticPr fontId="3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</si>
  <si>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</si>
  <si>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</si>
  <si>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</si>
  <si>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</si>
  <si>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</si>
  <si>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</si>
  <si>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</si>
  <si>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</si>
  <si>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</si>
  <si>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</si>
  <si>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</si>
  <si>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3"/>
  </si>
  <si>
    <t>rare</t>
    <phoneticPr fontId="3"/>
  </si>
  <si>
    <t>name</t>
    <phoneticPr fontId="3"/>
  </si>
  <si>
    <t>floor_id</t>
    <phoneticPr fontId="3"/>
  </si>
  <si>
    <t>name</t>
    <phoneticPr fontId="3"/>
  </si>
  <si>
    <t>name</t>
    <phoneticPr fontId="3"/>
  </si>
  <si>
    <t>skill_set_id</t>
  </si>
  <si>
    <t>drop_label</t>
    <phoneticPr fontId="3"/>
  </si>
  <si>
    <t>color</t>
    <phoneticPr fontId="3"/>
  </si>
  <si>
    <t>size</t>
    <phoneticPr fontId="3"/>
  </si>
  <si>
    <t>character_main_tribe_id</t>
    <phoneticPr fontId="3"/>
  </si>
  <si>
    <t>drop_label</t>
    <phoneticPr fontId="5"/>
  </si>
  <si>
    <t>temp_stage</t>
    <phoneticPr fontId="3"/>
  </si>
  <si>
    <t>temp_habitats</t>
    <phoneticPr fontId="3"/>
  </si>
  <si>
    <t>temp_floor</t>
    <phoneticPr fontId="3"/>
  </si>
  <si>
    <t>スキル</t>
    <phoneticPr fontId="3"/>
  </si>
  <si>
    <t>temp_stage</t>
    <phoneticPr fontId="3"/>
  </si>
  <si>
    <t>位置付け</t>
    <rPh sb="0" eb="3">
      <t>イチヅ</t>
    </rPh>
    <phoneticPr fontId="3"/>
  </si>
  <si>
    <t>name</t>
    <phoneticPr fontId="3"/>
  </si>
  <si>
    <t>temp_floor</t>
    <phoneticPr fontId="3"/>
  </si>
  <si>
    <t>status</t>
    <phoneticPr fontId="3"/>
  </si>
  <si>
    <t>hp_plus</t>
  </si>
  <si>
    <t>hp_plus</t>
    <phoneticPr fontId="3"/>
  </si>
  <si>
    <t>attack_plus</t>
  </si>
  <si>
    <t>attack_plus</t>
    <phoneticPr fontId="3"/>
  </si>
  <si>
    <t>defense_plus</t>
  </si>
  <si>
    <t>defense_plus</t>
    <phoneticPr fontId="3"/>
  </si>
  <si>
    <t>heal_plus</t>
  </si>
  <si>
    <t>heal_plus</t>
    <phoneticPr fontId="3"/>
  </si>
  <si>
    <t>bug</t>
  </si>
  <si>
    <t>bug</t>
    <phoneticPr fontId="3"/>
  </si>
  <si>
    <t>hp_coefficient</t>
  </si>
  <si>
    <t>hp_coefficient</t>
    <phoneticPr fontId="3"/>
  </si>
  <si>
    <t>attack_coefficient</t>
  </si>
  <si>
    <t>attack_coefficient</t>
    <phoneticPr fontId="3"/>
  </si>
  <si>
    <t>defense_correction</t>
  </si>
  <si>
    <t>defense_correction</t>
    <phoneticPr fontId="3"/>
  </si>
  <si>
    <t>null</t>
    <phoneticPr fontId="3"/>
  </si>
  <si>
    <t>seq_no</t>
    <phoneticPr fontId="3"/>
  </si>
  <si>
    <t>state_no</t>
    <phoneticPr fontId="3"/>
  </si>
  <si>
    <t>character_id</t>
    <phoneticPr fontId="3"/>
  </si>
  <si>
    <t>level</t>
    <phoneticPr fontId="3"/>
  </si>
  <si>
    <t>speed</t>
    <phoneticPr fontId="3"/>
  </si>
  <si>
    <t>skill_set_id</t>
    <phoneticPr fontId="3"/>
  </si>
  <si>
    <t>temp_id</t>
    <phoneticPr fontId="3"/>
  </si>
  <si>
    <t>skill_set_id</t>
    <phoneticPr fontId="5"/>
  </si>
  <si>
    <t>skill_id</t>
    <phoneticPr fontId="5"/>
  </si>
  <si>
    <t>name</t>
    <phoneticPr fontId="5"/>
  </si>
  <si>
    <t>comment</t>
    <phoneticPr fontId="5"/>
  </si>
  <si>
    <t>skill_trigger_id</t>
    <phoneticPr fontId="5"/>
  </si>
  <si>
    <t>first_time</t>
    <phoneticPr fontId="3"/>
  </si>
  <si>
    <t>priority</t>
    <phoneticPr fontId="3"/>
  </si>
  <si>
    <t>priority</t>
    <phoneticPr fontId="3"/>
  </si>
  <si>
    <t>invoke_rate</t>
    <phoneticPr fontId="3"/>
  </si>
  <si>
    <t>hp_threshold</t>
    <phoneticPr fontId="3"/>
  </si>
  <si>
    <t>hp_termination</t>
    <phoneticPr fontId="3"/>
  </si>
  <si>
    <t>invoke_times</t>
    <phoneticPr fontId="3"/>
  </si>
  <si>
    <t>every_time_count</t>
    <phoneticPr fontId="3"/>
  </si>
  <si>
    <t>neighbor_dead_id</t>
    <phoneticPr fontId="3"/>
  </si>
  <si>
    <t>invoke_weight</t>
    <phoneticPr fontId="3"/>
  </si>
  <si>
    <t>作成者</t>
    <rPh sb="0" eb="3">
      <t>サクセイシャ</t>
    </rPh>
    <phoneticPr fontId="3"/>
  </si>
  <si>
    <t>更新日</t>
    <rPh sb="0" eb="3">
      <t>コウシンニチジ</t>
    </rPh>
    <phoneticPr fontId="3"/>
  </si>
  <si>
    <t>備考（使用箇所）</t>
    <rPh sb="0" eb="2">
      <t>ビコウ</t>
    </rPh>
    <rPh sb="3" eb="7">
      <t>シヨウカショ</t>
    </rPh>
    <phoneticPr fontId="3"/>
  </si>
  <si>
    <t>enemy_skill_id</t>
  </si>
  <si>
    <t>effect_param</t>
    <phoneticPr fontId="3"/>
  </si>
  <si>
    <t>valid_flg</t>
  </si>
  <si>
    <t>name</t>
    <phoneticPr fontId="5"/>
  </si>
  <si>
    <t>comment</t>
    <phoneticPr fontId="5"/>
  </si>
  <si>
    <t>[effect:heal, target:enemy_one, val:0.1, animation:enemy_heal]</t>
    <phoneticPr fontId="3"/>
  </si>
  <si>
    <t>恍惚の表情を浮かべている</t>
    <rPh sb="0" eb="2">
      <t>コウコツ</t>
    </rPh>
    <rPh sb="3" eb="5">
      <t>ヒョウジョウ</t>
    </rPh>
    <rPh sb="6" eb="7">
      <t>ウ</t>
    </rPh>
    <phoneticPr fontId="3"/>
  </si>
  <si>
    <t>回復</t>
    <rPh sb="0" eb="2">
      <t>カイフク</t>
    </rPh>
    <phoneticPr fontId="3"/>
  </si>
  <si>
    <t>skill_trigger_id</t>
    <phoneticPr fontId="5"/>
  </si>
  <si>
    <t>first_time</t>
    <phoneticPr fontId="3"/>
  </si>
  <si>
    <t>priority</t>
    <phoneticPr fontId="3"/>
  </si>
  <si>
    <t>invoke_rate</t>
    <phoneticPr fontId="3"/>
  </si>
  <si>
    <t>重複チェック</t>
    <rPh sb="0" eb="2">
      <t>チョウフク</t>
    </rPh>
    <phoneticPr fontId="3"/>
  </si>
  <si>
    <t>null</t>
    <phoneticPr fontId="3"/>
  </si>
  <si>
    <t>null</t>
    <phoneticPr fontId="3"/>
  </si>
  <si>
    <t>enemy_skills</t>
    <phoneticPr fontId="3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</si>
  <si>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</si>
  <si>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</si>
  <si>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</si>
  <si>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</si>
  <si>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</si>
  <si>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</si>
  <si>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</si>
  <si>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</si>
  <si>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</si>
  <si>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3"/>
  </si>
  <si>
    <t>識別子</t>
    <rPh sb="0" eb="3">
      <t>シキベツシ</t>
    </rPh>
    <phoneticPr fontId="3"/>
  </si>
  <si>
    <t>形式</t>
    <rPh sb="0" eb="2">
      <t>ケイシキ</t>
    </rPh>
    <phoneticPr fontId="3"/>
  </si>
  <si>
    <t>出力ファイル名</t>
    <rPh sb="0" eb="2">
      <t>シュツリョク</t>
    </rPh>
    <rPh sb="6" eb="7">
      <t>メイ</t>
    </rPh>
    <phoneticPr fontId="3"/>
  </si>
  <si>
    <t>入力シート名</t>
    <rPh sb="0" eb="2">
      <t>ニュウリョク</t>
    </rPh>
    <rPh sb="5" eb="6">
      <t>メイ</t>
    </rPh>
    <phoneticPr fontId="3"/>
  </si>
  <si>
    <t>出力データ</t>
    <rPh sb="0" eb="2">
      <t>シュツリョク</t>
    </rPh>
    <phoneticPr fontId="3"/>
  </si>
  <si>
    <t>floors_</t>
    <phoneticPr fontId="3"/>
  </si>
  <si>
    <t>.tmp</t>
    <phoneticPr fontId="3"/>
  </si>
  <si>
    <t>floors</t>
    <phoneticPr fontId="3"/>
  </si>
  <si>
    <t>enemy_habitats_</t>
    <phoneticPr fontId="3"/>
  </si>
  <si>
    <t>enemy_habitats</t>
    <phoneticPr fontId="3"/>
  </si>
  <si>
    <t>enemy_habitat_S_</t>
    <phoneticPr fontId="3"/>
  </si>
  <si>
    <t>enemy_habitat_S</t>
    <phoneticPr fontId="3"/>
  </si>
  <si>
    <t>enemy_skill_sets_</t>
    <phoneticPr fontId="3"/>
  </si>
  <si>
    <t>enemy_skill_sets</t>
    <phoneticPr fontId="3"/>
  </si>
  <si>
    <t>enemy_skills_tmp_</t>
    <phoneticPr fontId="3"/>
  </si>
  <si>
    <t>.tmp</t>
    <phoneticPr fontId="3"/>
  </si>
  <si>
    <t>enemy_skills_i18n_</t>
    <phoneticPr fontId="3"/>
  </si>
  <si>
    <t>enemy_skills</t>
    <phoneticPr fontId="3"/>
  </si>
  <si>
    <t>enemy_skill_triggers_</t>
    <phoneticPr fontId="3"/>
  </si>
  <si>
    <t>.tmp</t>
    <phoneticPr fontId="3"/>
  </si>
  <si>
    <t>enemy_skill_triggers</t>
    <phoneticPr fontId="3"/>
  </si>
  <si>
    <t>hp_termination</t>
    <phoneticPr fontId="3"/>
  </si>
  <si>
    <t>invoke_weight</t>
    <phoneticPr fontId="3"/>
  </si>
  <si>
    <t>every_time_count</t>
    <phoneticPr fontId="3"/>
  </si>
  <si>
    <t>neighbor_dead_id</t>
    <phoneticPr fontId="3"/>
  </si>
  <si>
    <t>language</t>
    <phoneticPr fontId="3"/>
  </si>
  <si>
    <t>ja</t>
    <phoneticPr fontId="3"/>
  </si>
  <si>
    <t>skill_set_id</t>
    <phoneticPr fontId="3"/>
  </si>
  <si>
    <t>スキル</t>
    <phoneticPr fontId="3"/>
  </si>
  <si>
    <t>出力flg</t>
    <rPh sb="0" eb="2">
      <t>シュツリョク</t>
    </rPh>
    <phoneticPr fontId="3"/>
  </si>
  <si>
    <t>中間文字列１</t>
    <rPh sb="0" eb="2">
      <t>チュウカン</t>
    </rPh>
    <rPh sb="2" eb="5">
      <t>モジレツ</t>
    </rPh>
    <phoneticPr fontId="3"/>
  </si>
  <si>
    <t>効果１文字列</t>
    <rPh sb="0" eb="2">
      <t>コウカ</t>
    </rPh>
    <rPh sb="3" eb="6">
      <t>モジレツ</t>
    </rPh>
    <phoneticPr fontId="3"/>
  </si>
  <si>
    <t>効果１簡易デコード</t>
    <rPh sb="0" eb="2">
      <t>コウカ</t>
    </rPh>
    <rPh sb="3" eb="5">
      <t>カンイ</t>
    </rPh>
    <phoneticPr fontId="3"/>
  </si>
  <si>
    <t>効果２文字列</t>
    <rPh sb="0" eb="2">
      <t>コウカ</t>
    </rPh>
    <rPh sb="3" eb="6">
      <t>モジレツ</t>
    </rPh>
    <phoneticPr fontId="3"/>
  </si>
  <si>
    <t>効果２簡易デコード</t>
    <rPh sb="0" eb="2">
      <t>コウカ</t>
    </rPh>
    <rPh sb="3" eb="5">
      <t>カンイ</t>
    </rPh>
    <phoneticPr fontId="3"/>
  </si>
  <si>
    <t>効果３文字列</t>
    <rPh sb="0" eb="2">
      <t>コウカ</t>
    </rPh>
    <rPh sb="3" eb="6">
      <t>モジレツ</t>
    </rPh>
    <phoneticPr fontId="3"/>
  </si>
  <si>
    <t>効果３簡易デコード</t>
    <rPh sb="0" eb="2">
      <t>コウカ</t>
    </rPh>
    <rPh sb="3" eb="5">
      <t>カンイ</t>
    </rPh>
    <phoneticPr fontId="3"/>
  </si>
  <si>
    <t>効果１efect位置</t>
    <rPh sb="0" eb="2">
      <t>コウカ</t>
    </rPh>
    <rPh sb="8" eb="10">
      <t>イチ</t>
    </rPh>
    <phoneticPr fontId="3"/>
  </si>
  <si>
    <t>効果１target位置</t>
    <rPh sb="0" eb="2">
      <t>コウカ</t>
    </rPh>
    <rPh sb="9" eb="11">
      <t>イチ</t>
    </rPh>
    <phoneticPr fontId="3"/>
  </si>
  <si>
    <t>効果1終了位置</t>
    <rPh sb="0" eb="2">
      <t>コウカ</t>
    </rPh>
    <rPh sb="3" eb="5">
      <t>シュウリョウ</t>
    </rPh>
    <rPh sb="5" eb="7">
      <t>イチ</t>
    </rPh>
    <phoneticPr fontId="3"/>
  </si>
  <si>
    <t>効果1target終了位置</t>
    <rPh sb="0" eb="2">
      <t>コウカ</t>
    </rPh>
    <rPh sb="9" eb="11">
      <t>シュウリョウ</t>
    </rPh>
    <rPh sb="11" eb="13">
      <t>イチ</t>
    </rPh>
    <phoneticPr fontId="3"/>
  </si>
  <si>
    <t>効果2efect位置</t>
    <rPh sb="0" eb="2">
      <t>コウカ</t>
    </rPh>
    <rPh sb="8" eb="10">
      <t>イチ</t>
    </rPh>
    <phoneticPr fontId="3"/>
  </si>
  <si>
    <t>効果2終了位置</t>
    <rPh sb="0" eb="2">
      <t>コウカ</t>
    </rPh>
    <rPh sb="3" eb="5">
      <t>シュウリョウ</t>
    </rPh>
    <rPh sb="5" eb="7">
      <t>イチ</t>
    </rPh>
    <phoneticPr fontId="3"/>
  </si>
  <si>
    <t>効果2target位置</t>
    <rPh sb="0" eb="2">
      <t>コウカ</t>
    </rPh>
    <rPh sb="9" eb="11">
      <t>イチ</t>
    </rPh>
    <phoneticPr fontId="3"/>
  </si>
  <si>
    <t>効果2target終了位置</t>
    <rPh sb="0" eb="2">
      <t>コウカ</t>
    </rPh>
    <rPh sb="9" eb="11">
      <t>シュウリョウ</t>
    </rPh>
    <rPh sb="11" eb="13">
      <t>イチ</t>
    </rPh>
    <phoneticPr fontId="3"/>
  </si>
  <si>
    <t>効果3efect位置</t>
    <rPh sb="0" eb="2">
      <t>コウカ</t>
    </rPh>
    <rPh sb="8" eb="10">
      <t>イチ</t>
    </rPh>
    <phoneticPr fontId="3"/>
  </si>
  <si>
    <t>効果3終了位置</t>
    <rPh sb="0" eb="2">
      <t>コウカ</t>
    </rPh>
    <rPh sb="3" eb="5">
      <t>シュウリョウ</t>
    </rPh>
    <rPh sb="5" eb="7">
      <t>イチ</t>
    </rPh>
    <phoneticPr fontId="3"/>
  </si>
  <si>
    <t>効果3target位置</t>
    <rPh sb="0" eb="2">
      <t>コウカ</t>
    </rPh>
    <rPh sb="9" eb="11">
      <t>イチ</t>
    </rPh>
    <phoneticPr fontId="3"/>
  </si>
  <si>
    <t>効果3target終了位置</t>
    <rPh sb="0" eb="2">
      <t>コウカ</t>
    </rPh>
    <rPh sb="9" eb="11">
      <t>シュウリョウ</t>
    </rPh>
    <rPh sb="11" eb="13">
      <t>イチ</t>
    </rPh>
    <phoneticPr fontId="3"/>
  </si>
  <si>
    <t>skip</t>
    <phoneticPr fontId="3"/>
  </si>
  <si>
    <t>ERROR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</si>
</sst>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25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</borders>
  <cellStyleXfs count="642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6" fillId="0" borderId="0"/>
    <xf numFmtId="38" fontId="17" fillId="0" borderId="0" applyFill="0" applyBorder="0" applyAlignment="0" applyProtection="0"/>
    <xf numFmtId="0" fontId="18" fillId="8" borderId="0" applyNumberFormat="0" applyBorder="0" applyAlignment="0" applyProtection="0"/>
    <xf numFmtId="0" fontId="19" fillId="9" borderId="0" applyNumberFormat="0" applyBorder="0" applyAlignment="0" applyProtection="0"/>
    <xf numFmtId="0" fontId="20" fillId="0" borderId="0"/>
    <xf numFmtId="0" fontId="21" fillId="0" borderId="0">
      <alignment vertical="center"/>
    </xf>
    <xf numFmtId="0" fontId="22" fillId="0" borderId="0">
      <alignment vertical="center"/>
    </xf>
    <xf numFmtId="0" fontId="23" fillId="10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6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" fillId="5" borderId="3" xfId="0" applyFont="1" applyFill="1" applyBorder="1" applyAlignment="1">
      <alignment vertical="center"/>
    </xf>
    <xf numFmtId="0" fontId="6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3" borderId="7" xfId="0" applyFont="1" applyFill="1" applyBorder="1" applyAlignment="1">
      <alignment horizontal="center" vertical="center"/>
    </xf>
    <xf numFmtId="0" fontId="10" fillId="7" borderId="0" xfId="0" applyFont="1" applyFill="1" applyAlignment="1">
      <alignment vertical="center"/>
    </xf>
    <xf numFmtId="0" fontId="4" fillId="5" borderId="9" xfId="0" applyFont="1" applyFill="1" applyBorder="1" applyAlignment="1">
      <alignment vertical="center"/>
    </xf>
    <xf numFmtId="0" fontId="4" fillId="5" borderId="7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76" fontId="2" fillId="0" borderId="3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177" fontId="6" fillId="0" borderId="4" xfId="0" applyNumberFormat="1" applyFont="1" applyBorder="1" applyAlignment="1">
      <alignment vertical="center"/>
    </xf>
    <xf numFmtId="0" fontId="2" fillId="2" borderId="7" xfId="0" applyFont="1" applyFill="1" applyBorder="1" applyAlignment="1">
      <alignment horizontal="left" vertical="center"/>
    </xf>
    <xf numFmtId="0" fontId="10" fillId="7" borderId="0" xfId="0" applyFont="1" applyFill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6" borderId="7" xfId="0" applyFont="1" applyFill="1" applyBorder="1" applyAlignment="1">
      <alignment horizontal="left" vertical="center"/>
    </xf>
    <xf numFmtId="0" fontId="2" fillId="6" borderId="1" xfId="0" applyFont="1" applyFill="1" applyBorder="1" applyAlignment="1">
      <alignment horizontal="left" vertical="center"/>
    </xf>
    <xf numFmtId="0" fontId="4" fillId="0" borderId="7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4" fillId="6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7" xfId="0" applyFont="1" applyFill="1" applyBorder="1" applyAlignment="1">
      <alignment vertical="center"/>
    </xf>
    <xf numFmtId="0" fontId="14" fillId="3" borderId="7" xfId="0" applyFont="1" applyFill="1" applyBorder="1" applyAlignment="1">
      <alignment vertical="center"/>
    </xf>
    <xf numFmtId="0" fontId="14" fillId="0" borderId="0" xfId="0" applyFont="1" applyFill="1" applyAlignment="1">
      <alignment vertical="center"/>
    </xf>
    <xf numFmtId="0" fontId="14" fillId="0" borderId="7" xfId="0" applyFont="1" applyFill="1" applyBorder="1" applyAlignment="1">
      <alignment horizontal="left" vertical="center"/>
    </xf>
    <xf numFmtId="0" fontId="14" fillId="0" borderId="7" xfId="0" applyFont="1" applyFill="1" applyBorder="1" applyAlignment="1">
      <alignment horizontal="left" vertical="center" wrapText="1"/>
    </xf>
    <xf numFmtId="14" fontId="14" fillId="0" borderId="7" xfId="0" applyNumberFormat="1" applyFont="1" applyFill="1" applyBorder="1" applyAlignment="1">
      <alignment horizontal="left" vertical="center"/>
    </xf>
    <xf numFmtId="0" fontId="9" fillId="6" borderId="2" xfId="0" applyFont="1" applyFill="1" applyBorder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1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4" fillId="12" borderId="7" xfId="0" applyFont="1" applyFill="1" applyBorder="1"/>
    <xf numFmtId="0" fontId="11" fillId="11" borderId="7" xfId="434" applyFont="1" applyFill="1" applyBorder="1" applyAlignment="1"/>
    <xf numFmtId="0" fontId="22" fillId="0" borderId="7" xfId="434" applyBorder="1" applyAlignment="1"/>
    <xf numFmtId="0" fontId="4" fillId="0" borderId="3" xfId="0" applyFont="1" applyFill="1" applyBorder="1" applyAlignment="1">
      <alignment vertical="center"/>
    </xf>
    <xf numFmtId="0" fontId="0" fillId="13" borderId="7" xfId="0" applyFill="1" applyBorder="1"/>
    <xf numFmtId="0" fontId="14" fillId="3" borderId="7" xfId="0" applyFont="1" applyFill="1" applyBorder="1" applyAlignment="1">
      <alignment horizontal="left" vertical="center" wrapText="1"/>
    </xf>
    <xf numFmtId="0" fontId="14" fillId="3" borderId="8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vertical="center"/>
    </xf>
  </cellXfs>
  <cellStyles count="642">
    <cellStyle name="Excel Built-in Normal" xfId="428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桁区切り 2" xfId="429"/>
    <cellStyle name="青字強調" xfId="430"/>
    <cellStyle name="赤字強調" xfId="431"/>
    <cellStyle name="標準" xfId="0" builtinId="0"/>
    <cellStyle name="標準 2" xfId="432"/>
    <cellStyle name="標準 2 2" xfId="433"/>
    <cellStyle name="標準 3" xfId="434"/>
    <cellStyle name="標準 4" xfId="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無題1" xfId="43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4.xml"/><Relationship Id="rId12" Type="http://schemas.openxmlformats.org/officeDocument/2006/relationships/externalLink" Target="externalLinks/externalLink5.xml"/><Relationship Id="rId13" Type="http://schemas.openxmlformats.org/officeDocument/2006/relationships/externalLink" Target="externalLinks/externalLink6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externalLink" Target="externalLinks/externalLink2.xml"/><Relationship Id="rId10" Type="http://schemas.openxmlformats.org/officeDocument/2006/relationships/externalLink" Target="externalLinks/externalLink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12001</v>
          </cell>
        </row>
        <row r="76">
          <cell r="A76">
            <v>12002</v>
          </cell>
        </row>
        <row r="77">
          <cell r="A77">
            <v>12003</v>
          </cell>
        </row>
        <row r="78">
          <cell r="A78">
            <v>13001</v>
          </cell>
        </row>
        <row r="79">
          <cell r="A79">
            <v>14001</v>
          </cell>
        </row>
        <row r="80">
          <cell r="A80">
            <v>14002</v>
          </cell>
        </row>
        <row r="81">
          <cell r="A81">
            <v>14003</v>
          </cell>
        </row>
        <row r="82">
          <cell r="A82">
            <v>14004</v>
          </cell>
        </row>
        <row r="83">
          <cell r="A83">
            <v>14005</v>
          </cell>
        </row>
        <row r="84">
          <cell r="A84">
            <v>14006</v>
          </cell>
        </row>
        <row r="85">
          <cell r="A85">
            <v>20001</v>
          </cell>
        </row>
        <row r="86">
          <cell r="A86">
            <v>20002</v>
          </cell>
        </row>
        <row r="87">
          <cell r="A87">
            <v>20003</v>
          </cell>
        </row>
        <row r="88">
          <cell r="A88">
            <v>20004</v>
          </cell>
        </row>
        <row r="89">
          <cell r="A89">
            <v>20005</v>
          </cell>
        </row>
        <row r="90">
          <cell r="A90">
            <v>20006</v>
          </cell>
        </row>
        <row r="91">
          <cell r="A91">
            <v>20007</v>
          </cell>
        </row>
        <row r="92">
          <cell r="A92">
            <v>20008</v>
          </cell>
        </row>
        <row r="93">
          <cell r="A93">
            <v>20009</v>
          </cell>
        </row>
        <row r="94">
          <cell r="A94">
            <v>20010</v>
          </cell>
        </row>
        <row r="95">
          <cell r="A95">
            <v>20011</v>
          </cell>
        </row>
        <row r="96">
          <cell r="A96">
            <v>20012</v>
          </cell>
        </row>
        <row r="97">
          <cell r="A97">
            <v>30001</v>
          </cell>
        </row>
        <row r="98">
          <cell r="A98">
            <v>30002</v>
          </cell>
        </row>
        <row r="99">
          <cell r="A99">
            <v>30003</v>
          </cell>
        </row>
        <row r="100">
          <cell r="A100">
            <v>30004</v>
          </cell>
        </row>
        <row r="101">
          <cell r="A101">
            <v>30005</v>
          </cell>
        </row>
        <row r="102">
          <cell r="A102">
            <v>30006</v>
          </cell>
        </row>
        <row r="103">
          <cell r="A103">
            <v>30007</v>
          </cell>
        </row>
        <row r="104">
          <cell r="A104">
            <v>30008</v>
          </cell>
        </row>
        <row r="105">
          <cell r="A105">
            <v>30009</v>
          </cell>
        </row>
        <row r="106">
          <cell r="A106">
            <v>30010</v>
          </cell>
        </row>
        <row r="107">
          <cell r="A107">
            <v>30011</v>
          </cell>
        </row>
        <row r="108">
          <cell r="A108">
            <v>30012</v>
          </cell>
        </row>
        <row r="109">
          <cell r="A109">
            <v>30013</v>
          </cell>
        </row>
        <row r="110">
          <cell r="A110">
            <v>30014</v>
          </cell>
        </row>
        <row r="111">
          <cell r="A111">
            <v>30015</v>
          </cell>
        </row>
        <row r="112">
          <cell r="A112">
            <v>30016</v>
          </cell>
        </row>
        <row r="113">
          <cell r="A113">
            <v>30017</v>
          </cell>
        </row>
        <row r="114">
          <cell r="A114">
            <v>30018</v>
          </cell>
        </row>
        <row r="115">
          <cell r="A115">
            <v>30019</v>
          </cell>
        </row>
        <row r="116">
          <cell r="A116">
            <v>30020</v>
          </cell>
        </row>
        <row r="117">
          <cell r="A117">
            <v>30021</v>
          </cell>
        </row>
        <row r="118">
          <cell r="A118">
            <v>30022</v>
          </cell>
        </row>
        <row r="119">
          <cell r="A119">
            <v>30023</v>
          </cell>
        </row>
        <row r="120">
          <cell r="A120">
            <v>30024</v>
          </cell>
        </row>
        <row r="121">
          <cell r="A121">
            <v>30025</v>
          </cell>
        </row>
        <row r="122">
          <cell r="A122">
            <v>39001</v>
          </cell>
        </row>
        <row r="123">
          <cell r="A123">
            <v>40001</v>
          </cell>
        </row>
        <row r="124">
          <cell r="A124">
            <v>40002</v>
          </cell>
        </row>
        <row r="125">
          <cell r="A125">
            <v>40003</v>
          </cell>
        </row>
        <row r="126">
          <cell r="A126">
            <v>40004</v>
          </cell>
        </row>
        <row r="127">
          <cell r="A127">
            <v>40005</v>
          </cell>
        </row>
        <row r="128">
          <cell r="A128">
            <v>40006</v>
          </cell>
        </row>
        <row r="129">
          <cell r="A129">
            <v>40007</v>
          </cell>
        </row>
        <row r="130">
          <cell r="A130">
            <v>40008</v>
          </cell>
        </row>
        <row r="131">
          <cell r="A131">
            <v>40009</v>
          </cell>
        </row>
        <row r="132">
          <cell r="A132">
            <v>49001</v>
          </cell>
        </row>
        <row r="133">
          <cell r="A133">
            <v>50001</v>
          </cell>
        </row>
        <row r="134">
          <cell r="A134">
            <v>50002</v>
          </cell>
        </row>
        <row r="135">
          <cell r="A135">
            <v>65535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11002_1</v>
          </cell>
        </row>
        <row r="200">
          <cell r="A200" t="str">
            <v>11002_2</v>
          </cell>
        </row>
        <row r="201">
          <cell r="A201" t="str">
            <v>11002_3</v>
          </cell>
        </row>
        <row r="202">
          <cell r="A202" t="str">
            <v>11003_1</v>
          </cell>
        </row>
        <row r="203">
          <cell r="A203" t="str">
            <v>11003_2</v>
          </cell>
        </row>
        <row r="204">
          <cell r="A204" t="str">
            <v>11003_3</v>
          </cell>
        </row>
        <row r="205">
          <cell r="A205" t="str">
            <v>11004_1</v>
          </cell>
        </row>
        <row r="206">
          <cell r="A206" t="str">
            <v>11004_2</v>
          </cell>
        </row>
        <row r="207">
          <cell r="A207" t="str">
            <v>11004_3</v>
          </cell>
        </row>
        <row r="208">
          <cell r="A208" t="str">
            <v>11005_1</v>
          </cell>
        </row>
        <row r="209">
          <cell r="A209" t="str">
            <v>11005_2</v>
          </cell>
        </row>
        <row r="210">
          <cell r="A210" t="str">
            <v>11005_3</v>
          </cell>
        </row>
        <row r="211">
          <cell r="A211" t="str">
            <v>11005_4</v>
          </cell>
        </row>
        <row r="212">
          <cell r="A212" t="str">
            <v>11006_1</v>
          </cell>
        </row>
        <row r="213">
          <cell r="A213" t="str">
            <v>11006_2</v>
          </cell>
        </row>
        <row r="214">
          <cell r="A214" t="str">
            <v>11006_3</v>
          </cell>
        </row>
        <row r="215">
          <cell r="A215" t="str">
            <v>11101_1</v>
          </cell>
        </row>
        <row r="216">
          <cell r="A216" t="str">
            <v>11101_2</v>
          </cell>
        </row>
        <row r="217">
          <cell r="A217" t="str">
            <v>11101_3</v>
          </cell>
        </row>
        <row r="218">
          <cell r="A218" t="str">
            <v>11102_1</v>
          </cell>
        </row>
        <row r="219">
          <cell r="A219" t="str">
            <v>11102_2</v>
          </cell>
        </row>
        <row r="220">
          <cell r="A220" t="str">
            <v>11102_3</v>
          </cell>
        </row>
        <row r="221">
          <cell r="A221" t="str">
            <v>11103_1</v>
          </cell>
        </row>
        <row r="222">
          <cell r="A222" t="str">
            <v>11103_2</v>
          </cell>
        </row>
        <row r="223">
          <cell r="A223" t="str">
            <v>11103_3</v>
          </cell>
        </row>
        <row r="224">
          <cell r="A224" t="str">
            <v>11104_1</v>
          </cell>
        </row>
        <row r="225">
          <cell r="A225" t="str">
            <v>11104_2</v>
          </cell>
        </row>
        <row r="226">
          <cell r="A226" t="str">
            <v>11104_3</v>
          </cell>
        </row>
        <row r="227">
          <cell r="A227" t="str">
            <v>11105_1</v>
          </cell>
        </row>
        <row r="228">
          <cell r="A228" t="str">
            <v>11105_2</v>
          </cell>
        </row>
        <row r="229">
          <cell r="A229" t="str">
            <v>11105_3</v>
          </cell>
        </row>
        <row r="230">
          <cell r="A230" t="str">
            <v>11105_4</v>
          </cell>
        </row>
        <row r="231">
          <cell r="A231" t="str">
            <v>11106_1</v>
          </cell>
        </row>
        <row r="232">
          <cell r="A232" t="str">
            <v>11106_2</v>
          </cell>
        </row>
        <row r="233">
          <cell r="A233" t="str">
            <v>11106_3</v>
          </cell>
        </row>
        <row r="234">
          <cell r="A234" t="str">
            <v>11206_1</v>
          </cell>
        </row>
        <row r="235">
          <cell r="A235" t="str">
            <v>11206_2</v>
          </cell>
        </row>
        <row r="236">
          <cell r="A236" t="str">
            <v>11206_3</v>
          </cell>
        </row>
        <row r="237">
          <cell r="A237" t="str">
            <v>11016_1</v>
          </cell>
        </row>
        <row r="238">
          <cell r="A238" t="str">
            <v>11207_1</v>
          </cell>
        </row>
        <row r="239">
          <cell r="A239" t="str">
            <v>11207_2</v>
          </cell>
        </row>
        <row r="240">
          <cell r="A240" t="str">
            <v>11208_1</v>
          </cell>
        </row>
        <row r="241">
          <cell r="A241" t="str">
            <v>11208_2</v>
          </cell>
        </row>
        <row r="242">
          <cell r="A242" t="str">
            <v>11209_1</v>
          </cell>
        </row>
        <row r="243">
          <cell r="A243" t="str">
            <v>11209_2</v>
          </cell>
        </row>
        <row r="244">
          <cell r="A244" t="str">
            <v>11210_1</v>
          </cell>
        </row>
        <row r="245">
          <cell r="A245" t="str">
            <v>11210_2</v>
          </cell>
        </row>
        <row r="246">
          <cell r="A246" t="str">
            <v>11210_3</v>
          </cell>
        </row>
        <row r="247">
          <cell r="A247" t="str">
            <v>11210_4</v>
          </cell>
        </row>
        <row r="248">
          <cell r="A248" t="str">
            <v>11211_1</v>
          </cell>
        </row>
        <row r="249">
          <cell r="A249" t="str">
            <v>11211_2</v>
          </cell>
        </row>
        <row r="250">
          <cell r="A250" t="str">
            <v>11211_3</v>
          </cell>
        </row>
        <row r="251">
          <cell r="A251" t="str">
            <v>11211_4</v>
          </cell>
        </row>
        <row r="252">
          <cell r="A252" t="str">
            <v>11212_1</v>
          </cell>
        </row>
        <row r="253">
          <cell r="A253" t="str">
            <v>11213_1</v>
          </cell>
        </row>
        <row r="254">
          <cell r="A254" t="str">
            <v>11214_1</v>
          </cell>
        </row>
        <row r="255">
          <cell r="A255" t="str">
            <v>11214_2</v>
          </cell>
        </row>
        <row r="256">
          <cell r="A256" t="str">
            <v>11214_3</v>
          </cell>
        </row>
        <row r="257">
          <cell r="A257" t="str">
            <v>11215_1</v>
          </cell>
        </row>
        <row r="258">
          <cell r="A258" t="str">
            <v>11216_1</v>
          </cell>
        </row>
        <row r="259">
          <cell r="A259" t="str">
            <v>11217_1</v>
          </cell>
        </row>
        <row r="260">
          <cell r="A260" t="str">
            <v>11218_1</v>
          </cell>
        </row>
        <row r="261">
          <cell r="A261" t="str">
            <v>12001_1</v>
          </cell>
        </row>
        <row r="262">
          <cell r="A262" t="str">
            <v>12001_2</v>
          </cell>
        </row>
        <row r="263">
          <cell r="A263" t="str">
            <v>12001_3</v>
          </cell>
        </row>
        <row r="264">
          <cell r="A264" t="str">
            <v>12002_3</v>
          </cell>
        </row>
        <row r="265">
          <cell r="A265" t="str">
            <v>12002_2</v>
          </cell>
        </row>
        <row r="266">
          <cell r="A266" t="str">
            <v>12002_1</v>
          </cell>
        </row>
        <row r="267">
          <cell r="A267" t="str">
            <v>12003_1</v>
          </cell>
        </row>
        <row r="268">
          <cell r="A268" t="str">
            <v>12003_2</v>
          </cell>
        </row>
        <row r="269">
          <cell r="A269" t="str">
            <v>12003_3</v>
          </cell>
        </row>
        <row r="270">
          <cell r="A270" t="str">
            <v>12003_4</v>
          </cell>
        </row>
        <row r="271">
          <cell r="A271" t="str">
            <v>13001_1</v>
          </cell>
        </row>
        <row r="272">
          <cell r="A272" t="str">
            <v>13001_2</v>
          </cell>
        </row>
        <row r="273">
          <cell r="A273" t="str">
            <v>13001_3</v>
          </cell>
        </row>
        <row r="274">
          <cell r="A274" t="str">
            <v>13001_4</v>
          </cell>
        </row>
        <row r="275">
          <cell r="A275" t="str">
            <v>13001_5</v>
          </cell>
        </row>
        <row r="276">
          <cell r="A276" t="str">
            <v>13001_6</v>
          </cell>
        </row>
        <row r="277">
          <cell r="A277" t="str">
            <v>13001_7</v>
          </cell>
        </row>
        <row r="278">
          <cell r="A278" t="str">
            <v>13001_8</v>
          </cell>
        </row>
        <row r="279">
          <cell r="A279" t="str">
            <v>13001_9</v>
          </cell>
        </row>
        <row r="280">
          <cell r="A280" t="str">
            <v>13001_10</v>
          </cell>
        </row>
        <row r="281">
          <cell r="A281" t="str">
            <v>13001_11</v>
          </cell>
        </row>
        <row r="282">
          <cell r="A282" t="str">
            <v>13001_12</v>
          </cell>
        </row>
        <row r="283">
          <cell r="A283" t="str">
            <v>13001_13</v>
          </cell>
        </row>
        <row r="284">
          <cell r="A284" t="str">
            <v>13001_14</v>
          </cell>
        </row>
        <row r="285">
          <cell r="A285" t="str">
            <v>13001_15</v>
          </cell>
        </row>
        <row r="286">
          <cell r="A286" t="str">
            <v>13001_16</v>
          </cell>
        </row>
        <row r="287">
          <cell r="A287" t="str">
            <v>13001_17</v>
          </cell>
        </row>
        <row r="288">
          <cell r="A288" t="str">
            <v>13001_18</v>
          </cell>
        </row>
        <row r="289">
          <cell r="A289" t="str">
            <v>13001_19</v>
          </cell>
        </row>
        <row r="290">
          <cell r="A290" t="str">
            <v>13001_20</v>
          </cell>
        </row>
        <row r="291">
          <cell r="A291" t="str">
            <v>13001_21</v>
          </cell>
        </row>
        <row r="292">
          <cell r="A292" t="str">
            <v>13001_22</v>
          </cell>
        </row>
        <row r="293">
          <cell r="A293" t="str">
            <v>13001_23</v>
          </cell>
        </row>
        <row r="294">
          <cell r="A294" t="str">
            <v>13001_24</v>
          </cell>
        </row>
        <row r="295">
          <cell r="A295" t="str">
            <v>13001_25</v>
          </cell>
        </row>
        <row r="296">
          <cell r="A296" t="str">
            <v>14001_1</v>
          </cell>
        </row>
        <row r="297">
          <cell r="A297" t="str">
            <v>14001_2</v>
          </cell>
        </row>
        <row r="298">
          <cell r="A298" t="str">
            <v>14001_3</v>
          </cell>
        </row>
        <row r="299">
          <cell r="A299" t="str">
            <v>14001_4</v>
          </cell>
        </row>
        <row r="300">
          <cell r="A300" t="str">
            <v>14002_1</v>
          </cell>
        </row>
        <row r="301">
          <cell r="A301" t="str">
            <v>14003_1</v>
          </cell>
        </row>
        <row r="302">
          <cell r="A302" t="str">
            <v>14004_1</v>
          </cell>
        </row>
        <row r="303">
          <cell r="A303" t="str">
            <v>14004_2</v>
          </cell>
        </row>
        <row r="304">
          <cell r="A304" t="str">
            <v>14004_3</v>
          </cell>
        </row>
        <row r="305">
          <cell r="A305" t="str">
            <v>14004_4</v>
          </cell>
        </row>
        <row r="306">
          <cell r="A306" t="str">
            <v>14005_1</v>
          </cell>
        </row>
        <row r="307">
          <cell r="A307" t="str">
            <v>14006_1</v>
          </cell>
        </row>
        <row r="308">
          <cell r="A308" t="str">
            <v>20001_1</v>
          </cell>
        </row>
        <row r="309">
          <cell r="A309" t="str">
            <v>20001_2</v>
          </cell>
        </row>
        <row r="310">
          <cell r="A310" t="str">
            <v>20001_3</v>
          </cell>
        </row>
        <row r="311">
          <cell r="A311" t="str">
            <v>20002_1</v>
          </cell>
        </row>
        <row r="312">
          <cell r="A312" t="str">
            <v>20002_2</v>
          </cell>
        </row>
        <row r="313">
          <cell r="A313" t="str">
            <v>20002_3</v>
          </cell>
        </row>
        <row r="314">
          <cell r="A314" t="str">
            <v>20003_1</v>
          </cell>
        </row>
        <row r="315">
          <cell r="A315" t="str">
            <v>20003_2</v>
          </cell>
        </row>
        <row r="316">
          <cell r="A316" t="str">
            <v>20003_3</v>
          </cell>
        </row>
        <row r="317">
          <cell r="A317" t="str">
            <v>20004_1</v>
          </cell>
        </row>
        <row r="318">
          <cell r="A318" t="str">
            <v>20004_2</v>
          </cell>
        </row>
        <row r="319">
          <cell r="A319" t="str">
            <v>20004_3</v>
          </cell>
        </row>
        <row r="320">
          <cell r="A320" t="str">
            <v>20005_1</v>
          </cell>
        </row>
        <row r="321">
          <cell r="A321" t="str">
            <v>20005_2</v>
          </cell>
        </row>
        <row r="322">
          <cell r="A322" t="str">
            <v>20005_3</v>
          </cell>
        </row>
        <row r="323">
          <cell r="A323" t="str">
            <v>20006_1</v>
          </cell>
        </row>
        <row r="324">
          <cell r="A324" t="str">
            <v>20006_2</v>
          </cell>
        </row>
        <row r="325">
          <cell r="A325" t="str">
            <v>20006_3</v>
          </cell>
        </row>
        <row r="326">
          <cell r="A326" t="str">
            <v>20007_1</v>
          </cell>
        </row>
        <row r="327">
          <cell r="A327" t="str">
            <v>20007_2</v>
          </cell>
        </row>
        <row r="328">
          <cell r="A328" t="str">
            <v>20007_3</v>
          </cell>
        </row>
        <row r="329">
          <cell r="A329" t="str">
            <v>20008_1</v>
          </cell>
        </row>
        <row r="330">
          <cell r="A330" t="str">
            <v>20008_2</v>
          </cell>
        </row>
        <row r="331">
          <cell r="A331" t="str">
            <v>20008_3</v>
          </cell>
        </row>
        <row r="332">
          <cell r="A332" t="str">
            <v>20009_1</v>
          </cell>
        </row>
        <row r="333">
          <cell r="A333" t="str">
            <v>20009_2</v>
          </cell>
        </row>
        <row r="334">
          <cell r="A334" t="str">
            <v>20009_3</v>
          </cell>
        </row>
        <row r="335">
          <cell r="A335" t="str">
            <v>20010_1</v>
          </cell>
        </row>
        <row r="336">
          <cell r="A336" t="str">
            <v>20010_2</v>
          </cell>
        </row>
        <row r="337">
          <cell r="A337" t="str">
            <v>20010_3</v>
          </cell>
        </row>
        <row r="338">
          <cell r="A338" t="str">
            <v>20011_1</v>
          </cell>
        </row>
        <row r="339">
          <cell r="A339" t="str">
            <v>20011_2</v>
          </cell>
        </row>
        <row r="340">
          <cell r="A340" t="str">
            <v>20011_3</v>
          </cell>
        </row>
        <row r="341">
          <cell r="A341" t="str">
            <v>20012_1</v>
          </cell>
        </row>
        <row r="342">
          <cell r="A342" t="str">
            <v>20012_2</v>
          </cell>
        </row>
        <row r="343">
          <cell r="A343" t="str">
            <v>20012_3</v>
          </cell>
        </row>
        <row r="344">
          <cell r="A344" t="str">
            <v>30001_1</v>
          </cell>
        </row>
        <row r="345">
          <cell r="A345" t="str">
            <v>30001_2</v>
          </cell>
        </row>
        <row r="346">
          <cell r="A346" t="str">
            <v>30001_3</v>
          </cell>
        </row>
        <row r="347">
          <cell r="A347" t="str">
            <v>30002_1</v>
          </cell>
        </row>
        <row r="348">
          <cell r="A348" t="str">
            <v>30002_2</v>
          </cell>
        </row>
        <row r="349">
          <cell r="A349" t="str">
            <v>30002_3</v>
          </cell>
        </row>
        <row r="350">
          <cell r="A350" t="str">
            <v>30003_1</v>
          </cell>
        </row>
        <row r="351">
          <cell r="A351" t="str">
            <v>30003_2</v>
          </cell>
        </row>
        <row r="352">
          <cell r="A352" t="str">
            <v>30003_3</v>
          </cell>
        </row>
        <row r="353">
          <cell r="A353" t="str">
            <v>30004_1</v>
          </cell>
        </row>
        <row r="354">
          <cell r="A354" t="str">
            <v>30004_2</v>
          </cell>
        </row>
        <row r="355">
          <cell r="A355" t="str">
            <v>30004_3</v>
          </cell>
        </row>
        <row r="356">
          <cell r="A356" t="str">
            <v>30005_1</v>
          </cell>
        </row>
        <row r="357">
          <cell r="A357" t="str">
            <v>30005_2</v>
          </cell>
        </row>
        <row r="358">
          <cell r="A358" t="str">
            <v>30005_3</v>
          </cell>
        </row>
        <row r="359">
          <cell r="A359" t="str">
            <v>30006_1</v>
          </cell>
        </row>
        <row r="360">
          <cell r="A360" t="str">
            <v>30006_2</v>
          </cell>
        </row>
        <row r="361">
          <cell r="A361" t="str">
            <v>30006_3</v>
          </cell>
        </row>
        <row r="362">
          <cell r="A362" t="str">
            <v>30007_1</v>
          </cell>
        </row>
        <row r="363">
          <cell r="A363" t="str">
            <v>30007_2</v>
          </cell>
        </row>
        <row r="364">
          <cell r="A364" t="str">
            <v>30007_3</v>
          </cell>
        </row>
        <row r="365">
          <cell r="A365" t="str">
            <v>30008_1</v>
          </cell>
        </row>
        <row r="366">
          <cell r="A366" t="str">
            <v>30008_2</v>
          </cell>
        </row>
        <row r="367">
          <cell r="A367" t="str">
            <v>30008_3</v>
          </cell>
        </row>
        <row r="368">
          <cell r="A368" t="str">
            <v>30009_3</v>
          </cell>
        </row>
        <row r="369">
          <cell r="A369" t="str">
            <v>30009_1</v>
          </cell>
        </row>
        <row r="370">
          <cell r="A370" t="str">
            <v>30009_2</v>
          </cell>
        </row>
        <row r="371">
          <cell r="A371" t="str">
            <v>30010_1</v>
          </cell>
        </row>
        <row r="372">
          <cell r="A372" t="str">
            <v>30010_2</v>
          </cell>
        </row>
        <row r="373">
          <cell r="A373" t="str">
            <v>30010_3</v>
          </cell>
        </row>
        <row r="374">
          <cell r="A374" t="str">
            <v>30011_1</v>
          </cell>
        </row>
        <row r="375">
          <cell r="A375" t="str">
            <v>30011_2</v>
          </cell>
        </row>
        <row r="376">
          <cell r="A376" t="str">
            <v>30011_3</v>
          </cell>
        </row>
        <row r="377">
          <cell r="A377" t="str">
            <v>30012_1</v>
          </cell>
        </row>
        <row r="378">
          <cell r="A378" t="str">
            <v>30012_2</v>
          </cell>
        </row>
        <row r="379">
          <cell r="A379" t="str">
            <v>30012_3</v>
          </cell>
        </row>
        <row r="380">
          <cell r="A380" t="str">
            <v>30013_1</v>
          </cell>
        </row>
        <row r="381">
          <cell r="A381" t="str">
            <v>30013_2</v>
          </cell>
        </row>
        <row r="382">
          <cell r="A382" t="str">
            <v>30014_1</v>
          </cell>
        </row>
        <row r="383">
          <cell r="A383" t="str">
            <v>30014_2</v>
          </cell>
        </row>
        <row r="384">
          <cell r="A384" t="str">
            <v>30015_1</v>
          </cell>
        </row>
        <row r="385">
          <cell r="A385" t="str">
            <v>30015_2</v>
          </cell>
        </row>
        <row r="386">
          <cell r="A386" t="str">
            <v>30016_1</v>
          </cell>
        </row>
        <row r="387">
          <cell r="A387" t="str">
            <v>30016_2</v>
          </cell>
        </row>
        <row r="388">
          <cell r="A388" t="str">
            <v>30017_1</v>
          </cell>
        </row>
        <row r="389">
          <cell r="A389" t="str">
            <v>30017_2</v>
          </cell>
        </row>
        <row r="390">
          <cell r="A390" t="str">
            <v>30018_1</v>
          </cell>
        </row>
        <row r="391">
          <cell r="A391" t="str">
            <v>30018_2</v>
          </cell>
        </row>
        <row r="392">
          <cell r="A392" t="str">
            <v>30019_1</v>
          </cell>
        </row>
        <row r="393">
          <cell r="A393" t="str">
            <v>30019_2</v>
          </cell>
        </row>
        <row r="394">
          <cell r="A394" t="str">
            <v>30020_1</v>
          </cell>
        </row>
        <row r="395">
          <cell r="A395" t="str">
            <v>30020_2</v>
          </cell>
        </row>
        <row r="396">
          <cell r="A396" t="str">
            <v>30021_1</v>
          </cell>
        </row>
        <row r="397">
          <cell r="A397" t="str">
            <v>30021_2</v>
          </cell>
        </row>
        <row r="398">
          <cell r="A398" t="str">
            <v>30021_3</v>
          </cell>
        </row>
        <row r="399">
          <cell r="A399" t="str">
            <v>30022_1</v>
          </cell>
        </row>
        <row r="400">
          <cell r="A400" t="str">
            <v>30022_2</v>
          </cell>
        </row>
        <row r="401">
          <cell r="A401" t="str">
            <v>30023_1</v>
          </cell>
        </row>
        <row r="402">
          <cell r="A402" t="str">
            <v>30023_2</v>
          </cell>
        </row>
        <row r="403">
          <cell r="A403" t="str">
            <v>30023_3</v>
          </cell>
        </row>
        <row r="404">
          <cell r="A404" t="str">
            <v>30024_1</v>
          </cell>
        </row>
        <row r="405">
          <cell r="A405" t="str">
            <v>30024_2</v>
          </cell>
        </row>
        <row r="406">
          <cell r="A406" t="str">
            <v>30024_3</v>
          </cell>
        </row>
        <row r="407">
          <cell r="A407" t="str">
            <v>30025_1</v>
          </cell>
        </row>
        <row r="408">
          <cell r="A408" t="str">
            <v>30025_2</v>
          </cell>
        </row>
        <row r="409">
          <cell r="A409" t="str">
            <v>30025_3</v>
          </cell>
        </row>
        <row r="410">
          <cell r="A410" t="str">
            <v>39001_1</v>
          </cell>
        </row>
        <row r="411">
          <cell r="A411" t="str">
            <v>39001_2</v>
          </cell>
        </row>
        <row r="412">
          <cell r="A412" t="str">
            <v>39001_3</v>
          </cell>
        </row>
        <row r="413">
          <cell r="A413" t="str">
            <v>39001_4</v>
          </cell>
        </row>
        <row r="414">
          <cell r="A414" t="str">
            <v>39001_5</v>
          </cell>
        </row>
        <row r="415">
          <cell r="A415" t="str">
            <v>40001_1</v>
          </cell>
        </row>
        <row r="416">
          <cell r="A416" t="str">
            <v>40002_1</v>
          </cell>
        </row>
        <row r="417">
          <cell r="A417" t="str">
            <v>40002_2</v>
          </cell>
        </row>
        <row r="418">
          <cell r="A418" t="str">
            <v>40002_3</v>
          </cell>
        </row>
        <row r="419">
          <cell r="A419" t="str">
            <v>40003_1</v>
          </cell>
        </row>
        <row r="420">
          <cell r="A420" t="str">
            <v>40004_1</v>
          </cell>
        </row>
        <row r="421">
          <cell r="A421" t="str">
            <v>40005_1</v>
          </cell>
        </row>
        <row r="422">
          <cell r="A422" t="str">
            <v>40006_1</v>
          </cell>
        </row>
        <row r="423">
          <cell r="A423" t="str">
            <v>40007_1</v>
          </cell>
        </row>
        <row r="424">
          <cell r="A424" t="str">
            <v>40008_1</v>
          </cell>
        </row>
        <row r="425">
          <cell r="A425" t="str">
            <v>40009_1</v>
          </cell>
        </row>
        <row r="426">
          <cell r="A426" t="str">
            <v>49001_1</v>
          </cell>
        </row>
        <row r="427">
          <cell r="A427" t="str">
            <v>50001_1</v>
          </cell>
        </row>
        <row r="428">
          <cell r="A428" t="str">
            <v>50002_1</v>
          </cell>
        </row>
        <row r="429">
          <cell r="A429" t="str">
            <v>65535_1</v>
          </cell>
        </row>
        <row r="430">
          <cell r="A430" t="str">
            <v>65535_2</v>
          </cell>
        </row>
        <row r="431">
          <cell r="A431" t="str">
            <v>65535_3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</sheetData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C8"/>
  <sheetViews>
    <sheetView tabSelected="1" workbookViewId="0">
      <selection activeCell="C3" sqref="C3:C8"/>
    </sheetView>
  </sheetViews>
  <sheetFormatPr baseColWidth="12" defaultRowHeight="18" x14ac:dyDescent="0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29">
      <c r="A1" s="58" t="s">
        <v>134</v>
      </c>
      <c r="B1" s="53" t="s">
        <v>104</v>
      </c>
      <c r="C1" s="53" t="s">
        <v>105</v>
      </c>
      <c r="D1" s="53" t="s">
        <v>106</v>
      </c>
      <c r="E1" s="53" t="s">
        <v>107</v>
      </c>
      <c r="F1" s="53" t="s">
        <v>108</v>
      </c>
      <c r="G1" s="53" t="s">
        <v>109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</row>
    <row r="2" spans="1:29">
      <c r="A2" s="59" t="s">
        <v>154</v>
      </c>
      <c r="B2" s="55" t="s">
        <v>110</v>
      </c>
      <c r="C2" s="61" t="s">
        <v>155</v>
      </c>
      <c r="D2" s="55" t="s">
        <v>111</v>
      </c>
      <c r="E2" s="54" t="str">
        <f>B2&amp;C2&amp;D2</f>
        <v>floors_ERROR.tmp</v>
      </c>
      <c r="F2" s="55" t="s">
        <v>112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</row>
    <row r="3" spans="1:29">
      <c r="A3" s="59" t="s">
        <v>154</v>
      </c>
      <c r="B3" s="55" t="s">
        <v>113</v>
      </c>
      <c r="C3" s="61" t="str">
        <f>C2</f>
        <v>ERROR</v>
      </c>
      <c r="D3" s="55" t="s">
        <v>111</v>
      </c>
      <c r="E3" s="54" t="str">
        <f>B3&amp;C3&amp;D3</f>
        <v>enemy_habitats_ERROR.tmp</v>
      </c>
      <c r="F3" s="55" t="s">
        <v>114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54</v>
      </c>
    </row>
    <row r="4" spans="1:29">
      <c r="A4" s="59" t="s">
        <v>154</v>
      </c>
      <c r="B4" s="55" t="s">
        <v>115</v>
      </c>
      <c r="C4" s="61" t="str">
        <f t="shared" ref="C4:C8" si="0">C3</f>
        <v>ERROR</v>
      </c>
      <c r="D4" s="55" t="s">
        <v>111</v>
      </c>
      <c r="E4" s="54" t="str">
        <f>B4&amp;C4&amp;D4</f>
        <v>enemy_habitat_S_ERROR.tmp</v>
      </c>
      <c r="F4" s="55" t="s">
        <v>116</v>
      </c>
      <c r="G4" s="56" t="s">
        <v>0</v>
      </c>
      <c r="H4" s="56" t="s">
        <v>1</v>
      </c>
      <c r="I4" s="56" t="s">
        <v>13</v>
      </c>
      <c r="J4" s="56" t="s">
        <v>54</v>
      </c>
      <c r="K4" s="56" t="s">
        <v>55</v>
      </c>
      <c r="L4" s="56" t="s">
        <v>56</v>
      </c>
      <c r="M4" s="56" t="s">
        <v>57</v>
      </c>
      <c r="N4" s="56" t="s">
        <v>58</v>
      </c>
      <c r="O4" s="56" t="s">
        <v>59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</row>
    <row r="5" spans="1:29">
      <c r="A5" s="59" t="s">
        <v>154</v>
      </c>
      <c r="B5" s="55" t="s">
        <v>117</v>
      </c>
      <c r="C5" s="61" t="str">
        <f t="shared" si="0"/>
        <v>ERROR</v>
      </c>
      <c r="D5" s="55" t="s">
        <v>111</v>
      </c>
      <c r="E5" s="54" t="str">
        <f>B5&amp;C5&amp;D5</f>
        <v>enemy_skill_sets_ERROR.tmp</v>
      </c>
      <c r="F5" s="55" t="s">
        <v>118</v>
      </c>
      <c r="G5" s="57" t="s">
        <v>22</v>
      </c>
      <c r="H5" s="57" t="s">
        <v>103</v>
      </c>
      <c r="I5" s="57" t="s">
        <v>98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</row>
    <row r="6" spans="1:29">
      <c r="A6" s="59" t="s">
        <v>154</v>
      </c>
      <c r="B6" s="55" t="s">
        <v>119</v>
      </c>
      <c r="C6" s="61" t="str">
        <f t="shared" si="0"/>
        <v>ERROR</v>
      </c>
      <c r="D6" s="55" t="s">
        <v>120</v>
      </c>
      <c r="E6" s="54" t="str">
        <f t="shared" ref="E6:E8" si="1">B6&amp;C6&amp;D6</f>
        <v>enemy_skills_tmp_ERROR.tmp</v>
      </c>
      <c r="F6" s="55" t="s">
        <v>94</v>
      </c>
      <c r="G6" s="56" t="s">
        <v>79</v>
      </c>
      <c r="H6" s="56" t="s">
        <v>80</v>
      </c>
      <c r="I6" s="56" t="s">
        <v>81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</row>
    <row r="7" spans="1:29">
      <c r="A7" s="59" t="s">
        <v>154</v>
      </c>
      <c r="B7" s="55" t="s">
        <v>121</v>
      </c>
      <c r="C7" s="61" t="str">
        <f t="shared" si="0"/>
        <v>ERROR</v>
      </c>
      <c r="D7" s="55" t="s">
        <v>111</v>
      </c>
      <c r="E7" s="54" t="str">
        <f>B7&amp;C7&amp;D7</f>
        <v>enemy_skills_i18n_ERROR.tmp</v>
      </c>
      <c r="F7" s="55" t="s">
        <v>122</v>
      </c>
      <c r="G7" s="56" t="s">
        <v>79</v>
      </c>
      <c r="H7" s="56" t="s">
        <v>95</v>
      </c>
      <c r="I7" s="56" t="s">
        <v>96</v>
      </c>
      <c r="J7" s="56" t="s">
        <v>97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</row>
    <row r="8" spans="1:29">
      <c r="A8" s="59" t="s">
        <v>154</v>
      </c>
      <c r="B8" s="55" t="s">
        <v>123</v>
      </c>
      <c r="C8" s="61" t="str">
        <f t="shared" si="0"/>
        <v>ERROR</v>
      </c>
      <c r="D8" s="55" t="s">
        <v>124</v>
      </c>
      <c r="E8" s="54" t="str">
        <f t="shared" si="1"/>
        <v>enemy_skill_triggers_ERROR.tmp</v>
      </c>
      <c r="F8" s="55" t="s">
        <v>125</v>
      </c>
      <c r="G8" s="56" t="s">
        <v>98</v>
      </c>
      <c r="H8" s="56" t="s">
        <v>99</v>
      </c>
      <c r="I8" s="56" t="s">
        <v>100</v>
      </c>
      <c r="J8" s="56" t="s">
        <v>101</v>
      </c>
      <c r="K8" s="56" t="s">
        <v>126</v>
      </c>
      <c r="L8" s="56" t="s">
        <v>102</v>
      </c>
      <c r="M8" s="56" t="s">
        <v>127</v>
      </c>
      <c r="N8" s="56" t="s">
        <v>128</v>
      </c>
      <c r="O8" s="56" t="s">
        <v>129</v>
      </c>
      <c r="P8" s="56" t="s">
        <v>67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2"/>
  <sheetViews>
    <sheetView showGridLines="0" workbookViewId="0">
      <pane ySplit="1" topLeftCell="A2" activePane="bottomLeft" state="frozen"/>
      <selection activeCell="V2" sqref="V2:X34"/>
      <selection pane="bottomLeft" activeCell="C2" sqref="C2"/>
    </sheetView>
  </sheetViews>
  <sheetFormatPr baseColWidth="12" defaultColWidth="13" defaultRowHeight="21" customHeight="1" outlineLevelCol="1" x14ac:dyDescent="0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>
      <c r="A2" s="16" t="str">
        <f>G2&amp;"-"&amp;I2</f>
        <v>65535_1-1</v>
      </c>
      <c r="B2" s="16" t="str">
        <f>IF(COUNTIF(enemy_habitats!$H:$H,A2),"OK","NG")</f>
        <v>OK</v>
      </c>
      <c r="C2" s="7">
        <v>65535</v>
      </c>
      <c r="D2" s="11" t="str">
        <f ca="1">VLOOKUP($C2,OFFSET([2]quests!$A$1,0,0,COUNTA([2]quests!$A:$A),MATCH(D$1,[2]quests!$1:$1,0)-MATCH($C$1,[2]quests!$1:$1,0)+1),MATCH(D$1,[2]quests!$1:$1,0)-MATCH($C$1,[2]quests!$1:$1,0)+1,FALSE)</f>
        <v>★検証専用クエスト★</v>
      </c>
      <c r="E2" s="18" t="str">
        <f ca="1">VLOOKUP($C2,OFFSET([2]quests!$A$1,0,0,COUNTA([2]quests!$A:$A),MATCH(E$1,[2]quests!$1:$1,0)-MATCH($C$1,[2]quests!$1:$1,0)+1),MATCH(E$1,[2]quests!$1:$1,0)-MATCH($C$1,[2]quests!$1:$1,0)+1,FALSE)</f>
        <v>検証</v>
      </c>
      <c r="F2" s="21">
        <v>1</v>
      </c>
      <c r="G2" s="23" t="str">
        <f>C2&amp;"_"&amp;F2</f>
        <v>65535_1</v>
      </c>
      <c r="H2" s="15" t="str">
        <f ca="1">VLOOKUP($G2,OFFSET([2]stages!$A$1,0,0,COUNTA([2]stages!$A:$A),MATCH(H$1,[2]stages!$2:$2,0)-MATCH($G$1,[2]stages!$2:$2,0)+1),MATCH(H$1,[2]stages!$2:$2,0)-MATCH($G$1,[2]stages!$2:$2,0)+1,FALSE)</f>
        <v>テンプレート</v>
      </c>
      <c r="I2" s="21">
        <v>1</v>
      </c>
      <c r="J2" s="12">
        <v>15</v>
      </c>
      <c r="K2" s="12">
        <v>15</v>
      </c>
    </row>
  </sheetData>
  <sheetProtection selectLockedCells="1" selectUnlockedCells="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M3"/>
  <sheetViews>
    <sheetView showGridLines="0" zoomScale="75" zoomScaleNormal="75" zoomScalePageLayoutView="75" workbookViewId="0">
      <pane xSplit="17" ySplit="1" topLeftCell="Y2" activePane="bottomRight" state="frozen"/>
      <selection pane="topRight" activeCell="N1" sqref="N1"/>
      <selection pane="bottomLeft" activeCell="A2" sqref="A2"/>
      <selection pane="bottomRight" activeCell="E2" sqref="E2"/>
    </sheetView>
  </sheetViews>
  <sheetFormatPr baseColWidth="12" defaultColWidth="13" defaultRowHeight="21" customHeight="1" outlineLevelCol="1" x14ac:dyDescent="0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39" s="35" customFormat="1" ht="21" customHeight="1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</row>
    <row r="2" spans="1:39" ht="21" customHeight="1">
      <c r="A2" s="16" t="str">
        <f ca="1">B2&amp;"_"&amp;C2&amp;"-"&amp;G2&amp;"/"&amp;L2&amp;"&lt;lv"&amp;R2&amp;"&gt;s"&amp;AA2</f>
        <v>65535_1-1/1&lt;lv1&gt;s1</v>
      </c>
      <c r="B2" s="22">
        <v>65535</v>
      </c>
      <c r="C2" s="21">
        <v>1</v>
      </c>
      <c r="D2" s="2" t="str">
        <f>B2&amp;"_"&amp;C2</f>
        <v>65535_1</v>
      </c>
      <c r="E2" s="4" t="str">
        <f ca="1">VLOOKUP($B2,OFFSET([2]quests!$A$1,0,0,COUNTA([2]quests!$A:$A),MATCH(E$1,[2]quests!$1:$1,0)-MATCH($B$1,[2]quests!$1:$1,0)+1),MATCH(E$1,[2]quests!$1:$1,0)-MATCH($B$1,[2]quests!$1:$1,0)+1,FALSE)</f>
        <v>★検証専用クエスト★</v>
      </c>
      <c r="F2" s="4" t="str">
        <f ca="1">VLOOKUP($D2,OFFSET([2]stages!$A$1,0,0,COUNTA([2]stages!$A:$A),MATCH(F$1,[2]stages!$2:$2,0)-MATCH($D$1,[2]stages!$2:$2,0)+1),MATCH(F$1,[2]stages!$2:$2,0)-MATCH($D$1,[2]stages!$2:$2,0)+1,FALSE)</f>
        <v>テンプレート</v>
      </c>
      <c r="G2" s="21">
        <v>1</v>
      </c>
      <c r="H2" s="15" t="str">
        <f>B2&amp;"_"&amp;C2&amp;"-"&amp;G2</f>
        <v>65535_1-1</v>
      </c>
      <c r="I2" s="4">
        <f ca="1">VLOOKUP($H2,OFFSET(floors!$A$1,0,0,COUNTA(floors!$A:$A),MATCH(I$1,floors!$1:$1,0)-MATCH($H$1,floors!$1:$1,0)+1),MATCH(I$1,floors!$1:$1,0)-MATCH($H$1,floors!$1:$1,0)+1,FALSE)</f>
        <v>15</v>
      </c>
      <c r="J2" s="4">
        <f ca="1">VLOOKUP($H2,OFFSET(floors!$A$1,0,0,COUNTA(floors!$A:$A),MATCH(J$1,floors!$1:$1,0)-MATCH($H$1,floors!$1:$1,0)+1),MATCH(J$1,floors!$1:$1,0)-MATCH($H$1,floors!$1:$1,0)+1,FALSE)</f>
        <v>15</v>
      </c>
      <c r="K2" s="38" t="s">
        <v>53</v>
      </c>
      <c r="L2" s="20">
        <v>1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ジェリー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1</v>
      </c>
      <c r="S2" s="25">
        <v>1</v>
      </c>
      <c r="T2" s="25">
        <v>1</v>
      </c>
      <c r="U2" s="5">
        <v>0</v>
      </c>
      <c r="V2" s="4" t="str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" s="4">
        <f ca="1">VLOOKUP($L2,OFFSET([3]enemies!$A$1,0,0,COUNTA([3]enemies!$A:$A),MATCH(W$1,[3]enemies!$1:$1,0)-MATCH($L$1,[3]enemies!$1:$1,0)+1),MATCH(W$1,[3]enemies!$1:$1,0)-MATCH($L$1,[3]enemies!$1:$1,0)+1,FALSE)</f>
        <v>0</v>
      </c>
      <c r="X2" s="6">
        <v>0</v>
      </c>
      <c r="Y2" s="6">
        <v>100</v>
      </c>
      <c r="Z2" s="6">
        <v>0</v>
      </c>
      <c r="AA2" s="17">
        <f ca="1">VLOOKUP($L2,OFFSET([3]enemies!$A$1,0,0,COUNTA([3]enemies!$A:$A),MATCH(AA$1,[3]enemies!$1:$1,0)-MATCH($L$1,[3]enemies!$1:$1,0)+1),MATCH(AA$1,[3]enemies!$1:$1,0)-MATCH($L$1,[3]enemies!$1:$1,0)+1,FALSE)</f>
        <v>1</v>
      </c>
      <c r="AB2" s="24">
        <f>L2</f>
        <v>1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ジェリー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1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Drop1T</v>
      </c>
      <c r="AF2" s="7">
        <v>1</v>
      </c>
      <c r="AG2" s="24">
        <f ca="1">AD2</f>
        <v>1</v>
      </c>
      <c r="AH2" s="8">
        <v>60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</row>
    <row r="3" spans="1:39" ht="21" customHeight="1">
      <c r="A3" s="16" t="str">
        <f ca="1">B3&amp;"_"&amp;C3&amp;"-"&amp;G3&amp;"/"&amp;L3&amp;"&lt;lv"&amp;R3&amp;"&gt;s"&amp;AA3</f>
        <v>65535_1-1/2&lt;lv1&gt;s1</v>
      </c>
      <c r="B3" s="22">
        <v>65535</v>
      </c>
      <c r="C3" s="21">
        <v>1</v>
      </c>
      <c r="D3" s="2" t="str">
        <f>B3&amp;"_"&amp;C3</f>
        <v>65535_1</v>
      </c>
      <c r="E3" s="4" t="str">
        <f ca="1">VLOOKUP($B3,OFFSET([2]quests!$A$1,0,0,COUNTA([2]quests!$A:$A),MATCH(E$1,[2]quests!$1:$1,0)-MATCH($B$1,[2]quests!$1:$1,0)+1),MATCH(E$1,[2]quests!$1:$1,0)-MATCH($B$1,[2]quests!$1:$1,0)+1,FALSE)</f>
        <v>★検証専用クエスト★</v>
      </c>
      <c r="F3" s="4" t="str">
        <f ca="1">VLOOKUP($D3,OFFSET([2]stages!$A$1,0,0,COUNTA([2]stages!$A:$A),MATCH(F$1,[2]stages!$2:$2,0)-MATCH($D$1,[2]stages!$2:$2,0)+1),MATCH(F$1,[2]stages!$2:$2,0)-MATCH($D$1,[2]stages!$2:$2,0)+1,FALSE)</f>
        <v>テンプレート</v>
      </c>
      <c r="G3" s="21">
        <v>1</v>
      </c>
      <c r="H3" s="15" t="str">
        <f>B3&amp;"_"&amp;C3&amp;"-"&amp;G3</f>
        <v>65535_1-1</v>
      </c>
      <c r="I3" s="4">
        <f ca="1">VLOOKUP($H3,OFFSET(floors!$A$1,0,0,COUNTA(floors!$A:$A),MATCH(I$1,floors!$1:$1,0)-MATCH($H$1,floors!$1:$1,0)+1),MATCH(I$1,floors!$1:$1,0)-MATCH($H$1,floors!$1:$1,0)+1,FALSE)</f>
        <v>15</v>
      </c>
      <c r="J3" s="4">
        <f ca="1">VLOOKUP($H3,OFFSET(floors!$A$1,0,0,COUNTA(floors!$A:$A),MATCH(J$1,floors!$1:$1,0)-MATCH($H$1,floors!$1:$1,0)+1),MATCH(J$1,floors!$1:$1,0)-MATCH($H$1,floors!$1:$1,0)+1,FALSE)</f>
        <v>15</v>
      </c>
      <c r="K3" s="38">
        <v>1</v>
      </c>
      <c r="L3" s="20">
        <v>2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イレギュラー・ジェリー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Drop1T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1</v>
      </c>
      <c r="S3" s="25">
        <v>1</v>
      </c>
      <c r="T3" s="25">
        <v>1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回復</v>
      </c>
      <c r="W3" s="60">
        <v>65535100</v>
      </c>
      <c r="X3" s="6">
        <v>0</v>
      </c>
      <c r="Y3" s="6">
        <v>100</v>
      </c>
      <c r="Z3" s="6">
        <v>0</v>
      </c>
      <c r="AA3" s="17">
        <f ca="1">VLOOKUP($L3,OFFSET([3]enemies!$A$1,0,0,COUNTA([3]enemies!$A:$A),MATCH(AA$1,[3]enemies!$1:$1,0)-MATCH($L$1,[3]enemies!$1:$1,0)+1),MATCH(AA$1,[3]enemies!$1:$1,0)-MATCH($L$1,[3]enemies!$1:$1,0)+1,FALSE)</f>
        <v>1</v>
      </c>
      <c r="AB3" s="24">
        <f>L3</f>
        <v>2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イレギュラー・ジェリー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Drop1T</v>
      </c>
      <c r="AF3" s="7">
        <v>1</v>
      </c>
      <c r="AG3" s="24">
        <f ca="1">AD3</f>
        <v>2</v>
      </c>
      <c r="AH3" s="8">
        <v>60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</row>
  </sheetData>
  <sheetProtection selectLockedCells="1" selectUnlockedCells="1"/>
  <autoFilter ref="B1:AH2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2"/>
  <sheetViews>
    <sheetView showGridLines="0" zoomScale="75" zoomScaleNormal="75" zoomScalePageLayoutView="75" workbookViewId="0">
      <pane xSplit="18" ySplit="1" topLeftCell="V2" activePane="bottomRight" state="frozen"/>
      <selection activeCell="E25" sqref="E25"/>
      <selection pane="topRight" activeCell="E25" sqref="E25"/>
      <selection pane="bottomLeft" activeCell="E25" sqref="E25"/>
      <selection pane="bottomRight" activeCell="Y2" sqref="Y2"/>
    </sheetView>
  </sheetViews>
  <sheetFormatPr baseColWidth="12" defaultColWidth="13" defaultRowHeight="21" customHeight="1" outlineLevelCol="1" x14ac:dyDescent="0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133</v>
      </c>
      <c r="X1" s="29" t="s">
        <v>132</v>
      </c>
      <c r="Y1" s="28" t="s">
        <v>8</v>
      </c>
    </row>
    <row r="2" spans="1:25" ht="21" customHeight="1">
      <c r="A2" s="16" t="str">
        <f>B2&amp;"_"&amp;C2&amp;"-"&amp;G2&amp;"/"&amp;M2&amp;"&lt;lv"&amp;S2&amp;"&gt;sq"&amp;K2&amp;"st"&amp;L2</f>
        <v>65535_1-1/2&lt;lv1&gt;sq1st2</v>
      </c>
      <c r="B2" s="22">
        <v>65535</v>
      </c>
      <c r="C2" s="21">
        <v>1</v>
      </c>
      <c r="D2" s="2" t="str">
        <f>B2&amp;"_"&amp;C2</f>
        <v>65535_1</v>
      </c>
      <c r="E2" s="4" t="str">
        <f ca="1">VLOOKUP($B2,OFFSET([2]quests!$A$1,0,0,COUNTA([2]quests!$A:$A),MATCH(E$1,[2]quests!$1:$1,0)-MATCH($B$1,[2]quests!$1:$1,0)+1),MATCH(E$1,[2]quests!$1:$1,0)-MATCH($B$1,[2]quests!$1:$1,0)+1,FALSE)</f>
        <v>★検証専用クエスト★</v>
      </c>
      <c r="F2" s="4" t="str">
        <f ca="1">VLOOKUP($D2,OFFSET([2]stages!$A$1,0,0,COUNTA([2]stages!$A:$A),MATCH(F$1,[2]stages!$2:$2,0)-MATCH($D$1,[2]stages!$2:$2,0)+1),MATCH(F$1,[2]stages!$2:$2,0)-MATCH($D$1,[2]stages!$2:$2,0)+1,FALSE)</f>
        <v>テンプレート</v>
      </c>
      <c r="G2" s="21">
        <v>1</v>
      </c>
      <c r="H2" s="15" t="str">
        <f>B2&amp;"_"&amp;C2&amp;"-"&amp;G2</f>
        <v>65535_1-1</v>
      </c>
      <c r="I2" s="4">
        <f ca="1">VLOOKUP($H2,OFFSET(floors!$A$1,0,0,COUNTA(floors!$A:$A),MATCH(I$1,floors!$1:$1,0)-MATCH($H$1,floors!$1:$1,0)+1),MATCH(I$1,floors!$1:$1,0)-MATCH($H$1,floors!$1:$1,0)+1,FALSE)</f>
        <v>15</v>
      </c>
      <c r="J2" s="4">
        <f ca="1">VLOOKUP($H2,OFFSET(floors!$A$1,0,0,COUNTA(floors!$A:$A),MATCH(J$1,floors!$1:$1,0)-MATCH($H$1,floors!$1:$1,0)+1),MATCH(J$1,floors!$1:$1,0)-MATCH($H$1,floors!$1:$1,0)+1,FALSE)</f>
        <v>15</v>
      </c>
      <c r="K2" s="38">
        <v>1</v>
      </c>
      <c r="L2" s="38">
        <v>2</v>
      </c>
      <c r="M2" s="20">
        <v>2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イレギュラー・ジェリー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Drop1T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15</v>
      </c>
      <c r="S2" s="5">
        <v>1</v>
      </c>
      <c r="T2" s="25">
        <v>1</v>
      </c>
      <c r="U2" s="25">
        <v>1</v>
      </c>
      <c r="V2" s="5">
        <v>0</v>
      </c>
      <c r="W2" s="4" t="str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なし</v>
      </c>
      <c r="X2" s="4">
        <f ca="1">VLOOKUP($M2,OFFSET([3]enemies!$A$1,0,0,COUNTA([3]enemies!$A:$A),MATCH(X$1,[3]enemies!$1:$1,0)-MATCH($M$1,[3]enemies!$1:$1,0)+1),MATCH(X$1,[3]enemies!$1:$1,0)-MATCH($M$1,[3]enemies!$1:$1,0)+1,FALSE)</f>
        <v>0</v>
      </c>
      <c r="Y2" s="64">
        <f ca="1">VLOOKUP($M2,OFFSET([3]enemies!$A$1,0,0,COUNTA([3]enemies!$A:$A),MATCH(Y$1,[3]enemies!$1:$1,0)-MATCH($M$1,[3]enemies!$1:$1,0)+1),MATCH(Y$1,[3]enemies!$1:$1,0)-MATCH($M$1,[3]enemies!$1:$1,0)+1,FALSE)</f>
        <v>1</v>
      </c>
    </row>
  </sheetData>
  <sheetProtection selectLockedCells="1" selectUnlockedCells="1"/>
  <autoFilter ref="B1:Y2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"/>
  <sheetViews>
    <sheetView showGridLines="0" workbookViewId="0">
      <pane xSplit="5" ySplit="1" topLeftCell="F2" activePane="bottomRight" state="frozen"/>
      <selection activeCell="F3" sqref="F3"/>
      <selection pane="topRight" activeCell="F3" sqref="F3"/>
      <selection pane="bottomLeft" activeCell="F3" sqref="F3"/>
      <selection pane="bottomRight" activeCell="G2" sqref="G2"/>
    </sheetView>
  </sheetViews>
  <sheetFormatPr baseColWidth="12" defaultColWidth="12.83203125" defaultRowHeight="21" customHeight="1" outlineLevelCol="1" x14ac:dyDescent="0"/>
  <cols>
    <col min="1" max="1" width="11.33203125" style="39" bestFit="1" customWidth="1"/>
    <col min="2" max="2" width="9.5" style="47" bestFit="1" customWidth="1"/>
    <col min="3" max="3" width="9.6640625" style="47" customWidth="1"/>
    <col min="4" max="4" width="18.5" style="47" customWidth="1" outlineLevel="1"/>
    <col min="5" max="5" width="44.1640625" style="47" bestFit="1" customWidth="1" outlineLevel="1"/>
    <col min="6" max="6" width="10.83203125" style="47" bestFit="1" customWidth="1"/>
    <col min="7" max="7" width="13.33203125" style="47" bestFit="1" customWidth="1" outlineLevel="1"/>
    <col min="8" max="9" width="12.83203125" style="47" outlineLevel="1"/>
    <col min="10" max="10" width="17.6640625" style="47" bestFit="1" customWidth="1" outlineLevel="1"/>
    <col min="11" max="15" width="12.83203125" style="47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>
      <c r="A1" s="39" t="s">
        <v>60</v>
      </c>
      <c r="B1" s="40" t="s">
        <v>61</v>
      </c>
      <c r="C1" s="40" t="s">
        <v>62</v>
      </c>
      <c r="D1" s="41" t="s">
        <v>63</v>
      </c>
      <c r="E1" s="63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3" t="s">
        <v>71</v>
      </c>
      <c r="L1" s="43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>
      <c r="A2" s="39" t="str">
        <f t="shared" ref="A2" si="0">B2&amp;"_"&amp;C2</f>
        <v>65535100_65535100</v>
      </c>
      <c r="B2" s="45">
        <v>65535100</v>
      </c>
      <c r="C2" s="45">
        <v>65535100</v>
      </c>
      <c r="D2" s="4" t="str">
        <f ca="1">VLOOKUP($C2,OFFSET(enemy_skills!$A$1,0,0,COUNTA(enemy_skills!$A:$A),MATCH(D$1,enemy_skills!$1:$1,0)-MATCH("enemy_skill_id",enemy_skills!$1:$1,0)+1),MATCH(D$1,enemy_skills!$1:$1,0)-MATCH("enemy_skill_id",enemy_skills!$1:$1,0)+1,FALSE)</f>
        <v>恍惚の表情を浮かべている</v>
      </c>
      <c r="E2" s="17" t="str">
        <f ca="1">VLOOKUP($C2,OFFSET(enemy_skills!$A$1,0,0,COUNTA(enemy_skills!$A:$A),MATCH(E$1,enemy_skills!$1:$1,0)-MATCH("enemy_skill_id",enemy_skills!$1:$1,0)+1),MATCH(E$1,enemy_skills!$1:$1,0)-MATCH("enemy_skill_id",enemy_skills!$1:$1,0)+1,FALSE)</f>
        <v>回復</v>
      </c>
      <c r="F2" s="45">
        <v>65535100</v>
      </c>
      <c r="G2" s="1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1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1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18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2" s="1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1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1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1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1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5"/>
      <c r="Q2" s="45"/>
      <c r="R2" s="45"/>
    </row>
  </sheetData>
  <autoFilter ref="A1:R1"/>
  <phoneticPr fontId="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"/>
  <sheetViews>
    <sheetView showGridLines="0" zoomScale="75" zoomScaleNormal="75" zoomScalePageLayoutView="75" workbookViewId="0">
      <pane ySplit="1" topLeftCell="A2" activePane="bottomLeft" state="frozenSplit"/>
      <selection activeCell="F3" sqref="F3"/>
      <selection pane="bottomLeft" activeCell="A2" sqref="A2"/>
    </sheetView>
  </sheetViews>
  <sheetFormatPr baseColWidth="12" defaultColWidth="12.83203125" defaultRowHeight="21" customHeight="1" outlineLevelCol="1" x14ac:dyDescent="0"/>
  <cols>
    <col min="1" max="1" width="12.83203125" style="47"/>
    <col min="2" max="2" width="67.1640625" style="47" customWidth="1"/>
    <col min="3" max="4" width="12.83203125" style="47"/>
    <col min="5" max="5" width="23.6640625" style="47" bestFit="1" customWidth="1"/>
    <col min="6" max="6" width="44.1640625" style="47" bestFit="1" customWidth="1" collapsed="1"/>
    <col min="7" max="7" width="52" style="47" hidden="1" customWidth="1" outlineLevel="1"/>
    <col min="8" max="8" width="18.33203125" style="47" hidden="1" customWidth="1" outlineLevel="1"/>
    <col min="9" max="11" width="18.6640625" style="47" hidden="1" customWidth="1" outlineLevel="1"/>
    <col min="12" max="12" width="23.6640625" style="47" customWidth="1" collapsed="1"/>
    <col min="13" max="18" width="23.6640625" style="47" hidden="1" customWidth="1" outlineLevel="1"/>
    <col min="19" max="19" width="23.6640625" style="47" customWidth="1" collapsed="1"/>
    <col min="20" max="24" width="23.6640625" style="47" hidden="1" customWidth="1" outlineLevel="1"/>
    <col min="25" max="25" width="23.6640625" style="47" customWidth="1" collapsed="1"/>
    <col min="26" max="27" width="12.83203125" style="47"/>
    <col min="28" max="28" width="44.5" style="47" customWidth="1"/>
    <col min="29" max="16384" width="12.83203125" style="47"/>
  </cols>
  <sheetData>
    <row r="1" spans="1:28" ht="21" customHeight="1">
      <c r="A1" s="40" t="s">
        <v>79</v>
      </c>
      <c r="B1" s="40" t="s">
        <v>80</v>
      </c>
      <c r="C1" s="40" t="s">
        <v>81</v>
      </c>
      <c r="D1" s="40" t="s">
        <v>130</v>
      </c>
      <c r="E1" s="40" t="s">
        <v>82</v>
      </c>
      <c r="F1" s="40" t="s">
        <v>83</v>
      </c>
      <c r="G1" s="41" t="s">
        <v>136</v>
      </c>
      <c r="H1" s="41" t="s">
        <v>142</v>
      </c>
      <c r="I1" s="41" t="s">
        <v>144</v>
      </c>
      <c r="J1" s="41" t="s">
        <v>143</v>
      </c>
      <c r="K1" s="41" t="s">
        <v>145</v>
      </c>
      <c r="L1" s="41" t="s">
        <v>137</v>
      </c>
      <c r="M1" s="41" t="s">
        <v>135</v>
      </c>
      <c r="N1" s="41" t="s">
        <v>138</v>
      </c>
      <c r="O1" s="41" t="s">
        <v>146</v>
      </c>
      <c r="P1" s="41" t="s">
        <v>147</v>
      </c>
      <c r="Q1" s="41" t="s">
        <v>148</v>
      </c>
      <c r="R1" s="41" t="s">
        <v>149</v>
      </c>
      <c r="S1" s="41" t="s">
        <v>139</v>
      </c>
      <c r="T1" s="41" t="s">
        <v>140</v>
      </c>
      <c r="U1" s="41" t="s">
        <v>150</v>
      </c>
      <c r="V1" s="41" t="s">
        <v>151</v>
      </c>
      <c r="W1" s="41" t="s">
        <v>152</v>
      </c>
      <c r="X1" s="41" t="s">
        <v>153</v>
      </c>
      <c r="Y1" s="41" t="s">
        <v>141</v>
      </c>
      <c r="Z1" s="41" t="s">
        <v>76</v>
      </c>
      <c r="AA1" s="41" t="s">
        <v>77</v>
      </c>
      <c r="AB1" s="41" t="s">
        <v>78</v>
      </c>
    </row>
    <row r="2" spans="1:28" ht="21" customHeight="1">
      <c r="A2" s="45">
        <v>65535100</v>
      </c>
      <c r="B2" s="45" t="s">
        <v>84</v>
      </c>
      <c r="C2" s="48">
        <v>3</v>
      </c>
      <c r="D2" s="48" t="s">
        <v>131</v>
      </c>
      <c r="E2" s="49" t="s">
        <v>85</v>
      </c>
      <c r="F2" s="49" t="s">
        <v>86</v>
      </c>
      <c r="G2" s="62" t="str">
        <f>IFERROR(LEFT(B2,FIND("],",B2)),B2)</f>
        <v>[effect:heal, target:enemy_one, val:0.1, animation:enemy_heal]</v>
      </c>
      <c r="H2" s="62">
        <f>FIND("effect:",G2)+7</f>
        <v>9</v>
      </c>
      <c r="I2" s="62">
        <f>IFERROR(FIND(",",G2),LEN(G2))</f>
        <v>13</v>
      </c>
      <c r="J2" s="62">
        <f>FIND("target:",G2)+7</f>
        <v>22</v>
      </c>
      <c r="K2" s="62">
        <f>FIND(",",G2,I2+1)</f>
        <v>31</v>
      </c>
      <c r="L2" s="62" t="str">
        <f>IFERROR(VLOOKUP(MID(G2,J2,K2-J2),[6]skilldef!$C:$D,2,FALSE),"-") &amp; " / " &amp; IFERROR(VLOOKUP(MID(G2,H2,I2-H2),[6]skilldef!$A:$B,2,FALSE),"-")</f>
        <v>敵単体に / 回復</v>
      </c>
      <c r="M2" s="62" t="str">
        <f>IFERROR(RIGHT(B2,LEN(B2)-FIND("],",B2)-1),"none")</f>
        <v>none</v>
      </c>
      <c r="N2" s="46" t="str">
        <f>IFERROR(LEFT(M2,FIND("],",M2)+S12),M2)</f>
        <v>none</v>
      </c>
      <c r="O2" s="62" t="e">
        <f>FIND("effect:",N2)+7</f>
        <v>#VALUE!</v>
      </c>
      <c r="P2" s="62">
        <f>IFERROR(FIND(",",N2),LEN(N2))</f>
        <v>4</v>
      </c>
      <c r="Q2" s="62" t="e">
        <f>FIND("target:",N2)+7</f>
        <v>#VALUE!</v>
      </c>
      <c r="R2" s="62" t="e">
        <f>FIND(",",N2,P2+1)</f>
        <v>#VALUE!</v>
      </c>
      <c r="S2" s="62" t="str">
        <f>IFERROR(VLOOKUP(MID(N2,Q2,R2-Q2),[6]skilldef!$C:$D,2,FALSE),"-") &amp; " / " &amp; IFERROR(VLOOKUP(MID(N2,O2,P2-O2),[6]skilldef!$A:$B,2,FALSE),"-")</f>
        <v>- / -</v>
      </c>
      <c r="T2" s="46" t="str">
        <f>IFERROR(RIGHT(M2,LEN(M2)-FIND("],",M2)-1),"none")</f>
        <v>none</v>
      </c>
      <c r="U2" s="62" t="e">
        <f>FIND("effect:",T2)+7</f>
        <v>#VALUE!</v>
      </c>
      <c r="V2" s="62">
        <f>IFERROR(FIND(",",T2),LEN(T2))</f>
        <v>4</v>
      </c>
      <c r="W2" s="62" t="e">
        <f>FIND("target:",T2)+7</f>
        <v>#VALUE!</v>
      </c>
      <c r="X2" s="62" t="e">
        <f>FIND(",",T2,V2+1)</f>
        <v>#VALUE!</v>
      </c>
      <c r="Y2" s="62" t="str">
        <f>IFERROR(VLOOKUP(MID(T2,W2,X2-W2),[6]skilldef!$C:$D,2,FALSE),"-") &amp; " / " &amp; IFERROR(VLOOKUP(MID(T2,U2,V2-U2),[6]skilldef!$A:$B,2,FALSE),"-")</f>
        <v>- / -</v>
      </c>
      <c r="Z2" s="48"/>
      <c r="AA2" s="50"/>
      <c r="AB2" s="48"/>
    </row>
  </sheetData>
  <autoFilter ref="A1:AB1"/>
  <phoneticPr fontId="3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"/>
  <sheetViews>
    <sheetView showGridLines="0" zoomScale="75" zoomScaleNormal="75" zoomScalePageLayoutView="75" workbookViewId="0">
      <pane ySplit="1" topLeftCell="A2" activePane="bottomLeft" state="frozenSplit"/>
      <selection activeCell="F3" sqref="F3"/>
      <selection pane="bottomLeft"/>
    </sheetView>
  </sheetViews>
  <sheetFormatPr baseColWidth="12" defaultColWidth="12.83203125" defaultRowHeight="21" customHeight="1" x14ac:dyDescent="0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4.6640625" style="47" bestFit="1" customWidth="1"/>
    <col min="11" max="11" width="22.83203125" style="39" bestFit="1" customWidth="1"/>
    <col min="12" max="16384" width="12.83203125" style="44"/>
  </cols>
  <sheetData>
    <row r="1" spans="1:11" ht="21" customHeight="1">
      <c r="A1" s="42" t="s">
        <v>87</v>
      </c>
      <c r="B1" s="42" t="s">
        <v>88</v>
      </c>
      <c r="C1" s="42" t="s">
        <v>89</v>
      </c>
      <c r="D1" s="42" t="s">
        <v>90</v>
      </c>
      <c r="E1" s="42" t="s">
        <v>70</v>
      </c>
      <c r="F1" s="51" t="s">
        <v>71</v>
      </c>
      <c r="G1" s="51" t="s">
        <v>72</v>
      </c>
      <c r="H1" s="42" t="s">
        <v>73</v>
      </c>
      <c r="I1" s="42" t="s">
        <v>74</v>
      </c>
      <c r="J1" s="42" t="s">
        <v>75</v>
      </c>
      <c r="K1" s="52" t="s">
        <v>91</v>
      </c>
    </row>
    <row r="2" spans="1:11" ht="21" customHeight="1">
      <c r="A2" s="45">
        <v>65535100</v>
      </c>
      <c r="B2" s="45">
        <v>0</v>
      </c>
      <c r="C2" s="45" t="s">
        <v>92</v>
      </c>
      <c r="D2" s="45">
        <v>100</v>
      </c>
      <c r="E2" s="45">
        <v>35</v>
      </c>
      <c r="F2" s="45" t="s">
        <v>93</v>
      </c>
      <c r="G2" s="45">
        <v>1</v>
      </c>
      <c r="H2" s="45" t="s">
        <v>93</v>
      </c>
      <c r="I2" s="45" t="s">
        <v>93</v>
      </c>
      <c r="J2" s="46">
        <f t="shared" ref="J2" si="0">D2</f>
        <v>100</v>
      </c>
    </row>
  </sheetData>
  <autoFilter ref="A1:G1"/>
  <phoneticPr fontId="3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Yoshizawa Yosuke</cp:lastModifiedBy>
  <dcterms:created xsi:type="dcterms:W3CDTF">2015-01-30T13:36:44Z</dcterms:created>
  <dcterms:modified xsi:type="dcterms:W3CDTF">2016-02-07T08:37:47Z</dcterms:modified>
</cp:coreProperties>
</file>